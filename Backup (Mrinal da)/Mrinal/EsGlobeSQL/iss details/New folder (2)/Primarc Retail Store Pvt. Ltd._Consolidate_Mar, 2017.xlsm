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240" yWindow="390" windowWidth="19440" windowHeight="7695" tabRatio="778"/>
  </bookViews>
  <sheets>
    <sheet name="Wage Sheet" sheetId="52" r:id="rId1"/>
    <sheet name="Master Sheet" sheetId="45" r:id="rId2"/>
    <sheet name="Payslip" sheetId="46" r:id="rId3"/>
    <sheet name="Client Name &amp; Address" sheetId="44" state="hidden" r:id="rId4"/>
    <sheet name="Rate " sheetId="58" state="hidden" r:id="rId5"/>
    <sheet name="Sheet1" sheetId="59" r:id="rId6"/>
  </sheets>
  <functionGroups/>
  <externalReferences>
    <externalReference r:id="rId7"/>
    <externalReference r:id="rId8"/>
    <externalReference r:id="rId9"/>
  </externalReferences>
  <definedNames>
    <definedName name="_xlnm._FilterDatabase" localSheetId="1" hidden="1">'Master Sheet'!$B$7:$AC$62</definedName>
    <definedName name="_xlnm._FilterDatabase" localSheetId="0" hidden="1">'Wage Sheet'!$A$7:$AD$147</definedName>
    <definedName name="List" localSheetId="2">'[1]Salary Sheet'!$B$5:$B$88</definedName>
    <definedName name="list">[2]Rate!$A$4:$A$11</definedName>
    <definedName name="List1">'[3]Company List'!$B$3:$B$11</definedName>
    <definedName name="List2">'[1]Company List'!$B$3:$B$11</definedName>
    <definedName name="_xlnm.Print_Area" localSheetId="1">'Master Sheet'!$A$1:$X$12</definedName>
    <definedName name="_xlnm.Print_Area" localSheetId="2">Payslip!$B$3:$F$27</definedName>
    <definedName name="_xlnm.Print_Area" localSheetId="4">'Rate '!#REF!</definedName>
    <definedName name="_xlnm.Print_Area" localSheetId="0">'Wage Sheet'!$A$1:$Y$147</definedName>
    <definedName name="_xlnm.Print_Titles" localSheetId="0">'Wage Sheet'!$7:$7</definedName>
  </definedNames>
  <calcPr calcId="125725"/>
  <fileRecoveryPr autoRecover="0"/>
</workbook>
</file>

<file path=xl/calcChain.xml><?xml version="1.0" encoding="utf-8"?>
<calcChain xmlns="http://schemas.openxmlformats.org/spreadsheetml/2006/main">
  <c r="B60" i="45"/>
  <c r="F60" s="1"/>
  <c r="D60" l="1"/>
  <c r="K60"/>
  <c r="G60"/>
  <c r="E60"/>
  <c r="C60"/>
  <c r="J60"/>
  <c r="H60"/>
  <c r="I60" s="1"/>
  <c r="Y142" i="52"/>
  <c r="T142"/>
  <c r="S142"/>
  <c r="K142"/>
  <c r="W140"/>
  <c r="W60" i="45" s="1"/>
  <c r="N140" i="52"/>
  <c r="M140"/>
  <c r="L140"/>
  <c r="I140"/>
  <c r="AB140" s="1"/>
  <c r="Q140" s="1"/>
  <c r="N60" i="45" l="1"/>
  <c r="M60"/>
  <c r="AA60"/>
  <c r="Q60" s="1"/>
  <c r="L60"/>
  <c r="Y60" s="1"/>
  <c r="Z60" s="1"/>
  <c r="L142" i="52"/>
  <c r="AB142"/>
  <c r="AC140"/>
  <c r="M142"/>
  <c r="O140"/>
  <c r="Z140"/>
  <c r="AB60" i="45" l="1"/>
  <c r="P60"/>
  <c r="O60"/>
  <c r="R60" s="1"/>
  <c r="W142" i="52"/>
  <c r="Q142"/>
  <c r="O142"/>
  <c r="R140"/>
  <c r="Z142"/>
  <c r="AA140"/>
  <c r="AD140" s="1"/>
  <c r="P140"/>
  <c r="AC142"/>
  <c r="U60" i="45" l="1"/>
  <c r="V60" s="1"/>
  <c r="X60" s="1"/>
  <c r="AC60"/>
  <c r="P142" i="52"/>
  <c r="U140"/>
  <c r="AA142"/>
  <c r="R142"/>
  <c r="AD142"/>
  <c r="U142" l="1"/>
  <c r="V140"/>
  <c r="V142" l="1"/>
  <c r="X140"/>
  <c r="X142" s="1"/>
  <c r="B35" i="45" l="1"/>
  <c r="J35" s="1"/>
  <c r="G35" l="1"/>
  <c r="E35"/>
  <c r="K35"/>
  <c r="C35"/>
  <c r="H35"/>
  <c r="N35" s="1"/>
  <c r="F35"/>
  <c r="D35"/>
  <c r="Y70" i="52"/>
  <c r="T70"/>
  <c r="S70"/>
  <c r="K70"/>
  <c r="N68"/>
  <c r="M68"/>
  <c r="L68"/>
  <c r="I68"/>
  <c r="AB68" s="1"/>
  <c r="L35" i="45" l="1"/>
  <c r="Y35" s="1"/>
  <c r="P35" s="1"/>
  <c r="I35"/>
  <c r="AA35" s="1"/>
  <c r="Q35" s="1"/>
  <c r="AC68" i="52"/>
  <c r="Q68"/>
  <c r="W68"/>
  <c r="W35" i="45" s="1"/>
  <c r="AB35"/>
  <c r="L70" i="52"/>
  <c r="M70"/>
  <c r="M35" i="45"/>
  <c r="O68" i="52"/>
  <c r="Z68"/>
  <c r="AB70"/>
  <c r="N145"/>
  <c r="N144"/>
  <c r="N137"/>
  <c r="N136"/>
  <c r="N132"/>
  <c r="N129"/>
  <c r="N125"/>
  <c r="N121"/>
  <c r="N118"/>
  <c r="N117"/>
  <c r="N113"/>
  <c r="N110"/>
  <c r="N106"/>
  <c r="N105"/>
  <c r="N104"/>
  <c r="N100"/>
  <c r="N97"/>
  <c r="N96"/>
  <c r="N95"/>
  <c r="N94"/>
  <c r="N90"/>
  <c r="N86"/>
  <c r="N82"/>
  <c r="N79"/>
  <c r="N75"/>
  <c r="N72"/>
  <c r="N64"/>
  <c r="N60"/>
  <c r="N59"/>
  <c r="N58"/>
  <c r="N54"/>
  <c r="N50"/>
  <c r="N46"/>
  <c r="N45"/>
  <c r="N41"/>
  <c r="N40"/>
  <c r="N39"/>
  <c r="N35"/>
  <c r="N34"/>
  <c r="N33"/>
  <c r="N29"/>
  <c r="N28"/>
  <c r="N27"/>
  <c r="N23"/>
  <c r="N22"/>
  <c r="N21"/>
  <c r="N20"/>
  <c r="N16"/>
  <c r="I145"/>
  <c r="I144"/>
  <c r="AB144" s="1"/>
  <c r="I137"/>
  <c r="I136"/>
  <c r="I132"/>
  <c r="I129"/>
  <c r="I125"/>
  <c r="I121"/>
  <c r="I118"/>
  <c r="I117"/>
  <c r="I113"/>
  <c r="I110"/>
  <c r="I106"/>
  <c r="I105"/>
  <c r="I104"/>
  <c r="I100"/>
  <c r="I97"/>
  <c r="I96"/>
  <c r="I95"/>
  <c r="I94"/>
  <c r="I90"/>
  <c r="I86"/>
  <c r="I82"/>
  <c r="I79"/>
  <c r="I75"/>
  <c r="I72"/>
  <c r="I64"/>
  <c r="I60"/>
  <c r="I59"/>
  <c r="I58"/>
  <c r="I54"/>
  <c r="I50"/>
  <c r="I46"/>
  <c r="I45"/>
  <c r="I41"/>
  <c r="I40"/>
  <c r="I39"/>
  <c r="I35"/>
  <c r="I34"/>
  <c r="I33"/>
  <c r="I29"/>
  <c r="I28"/>
  <c r="I27"/>
  <c r="I23"/>
  <c r="I22"/>
  <c r="I21"/>
  <c r="I20"/>
  <c r="I16"/>
  <c r="N10"/>
  <c r="N11"/>
  <c r="N12"/>
  <c r="N13"/>
  <c r="N9"/>
  <c r="M9"/>
  <c r="I10"/>
  <c r="I11"/>
  <c r="I12"/>
  <c r="I13"/>
  <c r="I9"/>
  <c r="B37" i="45"/>
  <c r="F37" s="1"/>
  <c r="B38"/>
  <c r="H38" s="1"/>
  <c r="B39"/>
  <c r="D39" s="1"/>
  <c r="B40"/>
  <c r="B41"/>
  <c r="B42"/>
  <c r="H42" s="1"/>
  <c r="B43"/>
  <c r="H43" s="1"/>
  <c r="B44"/>
  <c r="H44" s="1"/>
  <c r="B45"/>
  <c r="B46"/>
  <c r="B47"/>
  <c r="H47" s="1"/>
  <c r="B48"/>
  <c r="B49"/>
  <c r="H49" s="1"/>
  <c r="B50"/>
  <c r="H50" s="1"/>
  <c r="B51"/>
  <c r="F51" s="1"/>
  <c r="B52"/>
  <c r="B53"/>
  <c r="B54"/>
  <c r="B55"/>
  <c r="B56"/>
  <c r="B57"/>
  <c r="B58"/>
  <c r="B59"/>
  <c r="C59" s="1"/>
  <c r="B61"/>
  <c r="B62"/>
  <c r="D62" s="1"/>
  <c r="B36"/>
  <c r="H36" s="1"/>
  <c r="Y147" i="52"/>
  <c r="T147"/>
  <c r="S147"/>
  <c r="K147"/>
  <c r="M145"/>
  <c r="L145"/>
  <c r="Z145" s="1"/>
  <c r="AB145"/>
  <c r="M144"/>
  <c r="L144"/>
  <c r="O39" i="58"/>
  <c r="O33"/>
  <c r="O29"/>
  <c r="O31" s="1"/>
  <c r="O13"/>
  <c r="O9"/>
  <c r="O11" s="1"/>
  <c r="O35" i="45" l="1"/>
  <c r="R35" s="1"/>
  <c r="U35" s="1"/>
  <c r="V35" s="1"/>
  <c r="X35" s="1"/>
  <c r="J39"/>
  <c r="Z35"/>
  <c r="F50"/>
  <c r="Q70" i="52"/>
  <c r="AC70"/>
  <c r="F39" i="45"/>
  <c r="W70" i="52"/>
  <c r="F59" i="45"/>
  <c r="AA68" i="52"/>
  <c r="P68"/>
  <c r="Z70"/>
  <c r="O70"/>
  <c r="R68"/>
  <c r="C58" i="45"/>
  <c r="H58"/>
  <c r="F61"/>
  <c r="H61"/>
  <c r="D57"/>
  <c r="H57"/>
  <c r="D52"/>
  <c r="H52"/>
  <c r="C51"/>
  <c r="H51"/>
  <c r="F46"/>
  <c r="H46"/>
  <c r="F45"/>
  <c r="H45"/>
  <c r="D41"/>
  <c r="H41"/>
  <c r="C39"/>
  <c r="H39"/>
  <c r="C37"/>
  <c r="H37"/>
  <c r="D56"/>
  <c r="H56"/>
  <c r="K55"/>
  <c r="H55"/>
  <c r="D54"/>
  <c r="H54"/>
  <c r="K53"/>
  <c r="H53"/>
  <c r="F48"/>
  <c r="H48"/>
  <c r="D40"/>
  <c r="H40"/>
  <c r="H62"/>
  <c r="H59"/>
  <c r="M147" i="52"/>
  <c r="J37" i="45"/>
  <c r="D37"/>
  <c r="F57"/>
  <c r="O145" i="52"/>
  <c r="O144"/>
  <c r="J51" i="45"/>
  <c r="D51"/>
  <c r="F41"/>
  <c r="K39"/>
  <c r="G39"/>
  <c r="E39"/>
  <c r="C49"/>
  <c r="D49"/>
  <c r="J49"/>
  <c r="F44"/>
  <c r="J59"/>
  <c r="D59"/>
  <c r="F58"/>
  <c r="J57"/>
  <c r="K54"/>
  <c r="K52"/>
  <c r="C50"/>
  <c r="D50"/>
  <c r="J50"/>
  <c r="F49"/>
  <c r="D45"/>
  <c r="J45"/>
  <c r="D42"/>
  <c r="F42"/>
  <c r="J41"/>
  <c r="J36"/>
  <c r="F36"/>
  <c r="F62"/>
  <c r="K59"/>
  <c r="G59"/>
  <c r="E59"/>
  <c r="J58"/>
  <c r="D58"/>
  <c r="F56"/>
  <c r="F54"/>
  <c r="K51"/>
  <c r="G51"/>
  <c r="E51"/>
  <c r="K50"/>
  <c r="G50"/>
  <c r="E50"/>
  <c r="J42"/>
  <c r="D44"/>
  <c r="J44"/>
  <c r="C42"/>
  <c r="E42"/>
  <c r="G42"/>
  <c r="K42"/>
  <c r="F40"/>
  <c r="D36"/>
  <c r="K36"/>
  <c r="J62"/>
  <c r="C62"/>
  <c r="E62"/>
  <c r="G62"/>
  <c r="K62"/>
  <c r="C61"/>
  <c r="D61"/>
  <c r="J61"/>
  <c r="C48"/>
  <c r="E48"/>
  <c r="G48"/>
  <c r="K48"/>
  <c r="C47"/>
  <c r="D47"/>
  <c r="J47"/>
  <c r="C46"/>
  <c r="E46"/>
  <c r="G46"/>
  <c r="K46"/>
  <c r="C44"/>
  <c r="E44"/>
  <c r="G44"/>
  <c r="K44"/>
  <c r="F52"/>
  <c r="J48"/>
  <c r="D48"/>
  <c r="F47"/>
  <c r="J46"/>
  <c r="D46"/>
  <c r="D43"/>
  <c r="F43"/>
  <c r="D38"/>
  <c r="F38"/>
  <c r="G36"/>
  <c r="E36"/>
  <c r="C36"/>
  <c r="K61"/>
  <c r="G61"/>
  <c r="E61"/>
  <c r="K58"/>
  <c r="G58"/>
  <c r="E58"/>
  <c r="C57"/>
  <c r="E57"/>
  <c r="G57"/>
  <c r="K57"/>
  <c r="J56"/>
  <c r="D55"/>
  <c r="F55"/>
  <c r="D53"/>
  <c r="F53"/>
  <c r="C56"/>
  <c r="E56"/>
  <c r="G56"/>
  <c r="K56"/>
  <c r="K49"/>
  <c r="G49"/>
  <c r="E49"/>
  <c r="K47"/>
  <c r="G47"/>
  <c r="E47"/>
  <c r="C45"/>
  <c r="E45"/>
  <c r="G45"/>
  <c r="K45"/>
  <c r="J43"/>
  <c r="C43"/>
  <c r="E43"/>
  <c r="G43"/>
  <c r="K43"/>
  <c r="J40"/>
  <c r="C41"/>
  <c r="E41"/>
  <c r="G41"/>
  <c r="K41"/>
  <c r="C40"/>
  <c r="E40"/>
  <c r="G40"/>
  <c r="K40"/>
  <c r="J38"/>
  <c r="C38"/>
  <c r="E38"/>
  <c r="G38"/>
  <c r="K38"/>
  <c r="K37"/>
  <c r="G37"/>
  <c r="E37"/>
  <c r="C55"/>
  <c r="E55"/>
  <c r="G55"/>
  <c r="J55"/>
  <c r="N55" s="1"/>
  <c r="C54"/>
  <c r="E54"/>
  <c r="G54"/>
  <c r="J54"/>
  <c r="W54"/>
  <c r="C53"/>
  <c r="E53"/>
  <c r="G53"/>
  <c r="J53"/>
  <c r="W53"/>
  <c r="C52"/>
  <c r="E52"/>
  <c r="G52"/>
  <c r="J52"/>
  <c r="W52"/>
  <c r="L147" i="52"/>
  <c r="W144"/>
  <c r="W61" i="45" s="1"/>
  <c r="AB147" i="52"/>
  <c r="AC144"/>
  <c r="Q144"/>
  <c r="AA145"/>
  <c r="P145"/>
  <c r="Z144"/>
  <c r="AC145"/>
  <c r="Q145"/>
  <c r="W145"/>
  <c r="W62" i="45" s="1"/>
  <c r="O34" i="58"/>
  <c r="O37" s="1"/>
  <c r="O38" s="1"/>
  <c r="O40" s="1"/>
  <c r="O14"/>
  <c r="O17" s="1"/>
  <c r="O20" s="1"/>
  <c r="N53" i="45" l="1"/>
  <c r="I37"/>
  <c r="AA37" s="1"/>
  <c r="I45"/>
  <c r="AC35"/>
  <c r="L37"/>
  <c r="Y37" s="1"/>
  <c r="P37" s="1"/>
  <c r="M51"/>
  <c r="N52"/>
  <c r="N54"/>
  <c r="I61"/>
  <c r="AA61" s="1"/>
  <c r="AB61" s="1"/>
  <c r="I50"/>
  <c r="AA50" s="1"/>
  <c r="AB50" s="1"/>
  <c r="L39"/>
  <c r="Y39" s="1"/>
  <c r="I46"/>
  <c r="AA46" s="1"/>
  <c r="AB46" s="1"/>
  <c r="I48"/>
  <c r="AA48" s="1"/>
  <c r="I51"/>
  <c r="AA51" s="1"/>
  <c r="Q51" s="1"/>
  <c r="I59"/>
  <c r="AA59" s="1"/>
  <c r="Q59" s="1"/>
  <c r="I39"/>
  <c r="R70" i="52"/>
  <c r="AA70"/>
  <c r="AD68"/>
  <c r="AD70" s="1"/>
  <c r="P70"/>
  <c r="U68"/>
  <c r="N46" i="45"/>
  <c r="N48"/>
  <c r="AA39"/>
  <c r="AB39" s="1"/>
  <c r="N38"/>
  <c r="N40"/>
  <c r="N43"/>
  <c r="AA45"/>
  <c r="N56"/>
  <c r="N61"/>
  <c r="N62"/>
  <c r="N36"/>
  <c r="N45"/>
  <c r="N57"/>
  <c r="N49"/>
  <c r="N47"/>
  <c r="N44"/>
  <c r="N42"/>
  <c r="N58"/>
  <c r="N41"/>
  <c r="N50"/>
  <c r="N59"/>
  <c r="N51"/>
  <c r="N37"/>
  <c r="I53"/>
  <c r="AA53" s="1"/>
  <c r="I55"/>
  <c r="AA55" s="1"/>
  <c r="I52"/>
  <c r="AA52" s="1"/>
  <c r="I40"/>
  <c r="AA40" s="1"/>
  <c r="I56"/>
  <c r="AA56" s="1"/>
  <c r="I42"/>
  <c r="AA42" s="1"/>
  <c r="Q42" s="1"/>
  <c r="I49"/>
  <c r="AA49" s="1"/>
  <c r="I44"/>
  <c r="AA44" s="1"/>
  <c r="AB44" s="1"/>
  <c r="I41"/>
  <c r="AA41" s="1"/>
  <c r="AB41" s="1"/>
  <c r="I57"/>
  <c r="AA57" s="1"/>
  <c r="N39"/>
  <c r="I38"/>
  <c r="AA38" s="1"/>
  <c r="I43"/>
  <c r="AA43" s="1"/>
  <c r="I47"/>
  <c r="AA47" s="1"/>
  <c r="I54"/>
  <c r="AA54" s="1"/>
  <c r="I62"/>
  <c r="AA62" s="1"/>
  <c r="Q62" s="1"/>
  <c r="I36"/>
  <c r="AA36" s="1"/>
  <c r="Q36" s="1"/>
  <c r="I58"/>
  <c r="AA58" s="1"/>
  <c r="L50"/>
  <c r="L58"/>
  <c r="M39"/>
  <c r="M42"/>
  <c r="M50"/>
  <c r="M36"/>
  <c r="L53"/>
  <c r="Y53" s="1"/>
  <c r="M47"/>
  <c r="L54"/>
  <c r="M59"/>
  <c r="L51"/>
  <c r="M46"/>
  <c r="L62"/>
  <c r="L59"/>
  <c r="M37"/>
  <c r="M38"/>
  <c r="M44"/>
  <c r="M62"/>
  <c r="L36"/>
  <c r="L42"/>
  <c r="L61"/>
  <c r="M61"/>
  <c r="L44"/>
  <c r="M48"/>
  <c r="L52"/>
  <c r="L47"/>
  <c r="L41"/>
  <c r="M41"/>
  <c r="L49"/>
  <c r="M49"/>
  <c r="M57"/>
  <c r="L46"/>
  <c r="L48"/>
  <c r="M53"/>
  <c r="M55"/>
  <c r="M43"/>
  <c r="L38"/>
  <c r="M40"/>
  <c r="L45"/>
  <c r="M45"/>
  <c r="L56"/>
  <c r="L57"/>
  <c r="M52"/>
  <c r="M54"/>
  <c r="L55"/>
  <c r="M56"/>
  <c r="M58"/>
  <c r="L40"/>
  <c r="L43"/>
  <c r="W147" i="52"/>
  <c r="Z147"/>
  <c r="AA144"/>
  <c r="AA147" s="1"/>
  <c r="P144"/>
  <c r="AC147"/>
  <c r="R145"/>
  <c r="U145" s="1"/>
  <c r="V145" s="1"/>
  <c r="X145" s="1"/>
  <c r="AD145"/>
  <c r="O147"/>
  <c r="AD144"/>
  <c r="AD147" s="1"/>
  <c r="R144"/>
  <c r="Q147"/>
  <c r="AB51" i="45" l="1"/>
  <c r="U70" i="52"/>
  <c r="V68"/>
  <c r="O44" i="45"/>
  <c r="R44" s="1"/>
  <c r="O42"/>
  <c r="R42" s="1"/>
  <c r="O55"/>
  <c r="R55" s="1"/>
  <c r="AB36"/>
  <c r="Q39"/>
  <c r="O39"/>
  <c r="R39" s="1"/>
  <c r="Z37"/>
  <c r="Y40"/>
  <c r="Z40" s="1"/>
  <c r="O40"/>
  <c r="Y56"/>
  <c r="Z56" s="1"/>
  <c r="O56"/>
  <c r="R56" s="1"/>
  <c r="Y45"/>
  <c r="Z45" s="1"/>
  <c r="O45"/>
  <c r="R45" s="1"/>
  <c r="Y48"/>
  <c r="P48" s="1"/>
  <c r="O48"/>
  <c r="Y46"/>
  <c r="Z46" s="1"/>
  <c r="O46"/>
  <c r="Y49"/>
  <c r="P49" s="1"/>
  <c r="O49"/>
  <c r="R49" s="1"/>
  <c r="Y41"/>
  <c r="P41" s="1"/>
  <c r="O41"/>
  <c r="Y47"/>
  <c r="O47"/>
  <c r="R47" s="1"/>
  <c r="Y61"/>
  <c r="P61" s="1"/>
  <c r="O61"/>
  <c r="Y59"/>
  <c r="O59"/>
  <c r="R59" s="1"/>
  <c r="Y62"/>
  <c r="Z62" s="1"/>
  <c r="O62"/>
  <c r="R62" s="1"/>
  <c r="Y51"/>
  <c r="P51" s="1"/>
  <c r="O51"/>
  <c r="R51" s="1"/>
  <c r="O54"/>
  <c r="R54" s="1"/>
  <c r="Y58"/>
  <c r="O58"/>
  <c r="R58" s="1"/>
  <c r="Y50"/>
  <c r="O50"/>
  <c r="R50" s="1"/>
  <c r="O37"/>
  <c r="R37" s="1"/>
  <c r="Y54"/>
  <c r="Z54" s="1"/>
  <c r="Y43"/>
  <c r="Z43" s="1"/>
  <c r="O43"/>
  <c r="Y57"/>
  <c r="Z57" s="1"/>
  <c r="O57"/>
  <c r="Y38"/>
  <c r="Z38" s="1"/>
  <c r="O38"/>
  <c r="Y52"/>
  <c r="Z52" s="1"/>
  <c r="O52"/>
  <c r="R52" s="1"/>
  <c r="Y36"/>
  <c r="Z36" s="1"/>
  <c r="O36"/>
  <c r="O53"/>
  <c r="R53" s="1"/>
  <c r="P39"/>
  <c r="Z39"/>
  <c r="R147" i="52"/>
  <c r="AB62" i="45"/>
  <c r="Q44"/>
  <c r="Q41"/>
  <c r="Q50"/>
  <c r="Q46"/>
  <c r="AB42"/>
  <c r="Y55"/>
  <c r="Z55" s="1"/>
  <c r="Q61"/>
  <c r="AB59"/>
  <c r="Y44"/>
  <c r="P44" s="1"/>
  <c r="Y42"/>
  <c r="Z42" s="1"/>
  <c r="AB48"/>
  <c r="Q48"/>
  <c r="AB38"/>
  <c r="Q38"/>
  <c r="Q37"/>
  <c r="AB37"/>
  <c r="Q49"/>
  <c r="AB49"/>
  <c r="Q47"/>
  <c r="AB47"/>
  <c r="Q57"/>
  <c r="AB57"/>
  <c r="Q45"/>
  <c r="AB45"/>
  <c r="Q43"/>
  <c r="AB43"/>
  <c r="Q40"/>
  <c r="AB40"/>
  <c r="Q58"/>
  <c r="AB58"/>
  <c r="Q56"/>
  <c r="AB56"/>
  <c r="Q52"/>
  <c r="AB52"/>
  <c r="Q54"/>
  <c r="AB54"/>
  <c r="Q55"/>
  <c r="AB55"/>
  <c r="P53"/>
  <c r="Z53"/>
  <c r="Q53"/>
  <c r="AB53"/>
  <c r="P147" i="52"/>
  <c r="U144"/>
  <c r="Z48" i="45" l="1"/>
  <c r="P56"/>
  <c r="P43"/>
  <c r="P57"/>
  <c r="P52"/>
  <c r="U52" s="1"/>
  <c r="V52" s="1"/>
  <c r="X52" s="1"/>
  <c r="Z61"/>
  <c r="AC61" s="1"/>
  <c r="P62"/>
  <c r="U62" s="1"/>
  <c r="V62" s="1"/>
  <c r="X62" s="1"/>
  <c r="P45"/>
  <c r="U45" s="1"/>
  <c r="V45" s="1"/>
  <c r="P40"/>
  <c r="P46"/>
  <c r="P54"/>
  <c r="U54" s="1"/>
  <c r="V54" s="1"/>
  <c r="X54" s="1"/>
  <c r="Z41"/>
  <c r="Z49"/>
  <c r="X68" i="52"/>
  <c r="X70" s="1"/>
  <c r="V70"/>
  <c r="P38" i="45"/>
  <c r="P36"/>
  <c r="Z51"/>
  <c r="AC62"/>
  <c r="U39"/>
  <c r="V39" s="1"/>
  <c r="P59"/>
  <c r="U59" s="1"/>
  <c r="V59" s="1"/>
  <c r="Z59"/>
  <c r="P47"/>
  <c r="U47" s="1"/>
  <c r="V47" s="1"/>
  <c r="Z47"/>
  <c r="U51"/>
  <c r="V51" s="1"/>
  <c r="U56"/>
  <c r="V56" s="1"/>
  <c r="U37"/>
  <c r="V37" s="1"/>
  <c r="Z50"/>
  <c r="P50"/>
  <c r="U50" s="1"/>
  <c r="V50" s="1"/>
  <c r="P58"/>
  <c r="U58" s="1"/>
  <c r="V58" s="1"/>
  <c r="Z58"/>
  <c r="AC54"/>
  <c r="P55"/>
  <c r="U55" s="1"/>
  <c r="V55" s="1"/>
  <c r="Z44"/>
  <c r="P42"/>
  <c r="U42" s="1"/>
  <c r="V42" s="1"/>
  <c r="AC53"/>
  <c r="AC52"/>
  <c r="U49"/>
  <c r="V49" s="1"/>
  <c r="U44"/>
  <c r="V44" s="1"/>
  <c r="R36"/>
  <c r="R61"/>
  <c r="R41"/>
  <c r="U41" s="1"/>
  <c r="V41" s="1"/>
  <c r="R46"/>
  <c r="R48"/>
  <c r="U48" s="1"/>
  <c r="V48" s="1"/>
  <c r="R38"/>
  <c r="R40"/>
  <c r="R57"/>
  <c r="R43"/>
  <c r="U53"/>
  <c r="V53" s="1"/>
  <c r="X53" s="1"/>
  <c r="U147" i="52"/>
  <c r="V144"/>
  <c r="U43" i="45" l="1"/>
  <c r="V43" s="1"/>
  <c r="U57"/>
  <c r="V57" s="1"/>
  <c r="U46"/>
  <c r="V46" s="1"/>
  <c r="U40"/>
  <c r="V40" s="1"/>
  <c r="U38"/>
  <c r="V38" s="1"/>
  <c r="U36"/>
  <c r="V36" s="1"/>
  <c r="U61"/>
  <c r="V61" s="1"/>
  <c r="X61" s="1"/>
  <c r="V147" i="52"/>
  <c r="X144"/>
  <c r="X147" s="1"/>
  <c r="W136" l="1"/>
  <c r="W58" i="45" s="1"/>
  <c r="C37" i="58"/>
  <c r="J37"/>
  <c r="K37"/>
  <c r="B37"/>
  <c r="Y139" i="52"/>
  <c r="T139"/>
  <c r="S139"/>
  <c r="K139"/>
  <c r="M137"/>
  <c r="L137"/>
  <c r="Z137" s="1"/>
  <c r="W137"/>
  <c r="W59" i="45" s="1"/>
  <c r="M136" i="52"/>
  <c r="L136"/>
  <c r="Y134"/>
  <c r="T134"/>
  <c r="S134"/>
  <c r="K134"/>
  <c r="M132"/>
  <c r="L132"/>
  <c r="W132"/>
  <c r="W57" i="45" s="1"/>
  <c r="Y131" i="52"/>
  <c r="T131"/>
  <c r="S131"/>
  <c r="K131"/>
  <c r="M129"/>
  <c r="L129"/>
  <c r="AB129"/>
  <c r="Y127"/>
  <c r="T127"/>
  <c r="S127"/>
  <c r="K127"/>
  <c r="M125"/>
  <c r="L125"/>
  <c r="AB125"/>
  <c r="Y123"/>
  <c r="T123"/>
  <c r="S123"/>
  <c r="K123"/>
  <c r="M121"/>
  <c r="L121"/>
  <c r="AB121"/>
  <c r="Q121" s="1"/>
  <c r="Y120"/>
  <c r="T120"/>
  <c r="S120"/>
  <c r="K120"/>
  <c r="M118"/>
  <c r="L118"/>
  <c r="Z118" s="1"/>
  <c r="AB118"/>
  <c r="M117"/>
  <c r="L117"/>
  <c r="AB117"/>
  <c r="Y115"/>
  <c r="T115"/>
  <c r="S115"/>
  <c r="K115"/>
  <c r="M113"/>
  <c r="L113"/>
  <c r="W113"/>
  <c r="W51" i="45" s="1"/>
  <c r="Y112" i="52"/>
  <c r="T112"/>
  <c r="S112"/>
  <c r="K112"/>
  <c r="M110"/>
  <c r="L110"/>
  <c r="AB110"/>
  <c r="Y108"/>
  <c r="T108"/>
  <c r="S108"/>
  <c r="K108"/>
  <c r="M106"/>
  <c r="L106"/>
  <c r="Z106" s="1"/>
  <c r="W106"/>
  <c r="W49" i="45" s="1"/>
  <c r="M105" i="52"/>
  <c r="L105"/>
  <c r="Z105" s="1"/>
  <c r="W105"/>
  <c r="W48" i="45" s="1"/>
  <c r="M104" i="52"/>
  <c r="L104"/>
  <c r="W104"/>
  <c r="W47" i="45" s="1"/>
  <c r="Y102" i="52"/>
  <c r="T102"/>
  <c r="S102"/>
  <c r="K102"/>
  <c r="M100"/>
  <c r="L100"/>
  <c r="AB100"/>
  <c r="Y99"/>
  <c r="T99"/>
  <c r="S99"/>
  <c r="K99"/>
  <c r="M97"/>
  <c r="L97"/>
  <c r="AB97"/>
  <c r="M96"/>
  <c r="L96"/>
  <c r="AB96"/>
  <c r="M95"/>
  <c r="L95"/>
  <c r="AB95"/>
  <c r="M94"/>
  <c r="L94"/>
  <c r="AB94"/>
  <c r="O136" l="1"/>
  <c r="O106"/>
  <c r="O118"/>
  <c r="L139"/>
  <c r="O137"/>
  <c r="O132"/>
  <c r="Z97"/>
  <c r="AA97" s="1"/>
  <c r="O97"/>
  <c r="X58" i="45"/>
  <c r="AC58"/>
  <c r="O117" i="52"/>
  <c r="L108"/>
  <c r="O105"/>
  <c r="L102"/>
  <c r="O100"/>
  <c r="L99"/>
  <c r="O94"/>
  <c r="Z96"/>
  <c r="P96" s="1"/>
  <c r="O96"/>
  <c r="M99"/>
  <c r="Z95"/>
  <c r="AA95" s="1"/>
  <c r="O95"/>
  <c r="M131"/>
  <c r="O129"/>
  <c r="M127"/>
  <c r="O125"/>
  <c r="M123"/>
  <c r="O121"/>
  <c r="M115"/>
  <c r="O113"/>
  <c r="M112"/>
  <c r="O110"/>
  <c r="M108"/>
  <c r="O104"/>
  <c r="AC59" i="45"/>
  <c r="X59"/>
  <c r="AC57"/>
  <c r="X57"/>
  <c r="AC51"/>
  <c r="X51"/>
  <c r="AC48"/>
  <c r="X48"/>
  <c r="AC47"/>
  <c r="X47"/>
  <c r="X49"/>
  <c r="AC49"/>
  <c r="AB105" i="52"/>
  <c r="AB104"/>
  <c r="Q104" s="1"/>
  <c r="AB106"/>
  <c r="M139"/>
  <c r="M120"/>
  <c r="AB136"/>
  <c r="AC136" s="1"/>
  <c r="AB137"/>
  <c r="AA137"/>
  <c r="P137"/>
  <c r="Z136"/>
  <c r="M134"/>
  <c r="L134"/>
  <c r="L131"/>
  <c r="AB132"/>
  <c r="Q132" s="1"/>
  <c r="Q129"/>
  <c r="AB131"/>
  <c r="AC129"/>
  <c r="W129"/>
  <c r="W56" i="45" s="1"/>
  <c r="Z129" i="52"/>
  <c r="Z132"/>
  <c r="M102"/>
  <c r="L120"/>
  <c r="L127"/>
  <c r="W125"/>
  <c r="W55" i="45" s="1"/>
  <c r="AC125" i="52"/>
  <c r="Q125"/>
  <c r="Z125"/>
  <c r="L123"/>
  <c r="Z121"/>
  <c r="AB123"/>
  <c r="AC121"/>
  <c r="L115"/>
  <c r="AB120"/>
  <c r="Q117"/>
  <c r="AC117"/>
  <c r="AA118"/>
  <c r="P118"/>
  <c r="Q118"/>
  <c r="AC118"/>
  <c r="Z117"/>
  <c r="AB113"/>
  <c r="Q113" s="1"/>
  <c r="L112"/>
  <c r="AC110"/>
  <c r="Q110"/>
  <c r="W110"/>
  <c r="W50" i="45" s="1"/>
  <c r="Z110" i="52"/>
  <c r="Z113"/>
  <c r="Q94"/>
  <c r="AB99"/>
  <c r="AC94"/>
  <c r="Q96"/>
  <c r="AC96"/>
  <c r="AC100"/>
  <c r="Q100"/>
  <c r="Q95"/>
  <c r="AC95"/>
  <c r="Q97"/>
  <c r="AC97"/>
  <c r="W100"/>
  <c r="W46" i="45" s="1"/>
  <c r="Z100" i="52"/>
  <c r="W94"/>
  <c r="W42" i="45" s="1"/>
  <c r="Z94" i="52"/>
  <c r="W95"/>
  <c r="W43" i="45" s="1"/>
  <c r="W96" i="52"/>
  <c r="W44" i="45" s="1"/>
  <c r="W97" i="52"/>
  <c r="W45" i="45" s="1"/>
  <c r="AA105" i="52"/>
  <c r="P105"/>
  <c r="AA106"/>
  <c r="P106"/>
  <c r="Z104"/>
  <c r="AC104" l="1"/>
  <c r="AA96"/>
  <c r="AD96" s="1"/>
  <c r="AC113"/>
  <c r="P97"/>
  <c r="P95"/>
  <c r="AB115"/>
  <c r="AC123"/>
  <c r="AB134"/>
  <c r="AB108"/>
  <c r="AC56" i="45"/>
  <c r="X56"/>
  <c r="AC55"/>
  <c r="X55"/>
  <c r="AC50"/>
  <c r="X50"/>
  <c r="AC46"/>
  <c r="X46"/>
  <c r="X45"/>
  <c r="AC45"/>
  <c r="X42"/>
  <c r="AC42"/>
  <c r="AC44"/>
  <c r="X44"/>
  <c r="AC43"/>
  <c r="X43"/>
  <c r="AC106" i="52"/>
  <c r="AD106" s="1"/>
  <c r="Q106"/>
  <c r="AC105"/>
  <c r="AD105" s="1"/>
  <c r="Q105"/>
  <c r="W108"/>
  <c r="W139"/>
  <c r="AC137"/>
  <c r="AD137" s="1"/>
  <c r="Q137"/>
  <c r="AB139"/>
  <c r="Q136"/>
  <c r="Z139"/>
  <c r="AA136"/>
  <c r="AA139" s="1"/>
  <c r="P136"/>
  <c r="R137"/>
  <c r="R136"/>
  <c r="O139"/>
  <c r="W134"/>
  <c r="AC132"/>
  <c r="Z134"/>
  <c r="AA132"/>
  <c r="AA134" s="1"/>
  <c r="P132"/>
  <c r="Z131"/>
  <c r="AA129"/>
  <c r="AA131" s="1"/>
  <c r="P129"/>
  <c r="O131"/>
  <c r="R129"/>
  <c r="R132"/>
  <c r="O134"/>
  <c r="W131"/>
  <c r="AC131"/>
  <c r="Q131"/>
  <c r="W127"/>
  <c r="AC127"/>
  <c r="Z127"/>
  <c r="AA125"/>
  <c r="AA127" s="1"/>
  <c r="P125"/>
  <c r="O127"/>
  <c r="R125"/>
  <c r="Q127"/>
  <c r="AB127"/>
  <c r="Q123"/>
  <c r="W123"/>
  <c r="Z123"/>
  <c r="AA121"/>
  <c r="AA123" s="1"/>
  <c r="P121"/>
  <c r="R121"/>
  <c r="O123"/>
  <c r="Q115"/>
  <c r="Z120"/>
  <c r="AA117"/>
  <c r="AA120" s="1"/>
  <c r="P117"/>
  <c r="O120"/>
  <c r="R117"/>
  <c r="Q120"/>
  <c r="AD118"/>
  <c r="R118"/>
  <c r="U118" s="1"/>
  <c r="V118" s="1"/>
  <c r="X118" s="1"/>
  <c r="W120"/>
  <c r="AC120"/>
  <c r="W115"/>
  <c r="R113"/>
  <c r="O115"/>
  <c r="Q112"/>
  <c r="Z112"/>
  <c r="AA110"/>
  <c r="AA112" s="1"/>
  <c r="P110"/>
  <c r="O112"/>
  <c r="R110"/>
  <c r="AC112"/>
  <c r="Z115"/>
  <c r="AA113"/>
  <c r="AA115" s="1"/>
  <c r="P113"/>
  <c r="W112"/>
  <c r="AB112"/>
  <c r="R106"/>
  <c r="Z108"/>
  <c r="AA104"/>
  <c r="AA108" s="1"/>
  <c r="P104"/>
  <c r="AD97"/>
  <c r="R97"/>
  <c r="U97" s="1"/>
  <c r="V97" s="1"/>
  <c r="X97" s="1"/>
  <c r="R96"/>
  <c r="U96" s="1"/>
  <c r="V96" s="1"/>
  <c r="X96" s="1"/>
  <c r="AD95"/>
  <c r="R95"/>
  <c r="W99"/>
  <c r="Z102"/>
  <c r="AA100"/>
  <c r="AA102" s="1"/>
  <c r="P100"/>
  <c r="O102"/>
  <c r="R100"/>
  <c r="AB102"/>
  <c r="R105"/>
  <c r="R104"/>
  <c r="O108"/>
  <c r="Z99"/>
  <c r="AA94"/>
  <c r="AA99" s="1"/>
  <c r="P94"/>
  <c r="O99"/>
  <c r="R94"/>
  <c r="W102"/>
  <c r="AC99"/>
  <c r="Q99"/>
  <c r="AD110" l="1"/>
  <c r="AC139"/>
  <c r="AD132"/>
  <c r="AD100"/>
  <c r="AC115"/>
  <c r="AC134"/>
  <c r="AD125"/>
  <c r="U105"/>
  <c r="V105" s="1"/>
  <c r="X105" s="1"/>
  <c r="U95"/>
  <c r="V95" s="1"/>
  <c r="X95" s="1"/>
  <c r="U106"/>
  <c r="V106" s="1"/>
  <c r="X106" s="1"/>
  <c r="AD104"/>
  <c r="AD108" s="1"/>
  <c r="AC102"/>
  <c r="U137"/>
  <c r="V137" s="1"/>
  <c r="X137" s="1"/>
  <c r="AD136"/>
  <c r="AD139" s="1"/>
  <c r="Q134"/>
  <c r="R139"/>
  <c r="R108"/>
  <c r="R99"/>
  <c r="AC108"/>
  <c r="Q108"/>
  <c r="AD117"/>
  <c r="AD120" s="1"/>
  <c r="Q139"/>
  <c r="P139"/>
  <c r="U136"/>
  <c r="AD134"/>
  <c r="P134"/>
  <c r="U132"/>
  <c r="R134"/>
  <c r="R131"/>
  <c r="AD129"/>
  <c r="AD131" s="1"/>
  <c r="U129"/>
  <c r="P131"/>
  <c r="AD121"/>
  <c r="AD123" s="1"/>
  <c r="R123"/>
  <c r="R127"/>
  <c r="P127"/>
  <c r="U125"/>
  <c r="P123"/>
  <c r="U121"/>
  <c r="R120"/>
  <c r="U117"/>
  <c r="P120"/>
  <c r="AD112"/>
  <c r="P112"/>
  <c r="U110"/>
  <c r="P115"/>
  <c r="U113"/>
  <c r="R112"/>
  <c r="AD113"/>
  <c r="AD115" s="1"/>
  <c r="R115"/>
  <c r="AD94"/>
  <c r="AD99" s="1"/>
  <c r="U94"/>
  <c r="P99"/>
  <c r="AD102"/>
  <c r="P102"/>
  <c r="U100"/>
  <c r="Q102"/>
  <c r="R102"/>
  <c r="P108"/>
  <c r="U104"/>
  <c r="AD127" l="1"/>
  <c r="U139"/>
  <c r="V136"/>
  <c r="U131"/>
  <c r="V129"/>
  <c r="U134"/>
  <c r="V132"/>
  <c r="U127"/>
  <c r="V125"/>
  <c r="U123"/>
  <c r="V121"/>
  <c r="U120"/>
  <c r="V117"/>
  <c r="U115"/>
  <c r="V113"/>
  <c r="U112"/>
  <c r="V110"/>
  <c r="U102"/>
  <c r="V100"/>
  <c r="U99"/>
  <c r="V94"/>
  <c r="U108"/>
  <c r="V104"/>
  <c r="V139" l="1"/>
  <c r="X136"/>
  <c r="X139" s="1"/>
  <c r="V131"/>
  <c r="X129"/>
  <c r="X131" s="1"/>
  <c r="V134"/>
  <c r="X132"/>
  <c r="X134" s="1"/>
  <c r="V127"/>
  <c r="X125"/>
  <c r="X127" s="1"/>
  <c r="V123"/>
  <c r="X121"/>
  <c r="X123" s="1"/>
  <c r="V120"/>
  <c r="X117"/>
  <c r="X120" s="1"/>
  <c r="V112"/>
  <c r="X110"/>
  <c r="X112" s="1"/>
  <c r="V115"/>
  <c r="X113"/>
  <c r="X115" s="1"/>
  <c r="V108"/>
  <c r="X104"/>
  <c r="X108" s="1"/>
  <c r="V99"/>
  <c r="X94"/>
  <c r="X99" s="1"/>
  <c r="X100"/>
  <c r="X102" s="1"/>
  <c r="V102"/>
  <c r="Y92" l="1"/>
  <c r="T92"/>
  <c r="S92"/>
  <c r="K92"/>
  <c r="M90"/>
  <c r="L90"/>
  <c r="W90"/>
  <c r="W41" i="45" s="1"/>
  <c r="Y88" i="52"/>
  <c r="T88"/>
  <c r="S88"/>
  <c r="K88"/>
  <c r="M86"/>
  <c r="L86"/>
  <c r="AB86"/>
  <c r="M88" l="1"/>
  <c r="M92"/>
  <c r="L92"/>
  <c r="O90"/>
  <c r="L88"/>
  <c r="O86"/>
  <c r="AC41" i="45"/>
  <c r="X41"/>
  <c r="AB90" i="52"/>
  <c r="Q90" s="1"/>
  <c r="Q86"/>
  <c r="AB88"/>
  <c r="AC86"/>
  <c r="W86"/>
  <c r="W40" i="45" s="1"/>
  <c r="Z86" i="52"/>
  <c r="Z90"/>
  <c r="AB92" l="1"/>
  <c r="AC90"/>
  <c r="AC40" i="45"/>
  <c r="X40"/>
  <c r="W88" i="52"/>
  <c r="Q92"/>
  <c r="W92"/>
  <c r="Z92"/>
  <c r="AA90"/>
  <c r="AA92" s="1"/>
  <c r="P90"/>
  <c r="Z88"/>
  <c r="AA86"/>
  <c r="P86"/>
  <c r="O88"/>
  <c r="R86"/>
  <c r="R90"/>
  <c r="O92"/>
  <c r="AC88"/>
  <c r="Q88"/>
  <c r="R92" l="1"/>
  <c r="AA88"/>
  <c r="AC92"/>
  <c r="AD90"/>
  <c r="AD92" s="1"/>
  <c r="AD86"/>
  <c r="AD88" s="1"/>
  <c r="U86"/>
  <c r="P88"/>
  <c r="R88"/>
  <c r="P92"/>
  <c r="U90"/>
  <c r="U92" l="1"/>
  <c r="V90"/>
  <c r="U88"/>
  <c r="V86"/>
  <c r="V88" l="1"/>
  <c r="X86"/>
  <c r="X88" s="1"/>
  <c r="V92"/>
  <c r="X90"/>
  <c r="X92" s="1"/>
  <c r="Y84" l="1"/>
  <c r="T84"/>
  <c r="S84"/>
  <c r="K84"/>
  <c r="M82"/>
  <c r="L82"/>
  <c r="W82"/>
  <c r="W39" i="45" s="1"/>
  <c r="Y81" i="52"/>
  <c r="T81"/>
  <c r="S81"/>
  <c r="K81"/>
  <c r="M79"/>
  <c r="L79"/>
  <c r="AB79"/>
  <c r="Y77"/>
  <c r="T77"/>
  <c r="S77"/>
  <c r="K77"/>
  <c r="M75"/>
  <c r="L75"/>
  <c r="W75"/>
  <c r="W37" i="45" s="1"/>
  <c r="Y74" i="52"/>
  <c r="T74"/>
  <c r="S74"/>
  <c r="K74"/>
  <c r="M72"/>
  <c r="L72"/>
  <c r="M77" l="1"/>
  <c r="M81"/>
  <c r="M84"/>
  <c r="L84"/>
  <c r="O82"/>
  <c r="L81"/>
  <c r="O79"/>
  <c r="L77"/>
  <c r="O75"/>
  <c r="L74"/>
  <c r="O72"/>
  <c r="AC39" i="45"/>
  <c r="X39"/>
  <c r="X37"/>
  <c r="AC37"/>
  <c r="AB75" i="52"/>
  <c r="Q75" s="1"/>
  <c r="AB82"/>
  <c r="Q82" s="1"/>
  <c r="AB72"/>
  <c r="W72"/>
  <c r="W36" i="45" s="1"/>
  <c r="M74" i="52"/>
  <c r="Z75"/>
  <c r="Z72"/>
  <c r="Q79"/>
  <c r="AB81"/>
  <c r="AC79"/>
  <c r="W79"/>
  <c r="Z79"/>
  <c r="Z82"/>
  <c r="AC75" l="1"/>
  <c r="AB77"/>
  <c r="AC82"/>
  <c r="AB84"/>
  <c r="W81"/>
  <c r="W38" i="45"/>
  <c r="W77" i="52"/>
  <c r="AC36" i="45"/>
  <c r="X36"/>
  <c r="W84" i="52"/>
  <c r="Q81"/>
  <c r="R82"/>
  <c r="O84"/>
  <c r="Z84"/>
  <c r="AA82"/>
  <c r="AA84" s="1"/>
  <c r="P82"/>
  <c r="Z81"/>
  <c r="AA79"/>
  <c r="P79"/>
  <c r="O81"/>
  <c r="R79"/>
  <c r="O74"/>
  <c r="R72"/>
  <c r="R75"/>
  <c r="O77"/>
  <c r="Q72"/>
  <c r="AB74"/>
  <c r="AC72"/>
  <c r="AC81"/>
  <c r="Z74"/>
  <c r="AA72"/>
  <c r="AA74" s="1"/>
  <c r="P72"/>
  <c r="Z77"/>
  <c r="AA75"/>
  <c r="AA77" s="1"/>
  <c r="P75"/>
  <c r="W74"/>
  <c r="AA81" l="1"/>
  <c r="AC84"/>
  <c r="Q84"/>
  <c r="AC77"/>
  <c r="Q77"/>
  <c r="AC38" i="45"/>
  <c r="X38"/>
  <c r="AD79" i="52"/>
  <c r="AD81" s="1"/>
  <c r="AC74"/>
  <c r="Q74"/>
  <c r="AD72"/>
  <c r="AD74" s="1"/>
  <c r="R81"/>
  <c r="U79"/>
  <c r="P81"/>
  <c r="P77"/>
  <c r="U75"/>
  <c r="U72"/>
  <c r="P74"/>
  <c r="AD75"/>
  <c r="AD77" s="1"/>
  <c r="R77"/>
  <c r="R74"/>
  <c r="P84"/>
  <c r="U82"/>
  <c r="AD82"/>
  <c r="AD84" s="1"/>
  <c r="R84"/>
  <c r="U74" l="1"/>
  <c r="V72"/>
  <c r="U81"/>
  <c r="V79"/>
  <c r="U84"/>
  <c r="V82"/>
  <c r="U77"/>
  <c r="V75"/>
  <c r="V77" l="1"/>
  <c r="X75"/>
  <c r="X77" s="1"/>
  <c r="V81"/>
  <c r="X79"/>
  <c r="X81" s="1"/>
  <c r="V74"/>
  <c r="X72"/>
  <c r="X74" s="1"/>
  <c r="V84"/>
  <c r="X82"/>
  <c r="X84" s="1"/>
  <c r="W39" i="58" l="1"/>
  <c r="V39"/>
  <c r="U39"/>
  <c r="T39"/>
  <c r="S39"/>
  <c r="R39"/>
  <c r="Q39"/>
  <c r="P39"/>
  <c r="N39"/>
  <c r="M39"/>
  <c r="L39"/>
  <c r="I39"/>
  <c r="H39"/>
  <c r="G39"/>
  <c r="F39"/>
  <c r="E39"/>
  <c r="D39"/>
  <c r="K39"/>
  <c r="J39"/>
  <c r="C39"/>
  <c r="B39"/>
  <c r="V33"/>
  <c r="T33"/>
  <c r="R33"/>
  <c r="Q33"/>
  <c r="N33"/>
  <c r="M33"/>
  <c r="L33"/>
  <c r="K33"/>
  <c r="J33"/>
  <c r="V31"/>
  <c r="T31"/>
  <c r="R31"/>
  <c r="Q31"/>
  <c r="M31"/>
  <c r="L31"/>
  <c r="K31"/>
  <c r="J31"/>
  <c r="N29"/>
  <c r="N31" s="1"/>
  <c r="W28"/>
  <c r="U28"/>
  <c r="P28"/>
  <c r="I28"/>
  <c r="H28"/>
  <c r="G28"/>
  <c r="F28"/>
  <c r="E28"/>
  <c r="D28"/>
  <c r="C28"/>
  <c r="B28"/>
  <c r="W27"/>
  <c r="W33" s="1"/>
  <c r="U27"/>
  <c r="U33" s="1"/>
  <c r="S27"/>
  <c r="S33" s="1"/>
  <c r="P27"/>
  <c r="P33" s="1"/>
  <c r="I27"/>
  <c r="I33" s="1"/>
  <c r="H27"/>
  <c r="H33" s="1"/>
  <c r="G27"/>
  <c r="G33" s="1"/>
  <c r="F27"/>
  <c r="F33" s="1"/>
  <c r="E27"/>
  <c r="E33" s="1"/>
  <c r="D27"/>
  <c r="D33" s="1"/>
  <c r="C27"/>
  <c r="C33" s="1"/>
  <c r="B27"/>
  <c r="B33" s="1"/>
  <c r="W15"/>
  <c r="V15"/>
  <c r="U15"/>
  <c r="T15"/>
  <c r="S15"/>
  <c r="R15"/>
  <c r="Q15"/>
  <c r="P15"/>
  <c r="M15"/>
  <c r="L15"/>
  <c r="I15"/>
  <c r="H15"/>
  <c r="G15"/>
  <c r="F15"/>
  <c r="E15"/>
  <c r="D15"/>
  <c r="K15"/>
  <c r="J15"/>
  <c r="C15"/>
  <c r="B15"/>
  <c r="V13"/>
  <c r="T13"/>
  <c r="R13"/>
  <c r="Q13"/>
  <c r="N13"/>
  <c r="M13"/>
  <c r="L13"/>
  <c r="K13"/>
  <c r="J13"/>
  <c r="V11"/>
  <c r="T11"/>
  <c r="R11"/>
  <c r="Q11"/>
  <c r="Q14" s="1"/>
  <c r="M11"/>
  <c r="L11"/>
  <c r="L14" s="1"/>
  <c r="K11"/>
  <c r="J11"/>
  <c r="J14" s="1"/>
  <c r="N9"/>
  <c r="N11" s="1"/>
  <c r="W8"/>
  <c r="U8"/>
  <c r="P8"/>
  <c r="I8"/>
  <c r="H8"/>
  <c r="G8"/>
  <c r="F8"/>
  <c r="E8"/>
  <c r="D8"/>
  <c r="C8"/>
  <c r="B8"/>
  <c r="W7"/>
  <c r="U7"/>
  <c r="U11" s="1"/>
  <c r="S7"/>
  <c r="S11" s="1"/>
  <c r="P7"/>
  <c r="P13" s="1"/>
  <c r="I7"/>
  <c r="H7"/>
  <c r="H13" s="1"/>
  <c r="G7"/>
  <c r="F7"/>
  <c r="F13" s="1"/>
  <c r="E7"/>
  <c r="D7"/>
  <c r="D13" s="1"/>
  <c r="C7"/>
  <c r="B7"/>
  <c r="B13" s="1"/>
  <c r="W11" l="1"/>
  <c r="C11"/>
  <c r="E11"/>
  <c r="E14" s="1"/>
  <c r="G11"/>
  <c r="I11"/>
  <c r="G14"/>
  <c r="U14"/>
  <c r="S14"/>
  <c r="W14"/>
  <c r="N14"/>
  <c r="N17" s="1"/>
  <c r="N20" s="1"/>
  <c r="N22" s="1"/>
  <c r="C14"/>
  <c r="I14"/>
  <c r="B11"/>
  <c r="D11"/>
  <c r="F11"/>
  <c r="H11"/>
  <c r="P11"/>
  <c r="C13"/>
  <c r="C17" s="1"/>
  <c r="C20" s="1"/>
  <c r="E13"/>
  <c r="G13"/>
  <c r="G17" s="1"/>
  <c r="G20" s="1"/>
  <c r="I13"/>
  <c r="S13"/>
  <c r="S17" s="1"/>
  <c r="S20" s="1"/>
  <c r="S22" s="1"/>
  <c r="U13"/>
  <c r="U17" s="1"/>
  <c r="U20" s="1"/>
  <c r="W13"/>
  <c r="W17" s="1"/>
  <c r="W20" s="1"/>
  <c r="K14"/>
  <c r="K17" s="1"/>
  <c r="K20" s="1"/>
  <c r="M14"/>
  <c r="M17" s="1"/>
  <c r="M20" s="1"/>
  <c r="M22" s="1"/>
  <c r="J17"/>
  <c r="J20" s="1"/>
  <c r="L17"/>
  <c r="L20" s="1"/>
  <c r="Q17"/>
  <c r="Q20" s="1"/>
  <c r="R14"/>
  <c r="R17" s="1"/>
  <c r="R20" s="1"/>
  <c r="R22" s="1"/>
  <c r="T14"/>
  <c r="T17" s="1"/>
  <c r="T20" s="1"/>
  <c r="T22" s="1"/>
  <c r="V14"/>
  <c r="V17" s="1"/>
  <c r="V20" s="1"/>
  <c r="V22" s="1"/>
  <c r="N34"/>
  <c r="B31"/>
  <c r="D31"/>
  <c r="F31"/>
  <c r="H31"/>
  <c r="P31"/>
  <c r="J34"/>
  <c r="J38" s="1"/>
  <c r="J40" s="1"/>
  <c r="L34"/>
  <c r="R34"/>
  <c r="T34"/>
  <c r="T37" s="1"/>
  <c r="V34"/>
  <c r="C31"/>
  <c r="E31"/>
  <c r="G31"/>
  <c r="I31"/>
  <c r="S31"/>
  <c r="U31"/>
  <c r="W31"/>
  <c r="K34"/>
  <c r="K38" s="1"/>
  <c r="K40" s="1"/>
  <c r="M34"/>
  <c r="M37" s="1"/>
  <c r="Q34"/>
  <c r="I17" l="1"/>
  <c r="I20" s="1"/>
  <c r="V37"/>
  <c r="V38" s="1"/>
  <c r="V40" s="1"/>
  <c r="N37"/>
  <c r="N38" s="1"/>
  <c r="N40" s="1"/>
  <c r="M38"/>
  <c r="M40" s="1"/>
  <c r="T38"/>
  <c r="T40" s="1"/>
  <c r="Q37"/>
  <c r="Q38" s="1"/>
  <c r="Q40" s="1"/>
  <c r="R37"/>
  <c r="R38" s="1"/>
  <c r="R40" s="1"/>
  <c r="L37"/>
  <c r="L38" s="1"/>
  <c r="L40" s="1"/>
  <c r="E17"/>
  <c r="E20" s="1"/>
  <c r="W34"/>
  <c r="I34"/>
  <c r="E34"/>
  <c r="P34"/>
  <c r="F34"/>
  <c r="B34"/>
  <c r="B38" s="1"/>
  <c r="B40" s="1"/>
  <c r="H14"/>
  <c r="H17" s="1"/>
  <c r="H20" s="1"/>
  <c r="D14"/>
  <c r="D17" s="1"/>
  <c r="D20" s="1"/>
  <c r="S34"/>
  <c r="U34"/>
  <c r="G34"/>
  <c r="C34"/>
  <c r="C38" s="1"/>
  <c r="C40" s="1"/>
  <c r="H34"/>
  <c r="D34"/>
  <c r="P14"/>
  <c r="P17" s="1"/>
  <c r="P20" s="1"/>
  <c r="F14"/>
  <c r="F17"/>
  <c r="F20" s="1"/>
  <c r="B14"/>
  <c r="B17"/>
  <c r="B20" s="1"/>
  <c r="G38" l="1"/>
  <c r="G40" s="1"/>
  <c r="G37"/>
  <c r="S38"/>
  <c r="S40" s="1"/>
  <c r="S37"/>
  <c r="D38"/>
  <c r="D40" s="1"/>
  <c r="D37"/>
  <c r="U38"/>
  <c r="U40" s="1"/>
  <c r="U37"/>
  <c r="P38"/>
  <c r="P40" s="1"/>
  <c r="P37"/>
  <c r="I38"/>
  <c r="I40" s="1"/>
  <c r="I37"/>
  <c r="H38"/>
  <c r="H40" s="1"/>
  <c r="H37"/>
  <c r="F38"/>
  <c r="F40" s="1"/>
  <c r="F37"/>
  <c r="E38"/>
  <c r="E40" s="1"/>
  <c r="E37"/>
  <c r="W38"/>
  <c r="W40" s="1"/>
  <c r="W37"/>
  <c r="B34" i="45" l="1"/>
  <c r="H34" s="1"/>
  <c r="B32"/>
  <c r="H32" s="1"/>
  <c r="B33"/>
  <c r="H33" s="1"/>
  <c r="B31"/>
  <c r="H31" s="1"/>
  <c r="B30"/>
  <c r="H30" s="1"/>
  <c r="B29"/>
  <c r="H29" s="1"/>
  <c r="B28"/>
  <c r="H28" s="1"/>
  <c r="B27"/>
  <c r="H27" s="1"/>
  <c r="B25"/>
  <c r="H25" s="1"/>
  <c r="B26"/>
  <c r="H26" s="1"/>
  <c r="B24"/>
  <c r="H24" s="1"/>
  <c r="B22"/>
  <c r="H22" s="1"/>
  <c r="B23"/>
  <c r="H23" s="1"/>
  <c r="B21"/>
  <c r="H21" s="1"/>
  <c r="B19"/>
  <c r="H19" s="1"/>
  <c r="B20"/>
  <c r="H20" s="1"/>
  <c r="B18"/>
  <c r="H18" s="1"/>
  <c r="B15"/>
  <c r="H15" s="1"/>
  <c r="B16"/>
  <c r="H16" s="1"/>
  <c r="B17"/>
  <c r="H17" s="1"/>
  <c r="B14"/>
  <c r="H14" s="1"/>
  <c r="B13"/>
  <c r="H13" s="1"/>
  <c r="B9"/>
  <c r="H9" s="1"/>
  <c r="B10"/>
  <c r="H10" s="1"/>
  <c r="B11"/>
  <c r="H11" s="1"/>
  <c r="B12"/>
  <c r="H12" s="1"/>
  <c r="B8"/>
  <c r="Y66" i="52"/>
  <c r="T66"/>
  <c r="S66"/>
  <c r="K66"/>
  <c r="M64"/>
  <c r="L64"/>
  <c r="AB64"/>
  <c r="Q64" s="1"/>
  <c r="Y62"/>
  <c r="T62"/>
  <c r="S62"/>
  <c r="K62"/>
  <c r="M60"/>
  <c r="L60"/>
  <c r="AB60"/>
  <c r="M59"/>
  <c r="L59"/>
  <c r="AB59"/>
  <c r="M58"/>
  <c r="L58"/>
  <c r="AB58"/>
  <c r="Y56"/>
  <c r="T56"/>
  <c r="S56"/>
  <c r="K56"/>
  <c r="M54"/>
  <c r="L54"/>
  <c r="W54"/>
  <c r="Y52"/>
  <c r="T52"/>
  <c r="S52"/>
  <c r="K52"/>
  <c r="M50"/>
  <c r="L50"/>
  <c r="Y48"/>
  <c r="T48"/>
  <c r="S48"/>
  <c r="K48"/>
  <c r="M46"/>
  <c r="L46"/>
  <c r="W46"/>
  <c r="M45"/>
  <c r="L45"/>
  <c r="W45"/>
  <c r="Y43"/>
  <c r="T43"/>
  <c r="S43"/>
  <c r="K43"/>
  <c r="M41"/>
  <c r="L41"/>
  <c r="AB41"/>
  <c r="M40"/>
  <c r="L40"/>
  <c r="AB40"/>
  <c r="M39"/>
  <c r="L39"/>
  <c r="Y37"/>
  <c r="T37"/>
  <c r="S37"/>
  <c r="K37"/>
  <c r="M35"/>
  <c r="L35"/>
  <c r="W35"/>
  <c r="M34"/>
  <c r="L34"/>
  <c r="W34"/>
  <c r="M33"/>
  <c r="L33"/>
  <c r="W33"/>
  <c r="Y31"/>
  <c r="T31"/>
  <c r="S31"/>
  <c r="K31"/>
  <c r="M29"/>
  <c r="L29"/>
  <c r="W29"/>
  <c r="M28"/>
  <c r="L28"/>
  <c r="W28"/>
  <c r="M27"/>
  <c r="L27"/>
  <c r="W27"/>
  <c r="Y25"/>
  <c r="T25"/>
  <c r="S25"/>
  <c r="K25"/>
  <c r="M23"/>
  <c r="L23"/>
  <c r="M22"/>
  <c r="L22"/>
  <c r="M21"/>
  <c r="L21"/>
  <c r="M20"/>
  <c r="L20"/>
  <c r="Y18"/>
  <c r="T18"/>
  <c r="S18"/>
  <c r="K18"/>
  <c r="M16"/>
  <c r="L16"/>
  <c r="W16"/>
  <c r="Y15"/>
  <c r="T15"/>
  <c r="S15"/>
  <c r="K15"/>
  <c r="M13"/>
  <c r="L13"/>
  <c r="AB13"/>
  <c r="M12"/>
  <c r="L12"/>
  <c r="AB12"/>
  <c r="M11"/>
  <c r="L11"/>
  <c r="AB11"/>
  <c r="M10"/>
  <c r="L10"/>
  <c r="AB10"/>
  <c r="L9"/>
  <c r="O9" s="1"/>
  <c r="AB9"/>
  <c r="A3"/>
  <c r="M18" l="1"/>
  <c r="Z34"/>
  <c r="P34" s="1"/>
  <c r="O34"/>
  <c r="H8" i="45"/>
  <c r="C17" i="46"/>
  <c r="F17"/>
  <c r="Z29" i="52"/>
  <c r="O29"/>
  <c r="Z35"/>
  <c r="O35"/>
  <c r="Z46"/>
  <c r="O46"/>
  <c r="Z60"/>
  <c r="O60"/>
  <c r="L66"/>
  <c r="O64"/>
  <c r="Z59"/>
  <c r="O59"/>
  <c r="L62"/>
  <c r="O58"/>
  <c r="L56"/>
  <c r="O54"/>
  <c r="L52"/>
  <c r="O50"/>
  <c r="L48"/>
  <c r="O45"/>
  <c r="O39"/>
  <c r="Z41"/>
  <c r="P41" s="1"/>
  <c r="O41"/>
  <c r="Z40"/>
  <c r="P40" s="1"/>
  <c r="O40"/>
  <c r="L37"/>
  <c r="O33"/>
  <c r="Z28"/>
  <c r="P28" s="1"/>
  <c r="O28"/>
  <c r="L31"/>
  <c r="O27"/>
  <c r="L25"/>
  <c r="O20"/>
  <c r="Z21"/>
  <c r="AA21" s="1"/>
  <c r="O21"/>
  <c r="Z22"/>
  <c r="AA22" s="1"/>
  <c r="O22"/>
  <c r="Z23"/>
  <c r="AA23" s="1"/>
  <c r="O23"/>
  <c r="Z13"/>
  <c r="P13" s="1"/>
  <c r="O13"/>
  <c r="Z12"/>
  <c r="P12" s="1"/>
  <c r="O12"/>
  <c r="L18"/>
  <c r="O16"/>
  <c r="Z10"/>
  <c r="AA10" s="1"/>
  <c r="O10"/>
  <c r="Z11"/>
  <c r="P11" s="1"/>
  <c r="O11"/>
  <c r="W18"/>
  <c r="F19" i="46"/>
  <c r="F18"/>
  <c r="J8" i="45"/>
  <c r="E8"/>
  <c r="I12" i="46" s="1"/>
  <c r="G8" i="45"/>
  <c r="K8"/>
  <c r="C13" i="46" s="1"/>
  <c r="F8" i="45"/>
  <c r="D8"/>
  <c r="C12" i="46" s="1"/>
  <c r="C8" i="45"/>
  <c r="C11" i="46" s="1"/>
  <c r="D12" i="45"/>
  <c r="F12"/>
  <c r="K12"/>
  <c r="J12"/>
  <c r="E12"/>
  <c r="C12"/>
  <c r="G12"/>
  <c r="D10"/>
  <c r="F10"/>
  <c r="K10"/>
  <c r="J10"/>
  <c r="C10"/>
  <c r="G10"/>
  <c r="E10"/>
  <c r="W13"/>
  <c r="D13"/>
  <c r="F13"/>
  <c r="K13"/>
  <c r="J13"/>
  <c r="E13"/>
  <c r="C13"/>
  <c r="G13"/>
  <c r="D14"/>
  <c r="F14"/>
  <c r="K14"/>
  <c r="J14"/>
  <c r="E14"/>
  <c r="C14"/>
  <c r="G14"/>
  <c r="D16"/>
  <c r="F16"/>
  <c r="K16"/>
  <c r="J16"/>
  <c r="C16"/>
  <c r="G16"/>
  <c r="E16"/>
  <c r="W18"/>
  <c r="K18"/>
  <c r="J18"/>
  <c r="C18"/>
  <c r="E18"/>
  <c r="G18"/>
  <c r="D18"/>
  <c r="F18"/>
  <c r="I18" s="1"/>
  <c r="W20"/>
  <c r="K20"/>
  <c r="J20"/>
  <c r="C20"/>
  <c r="E20"/>
  <c r="G20"/>
  <c r="D20"/>
  <c r="F20"/>
  <c r="I20" s="1"/>
  <c r="W21"/>
  <c r="K21"/>
  <c r="J21"/>
  <c r="D21"/>
  <c r="C21"/>
  <c r="E21"/>
  <c r="G21"/>
  <c r="F21"/>
  <c r="W23"/>
  <c r="F23"/>
  <c r="K23"/>
  <c r="J23"/>
  <c r="C23"/>
  <c r="E23"/>
  <c r="G23"/>
  <c r="D23"/>
  <c r="K24"/>
  <c r="J24"/>
  <c r="C24"/>
  <c r="E24"/>
  <c r="G24"/>
  <c r="F24"/>
  <c r="D24"/>
  <c r="K26"/>
  <c r="J26"/>
  <c r="C26"/>
  <c r="E26"/>
  <c r="G26"/>
  <c r="D26"/>
  <c r="F26"/>
  <c r="I26" s="1"/>
  <c r="W27"/>
  <c r="K27"/>
  <c r="J27"/>
  <c r="C27"/>
  <c r="E27"/>
  <c r="G27"/>
  <c r="D27"/>
  <c r="F27"/>
  <c r="I27" s="1"/>
  <c r="K29"/>
  <c r="J29"/>
  <c r="C29"/>
  <c r="E29"/>
  <c r="G29"/>
  <c r="F29"/>
  <c r="D29"/>
  <c r="W30"/>
  <c r="K30"/>
  <c r="J30"/>
  <c r="C30"/>
  <c r="E30"/>
  <c r="G30"/>
  <c r="D30"/>
  <c r="F30"/>
  <c r="I30" s="1"/>
  <c r="K31"/>
  <c r="J31"/>
  <c r="C31"/>
  <c r="E31"/>
  <c r="G31"/>
  <c r="D31"/>
  <c r="F31"/>
  <c r="I31" s="1"/>
  <c r="K33"/>
  <c r="J33"/>
  <c r="C33"/>
  <c r="E33"/>
  <c r="G33"/>
  <c r="F33"/>
  <c r="D33"/>
  <c r="J34"/>
  <c r="C34"/>
  <c r="E34"/>
  <c r="G34"/>
  <c r="K34"/>
  <c r="D34"/>
  <c r="F34"/>
  <c r="K11"/>
  <c r="J11"/>
  <c r="C11"/>
  <c r="E11"/>
  <c r="G11"/>
  <c r="F11"/>
  <c r="D11"/>
  <c r="K9"/>
  <c r="J9"/>
  <c r="C9"/>
  <c r="E9"/>
  <c r="G9"/>
  <c r="D9"/>
  <c r="F9"/>
  <c r="I9" s="1"/>
  <c r="K17"/>
  <c r="J17"/>
  <c r="C17"/>
  <c r="E17"/>
  <c r="G17"/>
  <c r="F17"/>
  <c r="D17"/>
  <c r="K15"/>
  <c r="J15"/>
  <c r="C15"/>
  <c r="E15"/>
  <c r="G15"/>
  <c r="D15"/>
  <c r="F15"/>
  <c r="I15" s="1"/>
  <c r="K19"/>
  <c r="J19"/>
  <c r="W19"/>
  <c r="G19"/>
  <c r="D19"/>
  <c r="F19"/>
  <c r="I19" s="1"/>
  <c r="C19"/>
  <c r="E19"/>
  <c r="K22"/>
  <c r="J22"/>
  <c r="W22"/>
  <c r="C22"/>
  <c r="G22"/>
  <c r="D22"/>
  <c r="F22"/>
  <c r="I22" s="1"/>
  <c r="E22"/>
  <c r="K25"/>
  <c r="J25"/>
  <c r="D25"/>
  <c r="F25"/>
  <c r="E25"/>
  <c r="C25"/>
  <c r="G25"/>
  <c r="K28"/>
  <c r="J28"/>
  <c r="W28"/>
  <c r="D28"/>
  <c r="F28"/>
  <c r="E28"/>
  <c r="C28"/>
  <c r="G28"/>
  <c r="K32"/>
  <c r="J32"/>
  <c r="D32"/>
  <c r="F32"/>
  <c r="E32"/>
  <c r="C32"/>
  <c r="G32"/>
  <c r="AB16" i="52"/>
  <c r="Q16" s="1"/>
  <c r="M31"/>
  <c r="AB27"/>
  <c r="AB29"/>
  <c r="M37"/>
  <c r="AB33"/>
  <c r="Q33" s="1"/>
  <c r="AB35"/>
  <c r="M48"/>
  <c r="AB45"/>
  <c r="AC45" s="1"/>
  <c r="M56"/>
  <c r="AB54"/>
  <c r="Q54" s="1"/>
  <c r="M62"/>
  <c r="M66"/>
  <c r="AB28"/>
  <c r="AB34"/>
  <c r="AB46"/>
  <c r="L15"/>
  <c r="W31"/>
  <c r="W37"/>
  <c r="W48"/>
  <c r="W64"/>
  <c r="W34" i="45" s="1"/>
  <c r="M15" i="52"/>
  <c r="M43"/>
  <c r="L43"/>
  <c r="Q10"/>
  <c r="AC10"/>
  <c r="Q12"/>
  <c r="AC12"/>
  <c r="Q9"/>
  <c r="AC9"/>
  <c r="Q11"/>
  <c r="AC11"/>
  <c r="Q13"/>
  <c r="AC13"/>
  <c r="AB21"/>
  <c r="W21"/>
  <c r="W15" i="45" s="1"/>
  <c r="AB23" i="52"/>
  <c r="W23"/>
  <c r="W17" i="45" s="1"/>
  <c r="AA29" i="52"/>
  <c r="P29"/>
  <c r="AA35"/>
  <c r="P35"/>
  <c r="W9"/>
  <c r="W8" i="45" s="1"/>
  <c r="Z9" i="52"/>
  <c r="W10"/>
  <c r="W9" i="45" s="1"/>
  <c r="W11" i="52"/>
  <c r="W10" i="45" s="1"/>
  <c r="W12" i="52"/>
  <c r="W11" i="45" s="1"/>
  <c r="W13" i="52"/>
  <c r="W12" i="45" s="1"/>
  <c r="Z16" i="52"/>
  <c r="AB20"/>
  <c r="W20"/>
  <c r="W14" i="45" s="1"/>
  <c r="M25" i="52"/>
  <c r="AB22"/>
  <c r="W22"/>
  <c r="W16" i="45" s="1"/>
  <c r="Z27" i="52"/>
  <c r="Q40"/>
  <c r="AC40"/>
  <c r="AA46"/>
  <c r="P46"/>
  <c r="Z20"/>
  <c r="Z33"/>
  <c r="AB39"/>
  <c r="W39"/>
  <c r="W24" i="45" s="1"/>
  <c r="Q41" i="52"/>
  <c r="AC41"/>
  <c r="Z45"/>
  <c r="Z39"/>
  <c r="W40"/>
  <c r="W25" i="45" s="1"/>
  <c r="W41" i="52"/>
  <c r="W26" i="45" s="1"/>
  <c r="AB50" i="52"/>
  <c r="W50"/>
  <c r="W29" i="45" s="1"/>
  <c r="M52" i="52"/>
  <c r="Z54"/>
  <c r="Q58"/>
  <c r="AB62"/>
  <c r="AC58"/>
  <c r="AA59"/>
  <c r="P59"/>
  <c r="Q60"/>
  <c r="AC60"/>
  <c r="Z50"/>
  <c r="Q59"/>
  <c r="AC59"/>
  <c r="AA60"/>
  <c r="P60"/>
  <c r="AB66"/>
  <c r="AC64"/>
  <c r="W58"/>
  <c r="W31" i="45" s="1"/>
  <c r="Z58" i="52"/>
  <c r="W59"/>
  <c r="W32" i="45" s="1"/>
  <c r="W60" i="52"/>
  <c r="W33" i="45" s="1"/>
  <c r="Z64" i="52"/>
  <c r="AA40" l="1"/>
  <c r="AA11"/>
  <c r="AA41"/>
  <c r="AD41" s="1"/>
  <c r="P23"/>
  <c r="P10"/>
  <c r="W56"/>
  <c r="AC16"/>
  <c r="AB31"/>
  <c r="AC54"/>
  <c r="AA34"/>
  <c r="AA28"/>
  <c r="AA12"/>
  <c r="AD12" s="1"/>
  <c r="AA13"/>
  <c r="AD13" s="1"/>
  <c r="AB56"/>
  <c r="P21"/>
  <c r="P22"/>
  <c r="AB37"/>
  <c r="N25" i="45"/>
  <c r="AA22"/>
  <c r="AA31"/>
  <c r="AA30"/>
  <c r="I29"/>
  <c r="AA29" s="1"/>
  <c r="N29"/>
  <c r="AA27"/>
  <c r="AA26"/>
  <c r="I24"/>
  <c r="AA24" s="1"/>
  <c r="N24"/>
  <c r="N23"/>
  <c r="I21"/>
  <c r="AA21" s="1"/>
  <c r="AA20"/>
  <c r="AA18"/>
  <c r="N14"/>
  <c r="N12"/>
  <c r="I12"/>
  <c r="AA12" s="1"/>
  <c r="AB18" i="52"/>
  <c r="I23" i="45"/>
  <c r="AA23" s="1"/>
  <c r="I14"/>
  <c r="AA14" s="1"/>
  <c r="Q14" s="1"/>
  <c r="I28"/>
  <c r="AA28" s="1"/>
  <c r="I25"/>
  <c r="AA25" s="1"/>
  <c r="N15"/>
  <c r="N9"/>
  <c r="I34"/>
  <c r="AA34" s="1"/>
  <c r="I33"/>
  <c r="AA33" s="1"/>
  <c r="N33"/>
  <c r="I32"/>
  <c r="AA32" s="1"/>
  <c r="N32"/>
  <c r="N28"/>
  <c r="N22"/>
  <c r="AA19"/>
  <c r="N19"/>
  <c r="AA15"/>
  <c r="I17"/>
  <c r="AA17" s="1"/>
  <c r="N17"/>
  <c r="AA9"/>
  <c r="I11"/>
  <c r="AA11" s="1"/>
  <c r="N11"/>
  <c r="N31"/>
  <c r="N30"/>
  <c r="N27"/>
  <c r="N26"/>
  <c r="N21"/>
  <c r="N20"/>
  <c r="N18"/>
  <c r="N16"/>
  <c r="I16"/>
  <c r="AA16" s="1"/>
  <c r="N13"/>
  <c r="I13"/>
  <c r="AA13" s="1"/>
  <c r="N10"/>
  <c r="I10"/>
  <c r="AA10" s="1"/>
  <c r="C15" i="46"/>
  <c r="D15" s="1"/>
  <c r="L8" i="45"/>
  <c r="I8"/>
  <c r="AA8" s="1"/>
  <c r="C16" i="46"/>
  <c r="D16" s="1"/>
  <c r="M8" i="45"/>
  <c r="N8"/>
  <c r="N34"/>
  <c r="D17" i="46"/>
  <c r="AC33" i="52"/>
  <c r="AC29"/>
  <c r="AD29" s="1"/>
  <c r="Q29"/>
  <c r="AC46"/>
  <c r="AD46" s="1"/>
  <c r="Q46"/>
  <c r="AC34"/>
  <c r="AD34" s="1"/>
  <c r="Q34"/>
  <c r="AC28"/>
  <c r="AD28" s="1"/>
  <c r="Q28"/>
  <c r="AB48"/>
  <c r="Q45"/>
  <c r="Q48" s="1"/>
  <c r="AC35"/>
  <c r="AD35" s="1"/>
  <c r="Q35"/>
  <c r="AC27"/>
  <c r="AC31" s="1"/>
  <c r="Q27"/>
  <c r="Q31" s="1"/>
  <c r="AC56"/>
  <c r="Q66"/>
  <c r="W66"/>
  <c r="Z66"/>
  <c r="AA64"/>
  <c r="AA66" s="1"/>
  <c r="P64"/>
  <c r="Z62"/>
  <c r="AA58"/>
  <c r="AA62" s="1"/>
  <c r="P58"/>
  <c r="O62"/>
  <c r="R58"/>
  <c r="Z52"/>
  <c r="AA50"/>
  <c r="AA52" s="1"/>
  <c r="P50"/>
  <c r="AC62"/>
  <c r="Q62"/>
  <c r="Z56"/>
  <c r="AA54"/>
  <c r="AA56" s="1"/>
  <c r="P54"/>
  <c r="R54"/>
  <c r="O56"/>
  <c r="AD54"/>
  <c r="Q50"/>
  <c r="AB52"/>
  <c r="AC50"/>
  <c r="Z43"/>
  <c r="AA39"/>
  <c r="P39"/>
  <c r="Z48"/>
  <c r="AA45"/>
  <c r="P45"/>
  <c r="W43"/>
  <c r="R34"/>
  <c r="U34" s="1"/>
  <c r="V34" s="1"/>
  <c r="X34" s="1"/>
  <c r="R33"/>
  <c r="O37"/>
  <c r="R22"/>
  <c r="Z25"/>
  <c r="AA20"/>
  <c r="AA25" s="1"/>
  <c r="P20"/>
  <c r="R28"/>
  <c r="U28" s="1"/>
  <c r="V28" s="1"/>
  <c r="X28" s="1"/>
  <c r="R27"/>
  <c r="O31"/>
  <c r="Q22"/>
  <c r="AC22"/>
  <c r="AD22" s="1"/>
  <c r="Q20"/>
  <c r="AB25"/>
  <c r="AC20"/>
  <c r="Z18"/>
  <c r="AA16"/>
  <c r="P16"/>
  <c r="R13"/>
  <c r="U13" s="1"/>
  <c r="V13" s="1"/>
  <c r="X13" s="1"/>
  <c r="R12"/>
  <c r="U12" s="1"/>
  <c r="V12" s="1"/>
  <c r="X12" s="1"/>
  <c r="AD11"/>
  <c r="R11"/>
  <c r="U11" s="1"/>
  <c r="V11" s="1"/>
  <c r="X11" s="1"/>
  <c r="AD10"/>
  <c r="R10"/>
  <c r="U10" s="1"/>
  <c r="V10" s="1"/>
  <c r="X10" s="1"/>
  <c r="W15"/>
  <c r="Q21"/>
  <c r="AC21"/>
  <c r="AD21" s="1"/>
  <c r="AB15"/>
  <c r="R64"/>
  <c r="O66"/>
  <c r="AD60"/>
  <c r="R60"/>
  <c r="U60" s="1"/>
  <c r="V60" s="1"/>
  <c r="X60" s="1"/>
  <c r="AD59"/>
  <c r="R59"/>
  <c r="U59" s="1"/>
  <c r="V59" s="1"/>
  <c r="X59" s="1"/>
  <c r="W62"/>
  <c r="AC66"/>
  <c r="O52"/>
  <c r="R50"/>
  <c r="W52"/>
  <c r="R41"/>
  <c r="U41" s="1"/>
  <c r="V41" s="1"/>
  <c r="X41" s="1"/>
  <c r="AD40"/>
  <c r="R40"/>
  <c r="U40" s="1"/>
  <c r="V40" s="1"/>
  <c r="X40" s="1"/>
  <c r="O43"/>
  <c r="R39"/>
  <c r="R46"/>
  <c r="R45"/>
  <c r="O48"/>
  <c r="Q39"/>
  <c r="Q43" s="1"/>
  <c r="AB43"/>
  <c r="AC39"/>
  <c r="AC43" s="1"/>
  <c r="R35"/>
  <c r="Z37"/>
  <c r="AA33"/>
  <c r="P33"/>
  <c r="R23"/>
  <c r="R21"/>
  <c r="O25"/>
  <c r="R20"/>
  <c r="R29"/>
  <c r="U29" s="1"/>
  <c r="V29" s="1"/>
  <c r="X29" s="1"/>
  <c r="Z31"/>
  <c r="AA27"/>
  <c r="AA31" s="1"/>
  <c r="P27"/>
  <c r="W25"/>
  <c r="R16"/>
  <c r="O18"/>
  <c r="Z15"/>
  <c r="AA9"/>
  <c r="P9"/>
  <c r="O15"/>
  <c r="R9"/>
  <c r="Q23"/>
  <c r="AC23"/>
  <c r="AD23" s="1"/>
  <c r="C9" i="46"/>
  <c r="M34" i="45"/>
  <c r="L34"/>
  <c r="M33"/>
  <c r="L33"/>
  <c r="M32"/>
  <c r="L32"/>
  <c r="M31"/>
  <c r="L31"/>
  <c r="M30"/>
  <c r="L30"/>
  <c r="M29"/>
  <c r="L29"/>
  <c r="M28"/>
  <c r="L28"/>
  <c r="M27"/>
  <c r="L27"/>
  <c r="M26"/>
  <c r="L26"/>
  <c r="M25"/>
  <c r="L25"/>
  <c r="M24"/>
  <c r="L24"/>
  <c r="M23"/>
  <c r="L23"/>
  <c r="M22"/>
  <c r="L22"/>
  <c r="M21"/>
  <c r="L21"/>
  <c r="M20"/>
  <c r="L20"/>
  <c r="M19"/>
  <c r="L19"/>
  <c r="M18"/>
  <c r="L18"/>
  <c r="M17"/>
  <c r="L17"/>
  <c r="M16"/>
  <c r="L16"/>
  <c r="M15"/>
  <c r="L15"/>
  <c r="M14"/>
  <c r="L14"/>
  <c r="M13"/>
  <c r="L13"/>
  <c r="M12"/>
  <c r="L12"/>
  <c r="M11"/>
  <c r="L11"/>
  <c r="M10"/>
  <c r="L10"/>
  <c r="M9"/>
  <c r="L9"/>
  <c r="AA15" i="52" l="1"/>
  <c r="R43"/>
  <c r="U23"/>
  <c r="V23" s="1"/>
  <c r="X23" s="1"/>
  <c r="R18"/>
  <c r="AA37"/>
  <c r="AA18"/>
  <c r="U22"/>
  <c r="V22" s="1"/>
  <c r="X22" s="1"/>
  <c r="AA48"/>
  <c r="AA43"/>
  <c r="U35"/>
  <c r="V35" s="1"/>
  <c r="X35" s="1"/>
  <c r="AD45"/>
  <c r="U46"/>
  <c r="V46" s="1"/>
  <c r="X46" s="1"/>
  <c r="AD64"/>
  <c r="AD50"/>
  <c r="AD52" s="1"/>
  <c r="Q56"/>
  <c r="Q15"/>
  <c r="AD20"/>
  <c r="U21"/>
  <c r="V21" s="1"/>
  <c r="X21" s="1"/>
  <c r="O14" i="45"/>
  <c r="O21"/>
  <c r="O27"/>
  <c r="O30"/>
  <c r="O34"/>
  <c r="O13"/>
  <c r="AD16" i="52"/>
  <c r="Y16" i="45"/>
  <c r="Z16" s="1"/>
  <c r="O16"/>
  <c r="Y9"/>
  <c r="Z9" s="1"/>
  <c r="O9"/>
  <c r="Y10"/>
  <c r="Z10" s="1"/>
  <c r="O10"/>
  <c r="Y11"/>
  <c r="Z11" s="1"/>
  <c r="O11"/>
  <c r="Y12"/>
  <c r="Z12" s="1"/>
  <c r="O12"/>
  <c r="O18"/>
  <c r="Y19"/>
  <c r="Z19" s="1"/>
  <c r="O19"/>
  <c r="Y20"/>
  <c r="Z20" s="1"/>
  <c r="O20"/>
  <c r="O24"/>
  <c r="Y25"/>
  <c r="P25" s="1"/>
  <c r="O25"/>
  <c r="Y26"/>
  <c r="Z26" s="1"/>
  <c r="O26"/>
  <c r="O29"/>
  <c r="O31"/>
  <c r="Y32"/>
  <c r="Z32" s="1"/>
  <c r="O32"/>
  <c r="Y33"/>
  <c r="P33" s="1"/>
  <c r="O33"/>
  <c r="C20" i="46"/>
  <c r="Y15" i="45"/>
  <c r="Z15" s="1"/>
  <c r="O15"/>
  <c r="Y17"/>
  <c r="Z17" s="1"/>
  <c r="O17"/>
  <c r="Y22"/>
  <c r="Z22" s="1"/>
  <c r="O22"/>
  <c r="Y23"/>
  <c r="Z23" s="1"/>
  <c r="O23"/>
  <c r="Y28"/>
  <c r="Z28" s="1"/>
  <c r="O28"/>
  <c r="O8"/>
  <c r="D20" i="46"/>
  <c r="C7"/>
  <c r="C8"/>
  <c r="R66" i="52"/>
  <c r="AC48"/>
  <c r="AC37"/>
  <c r="Q37"/>
  <c r="AC18"/>
  <c r="Q18"/>
  <c r="R52"/>
  <c r="R15"/>
  <c r="AD66"/>
  <c r="AC15"/>
  <c r="AD9"/>
  <c r="Q34" i="45"/>
  <c r="AD15" i="52"/>
  <c r="U9"/>
  <c r="P15"/>
  <c r="AD25"/>
  <c r="P37"/>
  <c r="U33"/>
  <c r="AD39"/>
  <c r="AD43" s="1"/>
  <c r="AD27"/>
  <c r="AD31" s="1"/>
  <c r="R31"/>
  <c r="U20"/>
  <c r="P25"/>
  <c r="R37"/>
  <c r="U39"/>
  <c r="P43"/>
  <c r="AD56"/>
  <c r="R56"/>
  <c r="P56"/>
  <c r="U54"/>
  <c r="P66"/>
  <c r="U64"/>
  <c r="AD18"/>
  <c r="P31"/>
  <c r="U27"/>
  <c r="R25"/>
  <c r="AD48"/>
  <c r="R48"/>
  <c r="P18"/>
  <c r="U16"/>
  <c r="AC25"/>
  <c r="Q25"/>
  <c r="AD33"/>
  <c r="AD37" s="1"/>
  <c r="P48"/>
  <c r="U45"/>
  <c r="AC52"/>
  <c r="Q52"/>
  <c r="U50"/>
  <c r="P52"/>
  <c r="R62"/>
  <c r="AD58"/>
  <c r="AD62" s="1"/>
  <c r="U58"/>
  <c r="P62"/>
  <c r="Q13" i="45"/>
  <c r="AB21"/>
  <c r="AB22"/>
  <c r="AB15"/>
  <c r="Q15"/>
  <c r="AB17"/>
  <c r="Q17"/>
  <c r="AB16"/>
  <c r="Q16"/>
  <c r="Q9"/>
  <c r="AB9"/>
  <c r="Q11"/>
  <c r="AB11"/>
  <c r="Q8"/>
  <c r="F16" i="46" s="1"/>
  <c r="AB8" i="45"/>
  <c r="F11" i="46" s="1"/>
  <c r="Q10" i="45"/>
  <c r="AB10"/>
  <c r="Q12"/>
  <c r="AB12"/>
  <c r="Y13"/>
  <c r="Q18"/>
  <c r="AB18"/>
  <c r="Q24"/>
  <c r="AB24"/>
  <c r="Q26"/>
  <c r="AB26"/>
  <c r="Y8"/>
  <c r="Q19"/>
  <c r="AB19"/>
  <c r="Q20"/>
  <c r="AB20"/>
  <c r="Q25"/>
  <c r="AB25"/>
  <c r="Y14"/>
  <c r="Y21"/>
  <c r="Q27"/>
  <c r="AB27"/>
  <c r="AB29"/>
  <c r="Q29"/>
  <c r="AB14"/>
  <c r="Y18"/>
  <c r="Y24"/>
  <c r="Q28"/>
  <c r="AB28"/>
  <c r="Y29"/>
  <c r="Y27"/>
  <c r="Q30"/>
  <c r="AB30"/>
  <c r="Q33"/>
  <c r="AB33"/>
  <c r="Y30"/>
  <c r="Q31"/>
  <c r="AB31"/>
  <c r="Q32"/>
  <c r="AB32"/>
  <c r="AB34"/>
  <c r="Y31"/>
  <c r="Y34"/>
  <c r="P28" l="1"/>
  <c r="P19"/>
  <c r="P15"/>
  <c r="P22"/>
  <c r="P17"/>
  <c r="P23"/>
  <c r="P20"/>
  <c r="Z33"/>
  <c r="AC33" s="1"/>
  <c r="P16"/>
  <c r="P9"/>
  <c r="P10"/>
  <c r="P32"/>
  <c r="P26"/>
  <c r="Z25"/>
  <c r="AC25" s="1"/>
  <c r="P11"/>
  <c r="P12"/>
  <c r="AB13"/>
  <c r="Q22"/>
  <c r="U62" i="52"/>
  <c r="V58"/>
  <c r="U52"/>
  <c r="V50"/>
  <c r="U18"/>
  <c r="V16"/>
  <c r="U31"/>
  <c r="V27"/>
  <c r="U43"/>
  <c r="V39"/>
  <c r="U37"/>
  <c r="V33"/>
  <c r="U15"/>
  <c r="V9"/>
  <c r="U48"/>
  <c r="V45"/>
  <c r="U66"/>
  <c r="V64"/>
  <c r="U56"/>
  <c r="V54"/>
  <c r="U25"/>
  <c r="V20"/>
  <c r="AB23" i="45"/>
  <c r="AC23" s="1"/>
  <c r="Q23"/>
  <c r="Q21"/>
  <c r="R34"/>
  <c r="R33"/>
  <c r="U33" s="1"/>
  <c r="V33" s="1"/>
  <c r="X33" s="1"/>
  <c r="AC32"/>
  <c r="R32"/>
  <c r="Z27"/>
  <c r="P27"/>
  <c r="R27"/>
  <c r="Z29"/>
  <c r="AC29" s="1"/>
  <c r="P29"/>
  <c r="AC26"/>
  <c r="R26"/>
  <c r="R25"/>
  <c r="U25" s="1"/>
  <c r="V25" s="1"/>
  <c r="X25" s="1"/>
  <c r="AC20"/>
  <c r="R20"/>
  <c r="Z18"/>
  <c r="P18"/>
  <c r="R18"/>
  <c r="R23"/>
  <c r="Z21"/>
  <c r="AC21" s="1"/>
  <c r="P21"/>
  <c r="R17"/>
  <c r="AC17"/>
  <c r="R15"/>
  <c r="AC15"/>
  <c r="R14"/>
  <c r="AC12"/>
  <c r="R12"/>
  <c r="AC11"/>
  <c r="R11"/>
  <c r="AC10"/>
  <c r="R10"/>
  <c r="AC9"/>
  <c r="R9"/>
  <c r="Z13"/>
  <c r="P13"/>
  <c r="Z34"/>
  <c r="P34"/>
  <c r="Z31"/>
  <c r="P31"/>
  <c r="R31"/>
  <c r="Z30"/>
  <c r="P30"/>
  <c r="R30"/>
  <c r="AC28"/>
  <c r="R28"/>
  <c r="R29"/>
  <c r="Z24"/>
  <c r="P24"/>
  <c r="R24"/>
  <c r="AC19"/>
  <c r="R19"/>
  <c r="R22"/>
  <c r="AC22"/>
  <c r="R21"/>
  <c r="R16"/>
  <c r="AC16"/>
  <c r="Z14"/>
  <c r="P14"/>
  <c r="Z8"/>
  <c r="F10" i="46" s="1"/>
  <c r="P8" i="45"/>
  <c r="F15" i="46" s="1"/>
  <c r="R8" i="45"/>
  <c r="R13"/>
  <c r="U17" l="1"/>
  <c r="U19"/>
  <c r="V19" s="1"/>
  <c r="X19" s="1"/>
  <c r="U28"/>
  <c r="V28" s="1"/>
  <c r="X28" s="1"/>
  <c r="U15"/>
  <c r="V15" s="1"/>
  <c r="X15" s="1"/>
  <c r="U26"/>
  <c r="V26" s="1"/>
  <c r="X26" s="1"/>
  <c r="U20"/>
  <c r="V20" s="1"/>
  <c r="X20" s="1"/>
  <c r="U16"/>
  <c r="V16" s="1"/>
  <c r="X16" s="1"/>
  <c r="AC13"/>
  <c r="U9"/>
  <c r="V9" s="1"/>
  <c r="X9" s="1"/>
  <c r="U10"/>
  <c r="V10" s="1"/>
  <c r="X10" s="1"/>
  <c r="U11"/>
  <c r="V11" s="1"/>
  <c r="X11" s="1"/>
  <c r="U12"/>
  <c r="V12" s="1"/>
  <c r="X12" s="1"/>
  <c r="V17"/>
  <c r="X17" s="1"/>
  <c r="U32"/>
  <c r="V32" s="1"/>
  <c r="X32" s="1"/>
  <c r="U22"/>
  <c r="V22" s="1"/>
  <c r="X22" s="1"/>
  <c r="U23"/>
  <c r="V23" s="1"/>
  <c r="X23" s="1"/>
  <c r="V25" i="52"/>
  <c r="X20"/>
  <c r="X25" s="1"/>
  <c r="V56"/>
  <c r="X54"/>
  <c r="X56" s="1"/>
  <c r="V66"/>
  <c r="X64"/>
  <c r="X66" s="1"/>
  <c r="V48"/>
  <c r="X45"/>
  <c r="X48" s="1"/>
  <c r="V15"/>
  <c r="X9"/>
  <c r="X15" s="1"/>
  <c r="V37"/>
  <c r="X33"/>
  <c r="X37" s="1"/>
  <c r="V43"/>
  <c r="X39"/>
  <c r="X43" s="1"/>
  <c r="X27"/>
  <c r="X31" s="1"/>
  <c r="V31"/>
  <c r="V18"/>
  <c r="X16"/>
  <c r="X18" s="1"/>
  <c r="V52"/>
  <c r="X50"/>
  <c r="X52" s="1"/>
  <c r="V62"/>
  <c r="X58"/>
  <c r="X62" s="1"/>
  <c r="AC18" i="45"/>
  <c r="AC8"/>
  <c r="AC31"/>
  <c r="AC27"/>
  <c r="U8"/>
  <c r="U14"/>
  <c r="U31"/>
  <c r="U13"/>
  <c r="AC14"/>
  <c r="U21"/>
  <c r="U27"/>
  <c r="AC24"/>
  <c r="U24"/>
  <c r="AC30"/>
  <c r="U30"/>
  <c r="U34"/>
  <c r="U18"/>
  <c r="U29"/>
  <c r="AC34"/>
  <c r="V18" l="1"/>
  <c r="V34"/>
  <c r="V24"/>
  <c r="V27"/>
  <c r="V13"/>
  <c r="V14"/>
  <c r="V29"/>
  <c r="V30"/>
  <c r="V21"/>
  <c r="V31"/>
  <c r="V8"/>
  <c r="X8" l="1"/>
  <c r="X31"/>
  <c r="X21"/>
  <c r="X30"/>
  <c r="X29"/>
  <c r="X14"/>
  <c r="X13"/>
  <c r="X27"/>
  <c r="X24"/>
  <c r="X34"/>
  <c r="X18"/>
  <c r="A3" l="1"/>
  <c r="B6" i="46" l="1"/>
  <c r="I11"/>
  <c r="F20" l="1"/>
  <c r="C21" s="1"/>
  <c r="C22"/>
</calcChain>
</file>

<file path=xl/sharedStrings.xml><?xml version="1.0" encoding="utf-8"?>
<sst xmlns="http://schemas.openxmlformats.org/spreadsheetml/2006/main" count="606" uniqueCount="257">
  <si>
    <t>Sl. No.</t>
  </si>
  <si>
    <t>Name</t>
  </si>
  <si>
    <t>Designation</t>
  </si>
  <si>
    <t>Basic</t>
  </si>
  <si>
    <t>Other Allowance</t>
  </si>
  <si>
    <t>Gross 
Salary</t>
  </si>
  <si>
    <t>Days in the Month</t>
  </si>
  <si>
    <t>Payable Days</t>
  </si>
  <si>
    <t>Earned Basic</t>
  </si>
  <si>
    <t>Gross Salary Payable</t>
  </si>
  <si>
    <t>PF Wages</t>
  </si>
  <si>
    <t>Employer's PF Contribution</t>
  </si>
  <si>
    <t>ESI Wages</t>
  </si>
  <si>
    <t>Employer's ESI Contribution</t>
  </si>
  <si>
    <t>Provident Fund</t>
  </si>
  <si>
    <t>ESI</t>
  </si>
  <si>
    <t>Professional Tax</t>
  </si>
  <si>
    <t>Advance Adjustment</t>
  </si>
  <si>
    <t>Miscellaneous Deduction</t>
  </si>
  <si>
    <t>Total 
Deduction</t>
  </si>
  <si>
    <t>Net Salary Payable</t>
  </si>
  <si>
    <t>Bonus</t>
  </si>
  <si>
    <t>Total Payable</t>
  </si>
  <si>
    <t>Signature</t>
  </si>
  <si>
    <t>Security Guard</t>
  </si>
  <si>
    <t xml:space="preserve">Description </t>
  </si>
  <si>
    <t>Gross Salary</t>
  </si>
  <si>
    <t>Employer's Contribution Towards:-</t>
  </si>
  <si>
    <t>Sub Total A</t>
  </si>
  <si>
    <t>ID Card No.</t>
  </si>
  <si>
    <t>Integrated Security Service</t>
  </si>
  <si>
    <t xml:space="preserve">Other Allowance </t>
  </si>
  <si>
    <t xml:space="preserve">Operational Charges @ 7% </t>
  </si>
  <si>
    <t>Total Cost for the Company (for 26 days )</t>
  </si>
  <si>
    <t>Housekeeping</t>
  </si>
  <si>
    <t>Amount</t>
  </si>
  <si>
    <t xml:space="preserve">Client Name </t>
  </si>
  <si>
    <t>Wages Paid</t>
  </si>
  <si>
    <t>Site Code</t>
  </si>
  <si>
    <t>80A, Balaram Dey Street, Kolkata -700 006 </t>
  </si>
  <si>
    <t>Client Name :</t>
  </si>
  <si>
    <t>Client Address :</t>
  </si>
  <si>
    <t>Site Name &amp; Location :</t>
  </si>
  <si>
    <t>INTEGRATED SECURITY SERVICE</t>
  </si>
  <si>
    <t>Month</t>
  </si>
  <si>
    <t>Components</t>
  </si>
  <si>
    <t>Earned</t>
  </si>
  <si>
    <t>Particulars</t>
  </si>
  <si>
    <t>HRA</t>
  </si>
  <si>
    <t>Net payable</t>
  </si>
  <si>
    <t>Net Payable (in words)</t>
  </si>
  <si>
    <t>ID No.</t>
  </si>
  <si>
    <t xml:space="preserve">Client Address </t>
  </si>
  <si>
    <t xml:space="preserve">Site Name &amp; Location </t>
  </si>
  <si>
    <t>Scale</t>
  </si>
  <si>
    <t>Total Earnings</t>
  </si>
  <si>
    <t xml:space="preserve">Total Deduction </t>
  </si>
  <si>
    <t>Remarks :</t>
  </si>
  <si>
    <t>For INTEGRATED SECURITY SERVICE</t>
  </si>
  <si>
    <t>Authorized Signatory</t>
  </si>
  <si>
    <t>Godown, 18, Rabindra Sarani, Kolkata - 700 001</t>
  </si>
  <si>
    <t>Podder Court Office, 18, Rabindra Sarani, Kolkata - 700 001</t>
  </si>
  <si>
    <t>The Raymond Shop, Hiland Park</t>
  </si>
  <si>
    <t>The Raymond Shop,  Shop No. 203, South City Mall, 375, Prince Anwar Shah Road, Kolkata - 700 068</t>
  </si>
  <si>
    <t>Colour Plus, Shop No. 230, South City Mall, 375, Prince Anwar Shah Road, Kolkata - 700 068</t>
  </si>
  <si>
    <t>Park Avenue, Shop No. , South City Mall, 375, Prince Anwar Shah Road, Kolkata - 700 068</t>
  </si>
  <si>
    <t>The Raymond Shop, B27/87, A K, Mauza Bhadaini, Bhelupur, Durgakund Road, Varanasi, Uttar Pradesh 221010</t>
  </si>
  <si>
    <t>The Raymond Shop, Sundarpur, Varanasi, Uttar Pradesh 221010</t>
  </si>
  <si>
    <t>3, Shyagugst Steet, Kolkata</t>
  </si>
  <si>
    <t>The Raymond Shop, 104,G.T.Road, Opp,Tinkania Bus Stand, Burdawan 713101</t>
  </si>
  <si>
    <t>The Raymond Shop, 43,G.T.Road , Purbirhata,Officers Colony, Burdawan 713103</t>
  </si>
  <si>
    <t>The Raymond Shop, Vivekananda Marg, Balasore, Orissa - 756001</t>
  </si>
  <si>
    <t>Raymond Made To Measure, Ts 167, Unit No – 217, Quest Mall, Syed Amir Ali Avenue, Kol - 17</t>
  </si>
  <si>
    <t>The Raymond Shop, 319/2, Jossar Road, Amarpally, Kolkata</t>
  </si>
  <si>
    <t>N L Lane</t>
  </si>
  <si>
    <t>The Raymond Shop, Krishnanagar</t>
  </si>
  <si>
    <t>Planet Fashion, Krishnanagar</t>
  </si>
  <si>
    <t>The Raymond Shop, Cuttac, Orisha</t>
  </si>
  <si>
    <t>The Raymond Shop, Shri Rameshwer Arcad, Near Town Thana Maun Road, Giridih – 815301</t>
  </si>
  <si>
    <t>The Raymond Shop, Old Rms Chowmhani, Agartala (Tripura)</t>
  </si>
  <si>
    <t>Surabhi Pansari, 12, Lowdown Street, Kolkata</t>
  </si>
  <si>
    <t>Essence, P -23/1 Cit Road, Sceme Viim, Kakurgachi,Kolkata 700054</t>
  </si>
  <si>
    <t>Essence, Avani Mall, Shop No – 17, Gr Floor, Howrah</t>
  </si>
  <si>
    <t>Harinavi</t>
  </si>
  <si>
    <t>Primarc Retail Store Pvt. Ltd.</t>
  </si>
  <si>
    <t>18, Rabindra Sarani, Kolkata - 700 001</t>
  </si>
  <si>
    <t>Primarc Fashion LLP</t>
  </si>
  <si>
    <t>Primarc Sunniva Projects LLP</t>
  </si>
  <si>
    <t>Room No. 2/20, 19, Pollock Street, Kolkata -  700 001</t>
  </si>
  <si>
    <t>The Raymond Shop,  Shop No.G05A, Fourm Mall, Elgin Road Kolkata - 700 020</t>
  </si>
  <si>
    <t>Scale Gross</t>
  </si>
  <si>
    <t>ESIC @ 1.75 % (on Gross Salary)</t>
  </si>
  <si>
    <t>Bonus on Gross</t>
  </si>
  <si>
    <t>ESIC @ 4.75 % on Gross Salary</t>
  </si>
  <si>
    <t>PF @ 13.36% on Basic</t>
  </si>
  <si>
    <t>PF @ 12% on Basic</t>
  </si>
  <si>
    <t>Employee's Contribution Towards:-</t>
  </si>
  <si>
    <t>Take Home</t>
  </si>
  <si>
    <t>Take Home including Bonus</t>
  </si>
  <si>
    <t>Kolkata</t>
  </si>
  <si>
    <t>Varanasi</t>
  </si>
  <si>
    <t xml:space="preserve">Security </t>
  </si>
  <si>
    <t>Buardwan -1</t>
  </si>
  <si>
    <t>Buardwan - 2</t>
  </si>
  <si>
    <t>Krishnanagar</t>
  </si>
  <si>
    <t>Wages Scale</t>
  </si>
  <si>
    <t>PRS/Godown/HK/001</t>
  </si>
  <si>
    <t>PRS/Godown/HK/002</t>
  </si>
  <si>
    <t>PRS/Godown/HK/003</t>
  </si>
  <si>
    <t>PRS/Godown/HK/004</t>
  </si>
  <si>
    <t>PRS/Godown/HK/005</t>
  </si>
  <si>
    <t>PRS/Godown/SG/001</t>
  </si>
  <si>
    <t>PRS/Office/HK/001</t>
  </si>
  <si>
    <t>PRS/Office/HK/002</t>
  </si>
  <si>
    <t>PRS/Office/HK/003</t>
  </si>
  <si>
    <t>PRS/Office/HK/004</t>
  </si>
  <si>
    <t>PRS/RS-Hiland Park/HK/001</t>
  </si>
  <si>
    <t>PRS/RS-Hiland Park/HK/002</t>
  </si>
  <si>
    <t>PRS/RS-Hiland Park/HK/003</t>
  </si>
  <si>
    <t>PRS/RS-Forum Mall/HK/001</t>
  </si>
  <si>
    <t>PRS/RS-Forum Mall/HK/002</t>
  </si>
  <si>
    <t>PRS/RS-Forum Mall/HK/003</t>
  </si>
  <si>
    <t>PRS/Shyagugst St./HK/001</t>
  </si>
  <si>
    <t>PRS/Shyagugst St./HK/002</t>
  </si>
  <si>
    <t>PRS/Shyagugst St./HK/003</t>
  </si>
  <si>
    <t>PRS/RS-Quest Mall/HK/001</t>
  </si>
  <si>
    <t>PRS/RS-Quest Mall/HK/002</t>
  </si>
  <si>
    <t>PRS/RS-N L Lane/HK/001</t>
  </si>
  <si>
    <t>PRS/Essence-Kakurgachi/HK/001</t>
  </si>
  <si>
    <t>PRS/Essence-Kakurgachi/HK/002</t>
  </si>
  <si>
    <t>PRS/Essence-Kakurgachi/HK/003</t>
  </si>
  <si>
    <t>PRS/Essence-Avani Mall/HK/001</t>
  </si>
  <si>
    <t>PRS/RS-Jossar Road/SG/001</t>
  </si>
  <si>
    <t>SL. No.</t>
  </si>
  <si>
    <t>Earned HRA</t>
  </si>
  <si>
    <t>Godown</t>
  </si>
  <si>
    <t>RS-Hiland Park</t>
  </si>
  <si>
    <t>RS-Forum Mall</t>
  </si>
  <si>
    <t>Shyagugst St.</t>
  </si>
  <si>
    <t>RS-Quest Mall</t>
  </si>
  <si>
    <t>RS-Jossar Road</t>
  </si>
  <si>
    <t>RS-N L Lane</t>
  </si>
  <si>
    <t>Essence-Kakurgachi</t>
  </si>
  <si>
    <t>Essence-Avani Mall</t>
  </si>
  <si>
    <t>Short Name</t>
  </si>
  <si>
    <t>RS-Krishnanagar</t>
  </si>
  <si>
    <t>PF-Krishnanagar</t>
  </si>
  <si>
    <t>RS-Bhelupur-UP</t>
  </si>
  <si>
    <t>RS-Sundarpur-UP</t>
  </si>
  <si>
    <t>RS-Balasore</t>
  </si>
  <si>
    <t>RS-Cuttac</t>
  </si>
  <si>
    <t>RS-Giridih</t>
  </si>
  <si>
    <t>RS-Agartala</t>
  </si>
  <si>
    <t>Balasore</t>
  </si>
  <si>
    <t>Cuttac</t>
  </si>
  <si>
    <t>Giridih</t>
  </si>
  <si>
    <t>Agartala</t>
  </si>
  <si>
    <t>Surabhi Pansari</t>
  </si>
  <si>
    <t xml:space="preserve">Burdwan-1 </t>
  </si>
  <si>
    <t>The Raymond Shop, 104,G.T.Road, Opp,Tinkania Bus Stand, Burdwan 713101</t>
  </si>
  <si>
    <t>Burdwan-1</t>
  </si>
  <si>
    <t>Burdwan-2</t>
  </si>
  <si>
    <t>The Raymond Shop, 43,G.T.Road , Purbirhata,Officers Colony, Burdwan 713103</t>
  </si>
  <si>
    <t>RS-South City Mall</t>
  </si>
  <si>
    <t>CP-SouthCity Mall</t>
  </si>
  <si>
    <t>PA-South City Mall</t>
  </si>
  <si>
    <t>S. Pansari Shop</t>
  </si>
  <si>
    <t>Primarc Sukriti</t>
  </si>
  <si>
    <t>Sukriti Project, Harinavi, Kolkata</t>
  </si>
  <si>
    <t>PRS/Burdwan - 1/HK/001</t>
  </si>
  <si>
    <t>PRS/Burdwan - 1/SG/001</t>
  </si>
  <si>
    <t>PRS/Burdwan - 2/HK/001</t>
  </si>
  <si>
    <t>PRS/Burdwan - 2/SG/001</t>
  </si>
  <si>
    <t>PRS/PF-Krishnanagar/HK/001</t>
  </si>
  <si>
    <t>PRS/RS-Bhelupur-UP/HK/001</t>
  </si>
  <si>
    <t>PRS/RS-Bhelupur-UP/HK/002</t>
  </si>
  <si>
    <t>PRS/RS-Bhelupur-UP/HK/003</t>
  </si>
  <si>
    <t>PRS/RS-Bhelupur-UP/HK/004</t>
  </si>
  <si>
    <t>PRS/RS-Bhelupur-UP/SG/001</t>
  </si>
  <si>
    <t>PRS/RS-Sundarpur-UP/HK/001</t>
  </si>
  <si>
    <t>PRS/RS-Sundarpur-UP/HK/002</t>
  </si>
  <si>
    <t>PRS/RS-Sundarpur-UP/HK/003</t>
  </si>
  <si>
    <t>PRS/Balasore/HK/001</t>
  </si>
  <si>
    <t>PRS/Balasore/SG/001</t>
  </si>
  <si>
    <t>PRS/Cuttac/HK/001</t>
  </si>
  <si>
    <t>PRS/Cuttac/HK/002</t>
  </si>
  <si>
    <t>PRS/Cuttac/SG/001</t>
  </si>
  <si>
    <t>PRS/Giridih/HK/001</t>
  </si>
  <si>
    <t>PRS/Agartala/HK/001</t>
  </si>
  <si>
    <t>PRS/SP/SG/001</t>
  </si>
  <si>
    <t>P. Tax</t>
  </si>
  <si>
    <t>PRS/Sukriti/SG/001</t>
  </si>
  <si>
    <t>PRS/Sukriti/SG/002</t>
  </si>
  <si>
    <t>PC Office</t>
  </si>
  <si>
    <t>Calender</t>
  </si>
  <si>
    <t>PRS/SP/SG/002</t>
  </si>
  <si>
    <t>PRS/Agartala/SG/01</t>
  </si>
  <si>
    <t>Earned Other Allowance</t>
  </si>
  <si>
    <t>Santanu Mitra</t>
  </si>
  <si>
    <t>Dipu Shaw</t>
  </si>
  <si>
    <t>Arun Nath</t>
  </si>
  <si>
    <t>Samir Saha</t>
  </si>
  <si>
    <t>Amarjit Dey</t>
  </si>
  <si>
    <t>Sazad Hosen</t>
  </si>
  <si>
    <t>Bijendra Mallick</t>
  </si>
  <si>
    <t>Ajay Biswas</t>
  </si>
  <si>
    <t>Tapan Debnath</t>
  </si>
  <si>
    <t>Sumanta Dutta</t>
  </si>
  <si>
    <t>Prosanto Chowdhury</t>
  </si>
  <si>
    <t>Dipak Debnath</t>
  </si>
  <si>
    <t>Subir Roy</t>
  </si>
  <si>
    <t>61, Jomunalal Bazar Street, 3rd Floor, Kolkata</t>
  </si>
  <si>
    <t>RS-J.B. St.</t>
  </si>
  <si>
    <t>Noormal Lohia Lane, Kolkata</t>
  </si>
  <si>
    <t>Avinandan Pal</t>
  </si>
  <si>
    <t>Arun Singh</t>
  </si>
  <si>
    <t>Sanjib Gharui</t>
  </si>
  <si>
    <t>Monoranjan Bhowmik</t>
  </si>
  <si>
    <t>PRS/RS-J.B. St./HK/001</t>
  </si>
  <si>
    <t>Dipankar Naskar</t>
  </si>
  <si>
    <t>Prosanta Chowdhury</t>
  </si>
  <si>
    <t>Sakti Shadan Dey</t>
  </si>
  <si>
    <t>Tushar Dutta</t>
  </si>
  <si>
    <t>Golak Das</t>
  </si>
  <si>
    <t>Bhaskar Naskar</t>
  </si>
  <si>
    <t>Ravi Sikdar</t>
  </si>
  <si>
    <t>Parikshit Biswas</t>
  </si>
  <si>
    <t>Shambhu Mazumdar</t>
  </si>
  <si>
    <t>Tarak Karmakar</t>
  </si>
  <si>
    <t>Satrughana Das</t>
  </si>
  <si>
    <t>Debesh Das</t>
  </si>
  <si>
    <t>PRS/RS-Krishnanagar/SG/001</t>
  </si>
  <si>
    <t>Sandip Sarkar</t>
  </si>
  <si>
    <t>Uday Kumar Ram</t>
  </si>
  <si>
    <t>Vicky</t>
  </si>
  <si>
    <t>Nijamuddin</t>
  </si>
  <si>
    <t>Hadish</t>
  </si>
  <si>
    <t>Vijay Bajaj</t>
  </si>
  <si>
    <t>Satyam Mishra</t>
  </si>
  <si>
    <t>Sonu Seth</t>
  </si>
  <si>
    <t>Raju</t>
  </si>
  <si>
    <t>Gobinda Sinaha</t>
  </si>
  <si>
    <t>Sunny Das</t>
  </si>
  <si>
    <t>Arindam Bhattachary</t>
  </si>
  <si>
    <t>Tapas Goon</t>
  </si>
  <si>
    <t>SK Siraz</t>
  </si>
  <si>
    <t>Mormad Kr. Padhi</t>
  </si>
  <si>
    <t>Tarunakant Singh</t>
  </si>
  <si>
    <t>Ranjeet Sahani</t>
  </si>
  <si>
    <t>PRS/SP/HK/001</t>
  </si>
  <si>
    <t>Ajay Sadhukhan</t>
  </si>
  <si>
    <t>Santosh Thakur</t>
  </si>
  <si>
    <t>Rabiul Saddar</t>
  </si>
  <si>
    <t>Shankar Sardder</t>
  </si>
  <si>
    <t>Sudip Bose</t>
  </si>
  <si>
    <t>Khokon Mal</t>
  </si>
  <si>
    <t>Ajay Shadhukan</t>
  </si>
</sst>
</file>

<file path=xl/styles.xml><?xml version="1.0" encoding="utf-8"?>
<styleSheet xmlns="http://schemas.openxmlformats.org/spreadsheetml/2006/main">
  <numFmts count="7">
    <numFmt numFmtId="43" formatCode="_(* #,##0.00_);_(* \(#,##0.00\);_(* &quot;-&quot;??_);_(@_)"/>
    <numFmt numFmtId="164" formatCode="_ * #,##0_ ;_ * \-#,##0_ ;_ * &quot;-&quot;_ ;_ @_ "/>
    <numFmt numFmtId="165" formatCode="_ * #,##0.00_ ;_ * \-#,##0.00_ ;_ * &quot;-&quot;??_ ;_ @_ "/>
    <numFmt numFmtId="166" formatCode="_ * #,##0_ ;_ * \-#,##0_ ;_ * &quot;-&quot;??_ ;_ @_ "/>
    <numFmt numFmtId="167" formatCode="_(* #,##0_);_(* \(#,##0\);_(* &quot;-&quot;??_);_(@_)"/>
    <numFmt numFmtId="168" formatCode="_ &quot;₹&quot;\ * #,##0.00_ ;_ &quot;₹&quot;\ * \-#,##0.00_ ;_ &quot;₹&quot;\ * &quot;-&quot;??_ ;_ @_ "/>
    <numFmt numFmtId="169" formatCode="[$Rs.-4009]\ #,##0"/>
  </numFmts>
  <fonts count="3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sz val="10"/>
      <color indexed="16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b/>
      <u/>
      <sz val="10"/>
      <color indexed="16"/>
      <name val="Verdana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20"/>
      <color theme="1"/>
      <name val="Algerian"/>
      <family val="5"/>
    </font>
    <font>
      <b/>
      <sz val="8"/>
      <name val="Verdana"/>
      <family val="2"/>
    </font>
    <font>
      <b/>
      <sz val="12"/>
      <color theme="1"/>
      <name val="Trebuchet MS"/>
      <family val="2"/>
    </font>
    <font>
      <b/>
      <u/>
      <sz val="14"/>
      <color theme="1"/>
      <name val="Trebuchet MS"/>
      <family val="2"/>
    </font>
    <font>
      <b/>
      <sz val="11"/>
      <name val="Calibri"/>
      <family val="2"/>
      <scheme val="minor"/>
    </font>
    <font>
      <sz val="11"/>
      <color theme="1"/>
      <name val="Times New Roman"/>
      <family val="1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Trebuchet MS"/>
      <family val="2"/>
    </font>
    <font>
      <b/>
      <sz val="20"/>
      <color theme="1"/>
      <name val="Algerian"/>
      <family val="5"/>
    </font>
    <font>
      <b/>
      <sz val="11"/>
      <color theme="1"/>
      <name val="Trebuchet MS"/>
      <family val="2"/>
    </font>
    <font>
      <b/>
      <sz val="10"/>
      <color theme="0"/>
      <name val="Verdana"/>
      <family val="2"/>
    </font>
    <font>
      <b/>
      <sz val="14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165" fontId="2" fillId="0" borderId="0" applyFont="0" applyFill="0" applyBorder="0" applyAlignment="0" applyProtection="0"/>
    <xf numFmtId="0" fontId="9" fillId="0" borderId="0"/>
    <xf numFmtId="165" fontId="2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2" fillId="0" borderId="0" applyFont="0" applyFill="0" applyBorder="0" applyAlignment="0" applyProtection="0"/>
  </cellStyleXfs>
  <cellXfs count="155">
    <xf numFmtId="0" fontId="0" fillId="0" borderId="0" xfId="0"/>
    <xf numFmtId="164" fontId="6" fillId="2" borderId="1" xfId="0" applyNumberFormat="1" applyFont="1" applyFill="1" applyBorder="1" applyAlignment="1">
      <alignment vertical="center"/>
    </xf>
    <xf numFmtId="164" fontId="3" fillId="3" borderId="1" xfId="1" applyNumberFormat="1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4" fontId="7" fillId="4" borderId="1" xfId="1" applyNumberFormat="1" applyFont="1" applyFill="1" applyBorder="1" applyAlignment="1">
      <alignment horizontal="center" vertical="center"/>
    </xf>
    <xf numFmtId="164" fontId="5" fillId="2" borderId="1" xfId="1" applyNumberFormat="1" applyFont="1" applyFill="1" applyBorder="1" applyAlignment="1">
      <alignment horizontal="center" vertical="center"/>
    </xf>
    <xf numFmtId="164" fontId="5" fillId="0" borderId="1" xfId="1" applyNumberFormat="1" applyFont="1" applyFill="1" applyBorder="1" applyAlignment="1">
      <alignment horizontal="center" vertical="center"/>
    </xf>
    <xf numFmtId="164" fontId="3" fillId="5" borderId="1" xfId="1" applyNumberFormat="1" applyFont="1" applyFill="1" applyBorder="1" applyAlignment="1">
      <alignment horizontal="center" vertical="center"/>
    </xf>
    <xf numFmtId="165" fontId="3" fillId="7" borderId="1" xfId="1" applyNumberFormat="1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left" vertical="center" wrapText="1"/>
    </xf>
    <xf numFmtId="164" fontId="8" fillId="7" borderId="1" xfId="0" applyNumberFormat="1" applyFont="1" applyFill="1" applyBorder="1" applyAlignment="1">
      <alignment vertical="center"/>
    </xf>
    <xf numFmtId="0" fontId="4" fillId="6" borderId="1" xfId="2" applyFont="1" applyFill="1" applyBorder="1" applyAlignment="1">
      <alignment horizontal="center" vertical="center" wrapText="1"/>
    </xf>
    <xf numFmtId="0" fontId="6" fillId="2" borderId="0" xfId="0" applyFont="1" applyFill="1"/>
    <xf numFmtId="0" fontId="10" fillId="8" borderId="1" xfId="0" applyFont="1" applyFill="1" applyBorder="1" applyAlignment="1">
      <alignment horizontal="left" vertical="center" wrapText="1"/>
    </xf>
    <xf numFmtId="164" fontId="11" fillId="2" borderId="1" xfId="1" applyNumberFormat="1" applyFont="1" applyFill="1" applyBorder="1" applyAlignment="1">
      <alignment horizontal="right"/>
    </xf>
    <xf numFmtId="0" fontId="11" fillId="2" borderId="1" xfId="2" applyFont="1" applyFill="1" applyBorder="1" applyAlignment="1">
      <alignment horizontal="left"/>
    </xf>
    <xf numFmtId="0" fontId="13" fillId="8" borderId="1" xfId="0" applyFont="1" applyFill="1" applyBorder="1" applyAlignment="1">
      <alignment horizontal="left" vertical="center" wrapText="1"/>
    </xf>
    <xf numFmtId="164" fontId="12" fillId="2" borderId="1" xfId="1" applyNumberFormat="1" applyFont="1" applyFill="1" applyBorder="1" applyAlignment="1">
      <alignment horizontal="right"/>
    </xf>
    <xf numFmtId="0" fontId="0" fillId="2" borderId="0" xfId="0" applyFill="1"/>
    <xf numFmtId="0" fontId="6" fillId="2" borderId="1" xfId="0" applyFont="1" applyFill="1" applyBorder="1" applyAlignment="1">
      <alignment horizontal="left" vertical="center"/>
    </xf>
    <xf numFmtId="0" fontId="12" fillId="9" borderId="1" xfId="2" applyFont="1" applyFill="1" applyBorder="1" applyAlignment="1"/>
    <xf numFmtId="164" fontId="12" fillId="9" borderId="1" xfId="1" applyNumberFormat="1" applyFont="1" applyFill="1" applyBorder="1" applyAlignment="1">
      <alignment horizontal="right"/>
    </xf>
    <xf numFmtId="0" fontId="12" fillId="9" borderId="1" xfId="2" applyFont="1" applyFill="1" applyBorder="1" applyAlignment="1">
      <alignment horizontal="left" vertical="center" wrapText="1"/>
    </xf>
    <xf numFmtId="164" fontId="12" fillId="9" borderId="1" xfId="1" applyNumberFormat="1" applyFont="1" applyFill="1" applyBorder="1" applyAlignment="1">
      <alignment horizontal="right" vertical="center"/>
    </xf>
    <xf numFmtId="166" fontId="11" fillId="2" borderId="1" xfId="1" applyNumberFormat="1" applyFont="1" applyFill="1" applyBorder="1" applyAlignment="1">
      <alignment horizontal="right"/>
    </xf>
    <xf numFmtId="0" fontId="8" fillId="7" borderId="1" xfId="0" applyFont="1" applyFill="1" applyBorder="1" applyAlignment="1">
      <alignment horizontal="center" vertical="center"/>
    </xf>
    <xf numFmtId="164" fontId="15" fillId="4" borderId="1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1" xfId="0" applyNumberFormat="1" applyFont="1" applyFill="1" applyBorder="1" applyAlignment="1">
      <alignment horizontal="center" vertical="center" wrapText="1"/>
    </xf>
    <xf numFmtId="4" fontId="7" fillId="6" borderId="1" xfId="1" applyNumberFormat="1" applyFont="1" applyFill="1" applyBorder="1" applyAlignment="1">
      <alignment horizontal="center" vertical="center" wrapText="1"/>
    </xf>
    <xf numFmtId="3" fontId="7" fillId="6" borderId="1" xfId="1" applyNumberFormat="1" applyFont="1" applyFill="1" applyBorder="1" applyAlignment="1">
      <alignment horizontal="center" vertical="center" wrapText="1"/>
    </xf>
    <xf numFmtId="43" fontId="7" fillId="6" borderId="1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64" fontId="7" fillId="4" borderId="1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vertical="center"/>
    </xf>
    <xf numFmtId="164" fontId="7" fillId="4" borderId="1" xfId="0" applyNumberFormat="1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17" fillId="2" borderId="1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center" vertical="center" wrapText="1"/>
    </xf>
    <xf numFmtId="0" fontId="21" fillId="2" borderId="0" xfId="0" applyFont="1" applyFill="1"/>
    <xf numFmtId="14" fontId="21" fillId="2" borderId="0" xfId="0" applyNumberFormat="1" applyFont="1" applyFill="1"/>
    <xf numFmtId="0" fontId="0" fillId="2" borderId="0" xfId="0" applyFill="1" applyBorder="1"/>
    <xf numFmtId="0" fontId="22" fillId="2" borderId="0" xfId="0" applyFont="1" applyFill="1" applyBorder="1"/>
    <xf numFmtId="164" fontId="23" fillId="2" borderId="1" xfId="0" applyNumberFormat="1" applyFont="1" applyFill="1" applyBorder="1" applyAlignment="1">
      <alignment horizontal="center" vertical="center"/>
    </xf>
    <xf numFmtId="1" fontId="23" fillId="2" borderId="1" xfId="0" applyNumberFormat="1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left" vertical="center"/>
    </xf>
    <xf numFmtId="0" fontId="22" fillId="2" borderId="0" xfId="0" applyFont="1" applyFill="1" applyBorder="1" applyAlignment="1">
      <alignment vertical="center"/>
    </xf>
    <xf numFmtId="0" fontId="22" fillId="2" borderId="7" xfId="0" applyFont="1" applyFill="1" applyBorder="1" applyAlignment="1">
      <alignment vertical="center"/>
    </xf>
    <xf numFmtId="0" fontId="22" fillId="2" borderId="7" xfId="0" applyFont="1" applyFill="1" applyBorder="1"/>
    <xf numFmtId="164" fontId="22" fillId="2" borderId="7" xfId="0" applyNumberFormat="1" applyFont="1" applyFill="1" applyBorder="1"/>
    <xf numFmtId="164" fontId="22" fillId="2" borderId="8" xfId="0" applyNumberFormat="1" applyFont="1" applyFill="1" applyBorder="1"/>
    <xf numFmtId="164" fontId="22" fillId="2" borderId="0" xfId="0" applyNumberFormat="1" applyFont="1" applyFill="1" applyBorder="1"/>
    <xf numFmtId="164" fontId="22" fillId="2" borderId="10" xfId="0" applyNumberFormat="1" applyFont="1" applyFill="1" applyBorder="1"/>
    <xf numFmtId="0" fontId="22" fillId="2" borderId="6" xfId="0" applyFont="1" applyFill="1" applyBorder="1" applyAlignment="1">
      <alignment horizontal="left" vertical="center"/>
    </xf>
    <xf numFmtId="0" fontId="22" fillId="2" borderId="9" xfId="0" applyFont="1" applyFill="1" applyBorder="1" applyAlignment="1">
      <alignment horizontal="left" vertical="center"/>
    </xf>
    <xf numFmtId="169" fontId="23" fillId="2" borderId="7" xfId="0" applyNumberFormat="1" applyFont="1" applyFill="1" applyBorder="1" applyAlignment="1">
      <alignment horizontal="left" vertical="center"/>
    </xf>
    <xf numFmtId="168" fontId="23" fillId="2" borderId="7" xfId="0" applyNumberFormat="1" applyFont="1" applyFill="1" applyBorder="1" applyAlignment="1"/>
    <xf numFmtId="0" fontId="23" fillId="2" borderId="0" xfId="0" applyFont="1" applyFill="1" applyBorder="1" applyAlignment="1">
      <alignment vertical="center"/>
    </xf>
    <xf numFmtId="0" fontId="17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18" fillId="2" borderId="0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vertical="center"/>
    </xf>
    <xf numFmtId="0" fontId="0" fillId="2" borderId="6" xfId="0" applyFill="1" applyBorder="1"/>
    <xf numFmtId="0" fontId="17" fillId="2" borderId="8" xfId="0" applyFont="1" applyFill="1" applyBorder="1" applyAlignment="1">
      <alignment vertical="center"/>
    </xf>
    <xf numFmtId="0" fontId="23" fillId="2" borderId="9" xfId="0" applyFont="1" applyFill="1" applyBorder="1" applyAlignment="1">
      <alignment vertical="center"/>
    </xf>
    <xf numFmtId="0" fontId="23" fillId="2" borderId="10" xfId="0" applyFont="1" applyFill="1" applyBorder="1" applyAlignment="1">
      <alignment vertical="center"/>
    </xf>
    <xf numFmtId="0" fontId="0" fillId="2" borderId="11" xfId="0" applyFill="1" applyBorder="1"/>
    <xf numFmtId="0" fontId="23" fillId="2" borderId="5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18" fillId="2" borderId="9" xfId="0" applyFont="1" applyFill="1" applyBorder="1" applyAlignment="1">
      <alignment horizontal="center"/>
    </xf>
    <xf numFmtId="0" fontId="18" fillId="2" borderId="10" xfId="0" applyFont="1" applyFill="1" applyBorder="1" applyAlignment="1">
      <alignment horizontal="center"/>
    </xf>
    <xf numFmtId="0" fontId="22" fillId="2" borderId="6" xfId="0" applyFont="1" applyFill="1" applyBorder="1" applyAlignment="1">
      <alignment vertical="center"/>
    </xf>
    <xf numFmtId="0" fontId="22" fillId="2" borderId="9" xfId="0" applyFont="1" applyFill="1" applyBorder="1" applyAlignment="1">
      <alignment vertical="center"/>
    </xf>
    <xf numFmtId="0" fontId="22" fillId="2" borderId="11" xfId="0" applyFont="1" applyFill="1" applyBorder="1" applyAlignment="1">
      <alignment vertical="center"/>
    </xf>
    <xf numFmtId="0" fontId="22" fillId="2" borderId="9" xfId="0" applyFont="1" applyFill="1" applyBorder="1"/>
    <xf numFmtId="0" fontId="22" fillId="2" borderId="10" xfId="0" applyFont="1" applyFill="1" applyBorder="1" applyAlignment="1">
      <alignment horizontal="center" vertical="center"/>
    </xf>
    <xf numFmtId="0" fontId="22" fillId="2" borderId="10" xfId="0" applyFont="1" applyFill="1" applyBorder="1"/>
    <xf numFmtId="0" fontId="0" fillId="2" borderId="10" xfId="0" applyFill="1" applyBorder="1"/>
    <xf numFmtId="0" fontId="22" fillId="2" borderId="11" xfId="0" applyFont="1" applyFill="1" applyBorder="1"/>
    <xf numFmtId="0" fontId="22" fillId="2" borderId="6" xfId="0" applyFont="1" applyFill="1" applyBorder="1"/>
    <xf numFmtId="0" fontId="22" fillId="2" borderId="8" xfId="0" applyFont="1" applyFill="1" applyBorder="1"/>
    <xf numFmtId="1" fontId="17" fillId="2" borderId="1" xfId="0" applyNumberFormat="1" applyFont="1" applyFill="1" applyBorder="1" applyAlignment="1">
      <alignment horizontal="center" vertical="center" wrapText="1"/>
    </xf>
    <xf numFmtId="1" fontId="0" fillId="2" borderId="0" xfId="0" applyNumberFormat="1" applyFill="1" applyAlignment="1">
      <alignment horizontal="center" vertical="center" wrapText="1"/>
    </xf>
    <xf numFmtId="0" fontId="27" fillId="4" borderId="1" xfId="0" applyFont="1" applyFill="1" applyBorder="1" applyAlignment="1">
      <alignment horizontal="left" vertical="center" wrapText="1"/>
    </xf>
    <xf numFmtId="164" fontId="27" fillId="4" borderId="1" xfId="1" applyNumberFormat="1" applyFont="1" applyFill="1" applyBorder="1" applyAlignment="1">
      <alignment horizontal="right"/>
    </xf>
    <xf numFmtId="167" fontId="11" fillId="2" borderId="1" xfId="1" applyNumberFormat="1" applyFont="1" applyFill="1" applyBorder="1" applyAlignment="1">
      <alignment horizontal="right"/>
    </xf>
    <xf numFmtId="0" fontId="17" fillId="9" borderId="1" xfId="0" applyFont="1" applyFill="1" applyBorder="1" applyAlignment="1">
      <alignment horizontal="center" vertical="center" wrapText="1"/>
    </xf>
    <xf numFmtId="0" fontId="22" fillId="2" borderId="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22" fillId="2" borderId="1" xfId="0" applyFont="1" applyFill="1" applyBorder="1" applyAlignment="1">
      <alignment horizontal="center" vertical="center" wrapText="1"/>
    </xf>
    <xf numFmtId="1" fontId="22" fillId="2" borderId="1" xfId="0" applyNumberFormat="1" applyFont="1" applyFill="1" applyBorder="1" applyAlignment="1">
      <alignment horizontal="left" vertical="center"/>
    </xf>
    <xf numFmtId="0" fontId="22" fillId="2" borderId="1" xfId="0" applyFont="1" applyFill="1" applyBorder="1" applyAlignment="1">
      <alignment vertical="center" wrapText="1"/>
    </xf>
    <xf numFmtId="1" fontId="22" fillId="2" borderId="1" xfId="0" applyNumberFormat="1" applyFont="1" applyFill="1" applyBorder="1" applyAlignment="1">
      <alignment horizontal="center" vertical="center" wrapText="1"/>
    </xf>
    <xf numFmtId="0" fontId="22" fillId="9" borderId="1" xfId="0" applyFont="1" applyFill="1" applyBorder="1" applyAlignment="1">
      <alignment horizontal="center" vertical="center" wrapText="1"/>
    </xf>
    <xf numFmtId="0" fontId="22" fillId="9" borderId="1" xfId="0" applyFont="1" applyFill="1" applyBorder="1" applyAlignment="1">
      <alignment vertical="center" wrapText="1"/>
    </xf>
    <xf numFmtId="1" fontId="22" fillId="9" borderId="1" xfId="0" applyNumberFormat="1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left" vertical="center" wrapText="1"/>
    </xf>
    <xf numFmtId="0" fontId="12" fillId="9" borderId="4" xfId="2" applyFont="1" applyFill="1" applyBorder="1" applyAlignment="1">
      <alignment horizontal="left" vertical="center" wrapText="1"/>
    </xf>
    <xf numFmtId="0" fontId="12" fillId="9" borderId="0" xfId="2" applyFont="1" applyFill="1" applyBorder="1" applyAlignment="1">
      <alignment horizontal="left" vertical="center" wrapText="1"/>
    </xf>
    <xf numFmtId="164" fontId="0" fillId="2" borderId="0" xfId="0" applyNumberFormat="1" applyFill="1"/>
    <xf numFmtId="0" fontId="29" fillId="9" borderId="11" xfId="2" applyFont="1" applyFill="1" applyBorder="1" applyAlignment="1">
      <alignment vertical="center" wrapText="1"/>
    </xf>
    <xf numFmtId="0" fontId="29" fillId="9" borderId="5" xfId="2" applyFont="1" applyFill="1" applyBorder="1" applyAlignment="1">
      <alignment vertical="center" wrapText="1"/>
    </xf>
    <xf numFmtId="0" fontId="22" fillId="9" borderId="1" xfId="0" applyFont="1" applyFill="1" applyBorder="1" applyAlignment="1">
      <alignment horizontal="left" vertical="center" wrapText="1"/>
    </xf>
    <xf numFmtId="164" fontId="22" fillId="2" borderId="8" xfId="0" applyNumberFormat="1" applyFont="1" applyFill="1" applyBorder="1" applyAlignment="1">
      <alignment vertical="center"/>
    </xf>
    <xf numFmtId="164" fontId="22" fillId="2" borderId="10" xfId="0" applyNumberFormat="1" applyFont="1" applyFill="1" applyBorder="1" applyAlignment="1">
      <alignment vertical="center"/>
    </xf>
    <xf numFmtId="0" fontId="22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20" fillId="9" borderId="1" xfId="0" applyFont="1" applyFill="1" applyBorder="1" applyAlignment="1">
      <alignment horizontal="left" vertical="center" wrapText="1"/>
    </xf>
    <xf numFmtId="0" fontId="30" fillId="2" borderId="0" xfId="0" applyFont="1" applyFill="1" applyAlignment="1">
      <alignment vertical="center"/>
    </xf>
    <xf numFmtId="4" fontId="31" fillId="6" borderId="1" xfId="1" applyNumberFormat="1" applyFont="1" applyFill="1" applyBorder="1" applyAlignment="1">
      <alignment horizontal="center" vertical="center" wrapText="1"/>
    </xf>
    <xf numFmtId="164" fontId="31" fillId="4" borderId="1" xfId="1" applyNumberFormat="1" applyFont="1" applyFill="1" applyBorder="1" applyAlignment="1">
      <alignment horizontal="center" vertical="center"/>
    </xf>
    <xf numFmtId="164" fontId="32" fillId="7" borderId="1" xfId="0" applyNumberFormat="1" applyFont="1" applyFill="1" applyBorder="1" applyAlignment="1">
      <alignment vertical="center"/>
    </xf>
    <xf numFmtId="0" fontId="20" fillId="9" borderId="1" xfId="0" applyFont="1" applyFill="1" applyBorder="1" applyAlignment="1">
      <alignment horizontal="left" vertical="center" wrapText="1"/>
    </xf>
    <xf numFmtId="0" fontId="28" fillId="9" borderId="1" xfId="0" applyFont="1" applyFill="1" applyBorder="1" applyAlignment="1">
      <alignment horizontal="left" vertical="center"/>
    </xf>
    <xf numFmtId="0" fontId="20" fillId="2" borderId="0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20" fillId="9" borderId="4" xfId="0" applyFont="1" applyFill="1" applyBorder="1" applyAlignment="1">
      <alignment horizontal="left" vertical="center" wrapText="1"/>
    </xf>
    <xf numFmtId="0" fontId="20" fillId="9" borderId="13" xfId="0" applyFont="1" applyFill="1" applyBorder="1" applyAlignment="1">
      <alignment horizontal="left" vertical="center" wrapText="1"/>
    </xf>
    <xf numFmtId="0" fontId="28" fillId="9" borderId="4" xfId="0" applyFont="1" applyFill="1" applyBorder="1" applyAlignment="1">
      <alignment horizontal="left" vertical="center"/>
    </xf>
    <xf numFmtId="0" fontId="28" fillId="9" borderId="14" xfId="0" applyFont="1" applyFill="1" applyBorder="1" applyAlignment="1">
      <alignment horizontal="left" vertical="center"/>
    </xf>
    <xf numFmtId="0" fontId="28" fillId="9" borderId="13" xfId="0" applyFont="1" applyFill="1" applyBorder="1" applyAlignment="1">
      <alignment horizontal="left" vertical="center"/>
    </xf>
    <xf numFmtId="0" fontId="22" fillId="2" borderId="5" xfId="0" applyFont="1" applyFill="1" applyBorder="1" applyAlignment="1">
      <alignment horizontal="left" vertical="center" wrapText="1"/>
    </xf>
    <xf numFmtId="0" fontId="22" fillId="2" borderId="12" xfId="0" applyFont="1" applyFill="1" applyBorder="1" applyAlignment="1">
      <alignment horizontal="left" vertical="center" wrapText="1"/>
    </xf>
    <xf numFmtId="0" fontId="23" fillId="2" borderId="11" xfId="0" applyFont="1" applyFill="1" applyBorder="1" applyAlignment="1">
      <alignment horizontal="right" vertical="center"/>
    </xf>
    <xf numFmtId="0" fontId="23" fillId="2" borderId="12" xfId="0" applyFont="1" applyFill="1" applyBorder="1" applyAlignment="1">
      <alignment horizontal="right" vertical="center"/>
    </xf>
    <xf numFmtId="0" fontId="17" fillId="2" borderId="6" xfId="0" applyFont="1" applyFill="1" applyBorder="1" applyAlignment="1">
      <alignment horizontal="right" vertical="center"/>
    </xf>
    <xf numFmtId="0" fontId="17" fillId="2" borderId="8" xfId="0" applyFont="1" applyFill="1" applyBorder="1" applyAlignment="1">
      <alignment horizontal="righ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25" fillId="2" borderId="6" xfId="0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0" fontId="25" fillId="2" borderId="8" xfId="0" applyFont="1" applyFill="1" applyBorder="1" applyAlignment="1">
      <alignment horizontal="center"/>
    </xf>
    <xf numFmtId="0" fontId="24" fillId="2" borderId="11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left" vertical="center"/>
    </xf>
    <xf numFmtId="0" fontId="26" fillId="2" borderId="9" xfId="0" applyFont="1" applyFill="1" applyBorder="1" applyAlignment="1">
      <alignment horizontal="center"/>
    </xf>
    <xf numFmtId="0" fontId="26" fillId="2" borderId="0" xfId="0" applyFont="1" applyFill="1" applyBorder="1" applyAlignment="1">
      <alignment horizontal="center"/>
    </xf>
    <xf numFmtId="0" fontId="26" fillId="2" borderId="10" xfId="0" applyFont="1" applyFill="1" applyBorder="1" applyAlignment="1">
      <alignment horizontal="center"/>
    </xf>
    <xf numFmtId="0" fontId="22" fillId="2" borderId="10" xfId="0" applyFont="1" applyFill="1" applyBorder="1" applyAlignment="1">
      <alignment horizontal="left" vertical="center"/>
    </xf>
    <xf numFmtId="0" fontId="4" fillId="6" borderId="4" xfId="2" applyFont="1" applyFill="1" applyBorder="1" applyAlignment="1">
      <alignment horizontal="center" vertical="center" wrapText="1"/>
    </xf>
    <xf numFmtId="0" fontId="4" fillId="6" borderId="13" xfId="2" applyFont="1" applyFill="1" applyBorder="1" applyAlignment="1">
      <alignment horizontal="center" vertical="center" wrapText="1"/>
    </xf>
    <xf numFmtId="0" fontId="4" fillId="6" borderId="2" xfId="2" applyFont="1" applyFill="1" applyBorder="1" applyAlignment="1">
      <alignment horizontal="center" vertical="center"/>
    </xf>
    <xf numFmtId="0" fontId="4" fillId="6" borderId="3" xfId="2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</cellXfs>
  <cellStyles count="9">
    <cellStyle name="Comma" xfId="1" builtinId="3"/>
    <cellStyle name="Comma 2" xfId="4"/>
    <cellStyle name="Comma 3" xfId="3"/>
    <cellStyle name="Comma 4" xfId="8"/>
    <cellStyle name="Normal" xfId="0" builtinId="0"/>
    <cellStyle name="Normal 2" xfId="2"/>
    <cellStyle name="Normal 2 2" xfId="5"/>
    <cellStyle name="Normal 4" xfId="6"/>
    <cellStyle name="Style 1" xfId="7"/>
  </cellStyles>
  <dxfs count="0"/>
  <tableStyles count="0" defaultTableStyle="TableStyleMedium9" defaultPivotStyle="PivotStyleLight16"/>
  <colors>
    <mruColors>
      <color rgb="FF993366"/>
      <color rgb="FFCCFF33"/>
      <color rgb="FFFF99FF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2</xdr:row>
      <xdr:rowOff>104775</xdr:rowOff>
    </xdr:from>
    <xdr:to>
      <xdr:col>1</xdr:col>
      <xdr:colOff>971550</xdr:colOff>
      <xdr:row>5</xdr:row>
      <xdr:rowOff>200025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" y="495300"/>
          <a:ext cx="904875" cy="857250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vijit/Payroll/Salary%20Sheets/FY%20-%202016%20-%2017/January,%202017/Salary%20Sheet%20-%20January,%202017/Chandresh%20Badar/Salary%20Sheet%20January,%202017%20-%20Primarc%20Projects%20Pvt%20%20L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Rajiv%20Dawn/Bill%20Format/Bill%20-%20Primarc%20Realty%20&amp;%20Peca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R%20Payroll%20Data\Payroll\Salary%20Sheets\FY%20-%202015%20-%2016\November,%202015\Salary%20Sheet%20-November,%202015\Chandresh%20Badar\Salary%20Sheet%20September,%202015%20-%20Southwinds%20Project%20LLP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ttendance"/>
      <sheetName val="Salary Sheet"/>
      <sheetName val="Pay Slip"/>
      <sheetName val="PF Calculation"/>
      <sheetName val="Sodexo"/>
      <sheetName val="Company List"/>
      <sheetName val="Leave Calculation"/>
    </sheetNames>
    <sheetDataSet>
      <sheetData sheetId="0">
        <row r="5">
          <cell r="B5" t="str">
            <v>Employee Code</v>
          </cell>
        </row>
      </sheetData>
      <sheetData sheetId="1">
        <row r="4">
          <cell r="B4" t="str">
            <v>Employee Code</v>
          </cell>
        </row>
        <row r="5">
          <cell r="B5" t="str">
            <v>PPPL001</v>
          </cell>
        </row>
        <row r="6">
          <cell r="B6" t="str">
            <v>PPPL010</v>
          </cell>
        </row>
        <row r="7">
          <cell r="B7" t="str">
            <v>PPPL011</v>
          </cell>
        </row>
        <row r="8">
          <cell r="B8" t="str">
            <v>PPPL013</v>
          </cell>
        </row>
        <row r="9">
          <cell r="B9" t="str">
            <v>PPPL014</v>
          </cell>
        </row>
        <row r="10">
          <cell r="B10" t="str">
            <v>PPPL020</v>
          </cell>
        </row>
        <row r="11">
          <cell r="B11" t="str">
            <v>PPPL023</v>
          </cell>
        </row>
        <row r="12">
          <cell r="B12" t="str">
            <v>PPPL025</v>
          </cell>
        </row>
        <row r="13">
          <cell r="B13" t="str">
            <v>PPPL026</v>
          </cell>
        </row>
        <row r="14">
          <cell r="B14" t="str">
            <v>PPPL033</v>
          </cell>
        </row>
        <row r="15">
          <cell r="B15" t="str">
            <v>PPPL037</v>
          </cell>
        </row>
        <row r="16">
          <cell r="B16" t="str">
            <v>PPPL038</v>
          </cell>
        </row>
        <row r="17">
          <cell r="B17" t="str">
            <v>PPPL041</v>
          </cell>
        </row>
        <row r="18">
          <cell r="B18" t="str">
            <v>PPPL047</v>
          </cell>
        </row>
        <row r="19">
          <cell r="B19" t="str">
            <v>PPPL048</v>
          </cell>
        </row>
        <row r="20">
          <cell r="B20" t="str">
            <v>PPPL052</v>
          </cell>
        </row>
        <row r="21">
          <cell r="B21" t="str">
            <v>PPPL058</v>
          </cell>
        </row>
        <row r="22">
          <cell r="B22" t="str">
            <v>PPPL061</v>
          </cell>
        </row>
        <row r="23">
          <cell r="B23" t="str">
            <v>PPPL062</v>
          </cell>
        </row>
        <row r="24">
          <cell r="B24" t="str">
            <v>PPPL065</v>
          </cell>
        </row>
        <row r="25">
          <cell r="B25" t="str">
            <v>PPPL066</v>
          </cell>
        </row>
        <row r="26">
          <cell r="B26" t="str">
            <v>PPPL070</v>
          </cell>
        </row>
        <row r="27">
          <cell r="B27" t="str">
            <v>PPPL072</v>
          </cell>
        </row>
        <row r="28">
          <cell r="B28" t="str">
            <v>PPPL073</v>
          </cell>
        </row>
        <row r="29">
          <cell r="B29" t="str">
            <v>PPPL074</v>
          </cell>
        </row>
        <row r="30">
          <cell r="B30" t="str">
            <v>PPPL076</v>
          </cell>
        </row>
        <row r="31">
          <cell r="B31" t="str">
            <v>PPPL080</v>
          </cell>
        </row>
        <row r="32">
          <cell r="B32" t="str">
            <v>PPPL081</v>
          </cell>
        </row>
        <row r="33">
          <cell r="B33" t="str">
            <v>PPPL082</v>
          </cell>
        </row>
        <row r="34">
          <cell r="B34" t="str">
            <v>PPPl087</v>
          </cell>
        </row>
        <row r="35">
          <cell r="B35" t="str">
            <v>PPPL088</v>
          </cell>
        </row>
        <row r="36">
          <cell r="B36" t="str">
            <v>PPPL091</v>
          </cell>
        </row>
        <row r="37">
          <cell r="B37" t="str">
            <v>PPPL096</v>
          </cell>
        </row>
        <row r="38">
          <cell r="B38" t="str">
            <v>PPPL098</v>
          </cell>
        </row>
        <row r="39">
          <cell r="B39" t="str">
            <v>PPPL099</v>
          </cell>
        </row>
        <row r="40">
          <cell r="B40" t="str">
            <v>PPPL101</v>
          </cell>
        </row>
        <row r="41">
          <cell r="B41" t="str">
            <v>PPPL103</v>
          </cell>
        </row>
        <row r="42">
          <cell r="B42" t="str">
            <v>PPPL104</v>
          </cell>
        </row>
        <row r="43">
          <cell r="B43" t="str">
            <v>PPPL107</v>
          </cell>
        </row>
        <row r="44">
          <cell r="B44" t="str">
            <v>PPPL110</v>
          </cell>
        </row>
        <row r="45">
          <cell r="B45" t="str">
            <v>PPPL111</v>
          </cell>
        </row>
        <row r="46">
          <cell r="B46" t="str">
            <v>PPPL113</v>
          </cell>
        </row>
        <row r="47">
          <cell r="B47" t="str">
            <v>PPPL116</v>
          </cell>
        </row>
        <row r="48">
          <cell r="B48" t="str">
            <v>PPPL118</v>
          </cell>
        </row>
        <row r="49">
          <cell r="B49" t="str">
            <v>PPPL119</v>
          </cell>
        </row>
        <row r="50">
          <cell r="B50" t="str">
            <v>PPPL121</v>
          </cell>
        </row>
        <row r="51">
          <cell r="B51" t="str">
            <v>PPPL125</v>
          </cell>
        </row>
        <row r="52">
          <cell r="B52" t="str">
            <v>PPPL126</v>
          </cell>
        </row>
        <row r="53">
          <cell r="B53" t="str">
            <v>PPPL127</v>
          </cell>
        </row>
        <row r="54">
          <cell r="B54" t="str">
            <v>PPPL128</v>
          </cell>
        </row>
        <row r="55">
          <cell r="B55" t="str">
            <v>PPPL130</v>
          </cell>
        </row>
        <row r="56">
          <cell r="B56" t="str">
            <v>PPPL131</v>
          </cell>
        </row>
        <row r="57">
          <cell r="B57" t="str">
            <v>PPPL132</v>
          </cell>
        </row>
        <row r="58">
          <cell r="B58" t="str">
            <v>PPPL134</v>
          </cell>
        </row>
        <row r="59">
          <cell r="B59" t="str">
            <v>PPPL135</v>
          </cell>
        </row>
        <row r="60">
          <cell r="B60" t="str">
            <v>PPPL136</v>
          </cell>
        </row>
        <row r="61">
          <cell r="B61" t="str">
            <v>PPPL137</v>
          </cell>
        </row>
        <row r="62">
          <cell r="B62" t="str">
            <v>PPPL138</v>
          </cell>
        </row>
        <row r="63">
          <cell r="B63" t="str">
            <v>PPPL140</v>
          </cell>
        </row>
        <row r="64">
          <cell r="B64" t="str">
            <v>PPPL141</v>
          </cell>
        </row>
        <row r="65">
          <cell r="B65" t="str">
            <v>PPPL142</v>
          </cell>
        </row>
        <row r="66">
          <cell r="B66" t="str">
            <v>PPPL144</v>
          </cell>
        </row>
        <row r="67">
          <cell r="B67" t="str">
            <v>PPPL145</v>
          </cell>
        </row>
        <row r="68">
          <cell r="B68" t="str">
            <v>PPPL146</v>
          </cell>
        </row>
        <row r="69">
          <cell r="B69" t="str">
            <v>PPPL147</v>
          </cell>
        </row>
        <row r="70">
          <cell r="B70" t="str">
            <v>PPPL148</v>
          </cell>
        </row>
        <row r="71">
          <cell r="B71" t="str">
            <v>PPPL149</v>
          </cell>
        </row>
        <row r="72">
          <cell r="B72" t="str">
            <v>PPPL150</v>
          </cell>
        </row>
        <row r="73">
          <cell r="B73" t="str">
            <v>PPPL151</v>
          </cell>
        </row>
        <row r="74">
          <cell r="B74" t="str">
            <v>PPPL153</v>
          </cell>
        </row>
        <row r="75">
          <cell r="B75" t="str">
            <v>PPPL154</v>
          </cell>
        </row>
        <row r="76">
          <cell r="B76" t="str">
            <v>PPPL155</v>
          </cell>
        </row>
        <row r="77">
          <cell r="B77" t="str">
            <v>PPPL156</v>
          </cell>
        </row>
        <row r="78">
          <cell r="B78" t="str">
            <v>PPPL157</v>
          </cell>
        </row>
        <row r="79">
          <cell r="B79" t="str">
            <v>PPPL159</v>
          </cell>
        </row>
        <row r="80">
          <cell r="B80" t="str">
            <v>PPPL160</v>
          </cell>
        </row>
        <row r="81">
          <cell r="B81" t="str">
            <v>PPPL161</v>
          </cell>
        </row>
        <row r="82">
          <cell r="B82" t="str">
            <v>PPPL162</v>
          </cell>
        </row>
        <row r="83">
          <cell r="B83" t="str">
            <v>PPPL165</v>
          </cell>
        </row>
        <row r="84">
          <cell r="B84" t="str">
            <v>PPPL166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</sheetData>
      <sheetData sheetId="2"/>
      <sheetData sheetId="3"/>
      <sheetData sheetId="4"/>
      <sheetData sheetId="5">
        <row r="3">
          <cell r="B3" t="str">
            <v>Primarc Projects Pvt. Ltd.</v>
          </cell>
        </row>
        <row r="4">
          <cell r="B4" t="str">
            <v>Wellside Resort Pvt. Ltd.</v>
          </cell>
        </row>
        <row r="5">
          <cell r="B5" t="str">
            <v>Primarc Shrachi Projects LLP</v>
          </cell>
        </row>
        <row r="6">
          <cell r="B6" t="str">
            <v>PGE Homes LLP</v>
          </cell>
        </row>
        <row r="7">
          <cell r="B7" t="str">
            <v>Primarc Riya Projects LLP</v>
          </cell>
        </row>
        <row r="8">
          <cell r="B8" t="str">
            <v>Mangrove Buildcon LLP</v>
          </cell>
        </row>
        <row r="9">
          <cell r="B9" t="str">
            <v>Southwinds Project LLP</v>
          </cell>
        </row>
        <row r="10">
          <cell r="B10" t="str">
            <v>MCK PGE Projects LLP</v>
          </cell>
        </row>
        <row r="11">
          <cell r="B11" t="str">
            <v>Parvati Resources Pvt. Ltd.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Bill final (2)"/>
      <sheetName val="Bill final"/>
      <sheetName val="Rate"/>
      <sheetName val="CODE"/>
      <sheetName val="Hed Count"/>
      <sheetName val="Sheet3"/>
    </sheetNames>
    <sheetDataSet>
      <sheetData sheetId="0"/>
      <sheetData sheetId="1"/>
      <sheetData sheetId="2">
        <row r="4">
          <cell r="A4" t="str">
            <v>Housekeeping</v>
          </cell>
        </row>
        <row r="5">
          <cell r="A5" t="str">
            <v xml:space="preserve">Housekeeping Semi Skilled </v>
          </cell>
        </row>
        <row r="6">
          <cell r="A6" t="str">
            <v xml:space="preserve">Receptionist </v>
          </cell>
        </row>
        <row r="7">
          <cell r="A7" t="str">
            <v xml:space="preserve">Security Guard </v>
          </cell>
        </row>
        <row r="8">
          <cell r="A8" t="str">
            <v xml:space="preserve">Security Officer </v>
          </cell>
        </row>
        <row r="9">
          <cell r="A9" t="str">
            <v>Electrician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ttendance"/>
      <sheetName val="Salary Sheet"/>
      <sheetName val="Pay Slip"/>
      <sheetName val="PF Calculation"/>
      <sheetName val="Attendance - Trainee"/>
      <sheetName val="Salary Sheet - Trainee"/>
      <sheetName val="Compan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B3" t="str">
            <v>Primarc Projects Pvt. Ltd.</v>
          </cell>
        </row>
        <row r="4">
          <cell r="B4" t="str">
            <v>Southwinds Project LLP</v>
          </cell>
        </row>
        <row r="5">
          <cell r="B5" t="str">
            <v>Wellside Resort Pvt. Ltd.</v>
          </cell>
        </row>
        <row r="6">
          <cell r="B6" t="str">
            <v>MCK PGE Projects LLP</v>
          </cell>
        </row>
        <row r="7">
          <cell r="B7" t="str">
            <v>PGE Homes LLP</v>
          </cell>
        </row>
        <row r="8">
          <cell r="B8" t="str">
            <v>Primarc Riya Projects LLP</v>
          </cell>
        </row>
        <row r="9">
          <cell r="B9" t="str">
            <v>Primarc Pecan Retail Pvt Ltd</v>
          </cell>
        </row>
        <row r="10">
          <cell r="B10" t="str">
            <v>Parvati Resources Pvt. Ltd.</v>
          </cell>
        </row>
        <row r="11">
          <cell r="B11" t="str">
            <v>Mangrove Buildcon LLP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3"/>
  <dimension ref="A1:AD147"/>
  <sheetViews>
    <sheetView tabSelected="1" view="pageBreakPreview" zoomScaleNormal="100" zoomScaleSheetLayoutView="100" workbookViewId="0">
      <pane xSplit="4" ySplit="8" topLeftCell="E43" activePane="bottomRight" state="frozen"/>
      <selection pane="topRight" activeCell="E1" sqref="E1"/>
      <selection pane="bottomLeft" activeCell="A9" sqref="A9"/>
      <selection pane="bottomRight" activeCell="Y45" sqref="Y45"/>
    </sheetView>
  </sheetViews>
  <sheetFormatPr defaultRowHeight="15.75"/>
  <cols>
    <col min="1" max="1" width="3.7109375" style="27" customWidth="1"/>
    <col min="2" max="2" width="26.28515625" style="95" bestFit="1" customWidth="1"/>
    <col min="3" max="3" width="17.7109375" style="95" hidden="1" customWidth="1"/>
    <col min="4" max="4" width="18.28515625" style="27" bestFit="1" customWidth="1"/>
    <col min="5" max="5" width="12.28515625" style="27" bestFit="1" customWidth="1"/>
    <col min="6" max="6" width="6.28515625" style="27" hidden="1" customWidth="1"/>
    <col min="7" max="8" width="8" style="27" hidden="1" customWidth="1"/>
    <col min="9" max="9" width="7.28515625" style="27" customWidth="1"/>
    <col min="10" max="10" width="6.42578125" style="27" hidden="1" customWidth="1"/>
    <col min="11" max="11" width="7.28515625" style="27" bestFit="1" customWidth="1"/>
    <col min="12" max="12" width="7.28515625" style="27" hidden="1" customWidth="1"/>
    <col min="13" max="14" width="8.42578125" style="27" hidden="1" customWidth="1"/>
    <col min="15" max="15" width="7.28515625" style="27" bestFit="1" customWidth="1"/>
    <col min="16" max="16" width="7.85546875" style="27" bestFit="1" customWidth="1"/>
    <col min="17" max="17" width="6.28515625" style="27" bestFit="1" customWidth="1"/>
    <col min="18" max="18" width="9.7109375" style="27" bestFit="1" customWidth="1"/>
    <col min="19" max="19" width="9.28515625" style="27" bestFit="1" customWidth="1"/>
    <col min="20" max="20" width="11.140625" style="27" bestFit="1" customWidth="1"/>
    <col min="21" max="21" width="8.28515625" style="27" bestFit="1" customWidth="1"/>
    <col min="22" max="22" width="8.5703125" style="115" bestFit="1" customWidth="1"/>
    <col min="23" max="23" width="6.28515625" style="27" hidden="1" customWidth="1"/>
    <col min="24" max="24" width="7.28515625" style="38" hidden="1" customWidth="1"/>
    <col min="25" max="25" width="31.140625" style="27" customWidth="1"/>
    <col min="26" max="26" width="8.5703125" style="27" bestFit="1" customWidth="1"/>
    <col min="27" max="27" width="11.140625" style="27" bestFit="1" customWidth="1"/>
    <col min="28" max="28" width="9" style="27" bestFit="1" customWidth="1"/>
    <col min="29" max="29" width="11.42578125" style="27" customWidth="1"/>
    <col min="30" max="30" width="10.7109375" style="27" bestFit="1" customWidth="1"/>
    <col min="31" max="16384" width="9.140625" style="27"/>
  </cols>
  <sheetData>
    <row r="1" spans="1:30" ht="28.5">
      <c r="A1" s="123" t="s">
        <v>30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</row>
    <row r="2" spans="1:30" ht="18">
      <c r="A2" s="124" t="s">
        <v>39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</row>
    <row r="3" spans="1:30" ht="18.75">
      <c r="A3" s="125" t="str">
        <f>"Wage Sheet for the month of"&amp;" "&amp;TEXT(Payslip!$I$10,"mmmm yyyyy")&amp;""</f>
        <v>Wage Sheet for the month of March 2017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</row>
    <row r="5" spans="1:30">
      <c r="A5" s="121" t="s">
        <v>40</v>
      </c>
      <c r="B5" s="121"/>
      <c r="C5" s="121"/>
      <c r="D5" s="122" t="s">
        <v>84</v>
      </c>
      <c r="E5" s="122"/>
      <c r="F5" s="122"/>
      <c r="G5" s="122"/>
      <c r="H5" s="122"/>
      <c r="I5" s="122"/>
      <c r="J5" s="122"/>
    </row>
    <row r="6" spans="1:30">
      <c r="A6" s="121" t="s">
        <v>41</v>
      </c>
      <c r="B6" s="121"/>
      <c r="C6" s="121"/>
      <c r="D6" s="122" t="s">
        <v>85</v>
      </c>
      <c r="E6" s="122"/>
      <c r="F6" s="122"/>
      <c r="G6" s="122"/>
      <c r="H6" s="122"/>
      <c r="I6" s="122"/>
      <c r="J6" s="122"/>
    </row>
    <row r="7" spans="1:30" ht="63">
      <c r="A7" s="28" t="s">
        <v>0</v>
      </c>
      <c r="B7" s="28" t="s">
        <v>29</v>
      </c>
      <c r="C7" s="28" t="s">
        <v>38</v>
      </c>
      <c r="D7" s="28" t="s">
        <v>1</v>
      </c>
      <c r="E7" s="29" t="s">
        <v>2</v>
      </c>
      <c r="F7" s="30" t="s">
        <v>3</v>
      </c>
      <c r="G7" s="30" t="s">
        <v>48</v>
      </c>
      <c r="H7" s="30" t="s">
        <v>4</v>
      </c>
      <c r="I7" s="30" t="s">
        <v>5</v>
      </c>
      <c r="J7" s="31" t="s">
        <v>6</v>
      </c>
      <c r="K7" s="31" t="s">
        <v>7</v>
      </c>
      <c r="L7" s="31" t="s">
        <v>8</v>
      </c>
      <c r="M7" s="31" t="s">
        <v>134</v>
      </c>
      <c r="N7" s="31" t="s">
        <v>197</v>
      </c>
      <c r="O7" s="30" t="s">
        <v>9</v>
      </c>
      <c r="P7" s="30" t="s">
        <v>14</v>
      </c>
      <c r="Q7" s="30" t="s">
        <v>15</v>
      </c>
      <c r="R7" s="30" t="s">
        <v>16</v>
      </c>
      <c r="S7" s="30" t="s">
        <v>17</v>
      </c>
      <c r="T7" s="30" t="s">
        <v>18</v>
      </c>
      <c r="U7" s="30" t="s">
        <v>19</v>
      </c>
      <c r="V7" s="116" t="s">
        <v>20</v>
      </c>
      <c r="W7" s="30" t="s">
        <v>21</v>
      </c>
      <c r="X7" s="30" t="s">
        <v>22</v>
      </c>
      <c r="Y7" s="30" t="s">
        <v>23</v>
      </c>
      <c r="Z7" s="32" t="s">
        <v>10</v>
      </c>
      <c r="AA7" s="30" t="s">
        <v>11</v>
      </c>
      <c r="AB7" s="32" t="s">
        <v>12</v>
      </c>
      <c r="AC7" s="30" t="s">
        <v>13</v>
      </c>
      <c r="AD7" s="30" t="s">
        <v>37</v>
      </c>
    </row>
    <row r="8" spans="1:30" ht="18.75" customHeight="1">
      <c r="A8" s="119" t="s">
        <v>42</v>
      </c>
      <c r="B8" s="119"/>
      <c r="C8" s="114"/>
      <c r="D8" s="120" t="s">
        <v>60</v>
      </c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</row>
    <row r="9" spans="1:30">
      <c r="A9" s="33">
        <v>1</v>
      </c>
      <c r="B9" s="49" t="s">
        <v>106</v>
      </c>
      <c r="C9" s="97" t="s">
        <v>135</v>
      </c>
      <c r="D9" s="19" t="s">
        <v>198</v>
      </c>
      <c r="E9" s="34" t="s">
        <v>34</v>
      </c>
      <c r="F9" s="1">
        <v>5509</v>
      </c>
      <c r="G9" s="1">
        <v>2361</v>
      </c>
      <c r="H9" s="1">
        <v>0</v>
      </c>
      <c r="I9" s="2">
        <f>F9+G9+H9</f>
        <v>7870</v>
      </c>
      <c r="J9" s="3">
        <v>26</v>
      </c>
      <c r="K9" s="8">
        <v>27</v>
      </c>
      <c r="L9" s="1">
        <f t="shared" ref="L9:L13" si="0">F9/J9*K9</f>
        <v>5720.8846153846152</v>
      </c>
      <c r="M9" s="1">
        <f>G9/$J9*$K9</f>
        <v>2451.8076923076924</v>
      </c>
      <c r="N9" s="1">
        <f>H9/$J9*$K9</f>
        <v>0</v>
      </c>
      <c r="O9" s="4">
        <f>ROUND(L9+M9+N9,0)</f>
        <v>8173</v>
      </c>
      <c r="P9" s="5">
        <f>ROUND(Z9*12%,0)</f>
        <v>687</v>
      </c>
      <c r="Q9" s="5">
        <f>ROUNDUP(AB9*1.75%,0)</f>
        <v>144</v>
      </c>
      <c r="R9" s="6">
        <f>IF(O9&gt;40000,200,IF(O9&gt;25000,150,IF(O9&gt;15000,130,IF(O9&gt;10000,110,IF(O9&gt;8500,0,)))))</f>
        <v>0</v>
      </c>
      <c r="S9" s="1">
        <v>0</v>
      </c>
      <c r="T9" s="1">
        <v>500</v>
      </c>
      <c r="U9" s="7">
        <f>SUM(P9:T9)</f>
        <v>1331</v>
      </c>
      <c r="V9" s="117">
        <f>O9-U9</f>
        <v>6842</v>
      </c>
      <c r="W9" s="3">
        <f>ROUND((I9/12)/J9*(K9),0)</f>
        <v>681</v>
      </c>
      <c r="X9" s="26">
        <f>V9+W9</f>
        <v>7523</v>
      </c>
      <c r="Y9" s="5"/>
      <c r="Z9" s="5">
        <f>ROUND(IF(($L9)&gt;15000,15000,IF(($L9)&lt;=15000,($L9))),0)</f>
        <v>5721</v>
      </c>
      <c r="AA9" s="5">
        <f>ROUND(Z9*13.36%,0)</f>
        <v>764</v>
      </c>
      <c r="AB9" s="5">
        <f>ROUND($I9/$J9*($K9),0)</f>
        <v>8173</v>
      </c>
      <c r="AC9" s="5">
        <f>ROUNDUP(AB9*4.75%,0)</f>
        <v>389</v>
      </c>
      <c r="AD9" s="35">
        <f>O9+W9+AA9+AC9</f>
        <v>10007</v>
      </c>
    </row>
    <row r="10" spans="1:30">
      <c r="A10" s="33">
        <v>2</v>
      </c>
      <c r="B10" s="49" t="s">
        <v>107</v>
      </c>
      <c r="C10" s="97" t="s">
        <v>135</v>
      </c>
      <c r="D10" s="19" t="s">
        <v>199</v>
      </c>
      <c r="E10" s="34" t="s">
        <v>34</v>
      </c>
      <c r="F10" s="1">
        <v>5509</v>
      </c>
      <c r="G10" s="1">
        <v>2361</v>
      </c>
      <c r="H10" s="1">
        <v>0</v>
      </c>
      <c r="I10" s="2">
        <f t="shared" ref="I10:I13" si="1">F10+G10+H10</f>
        <v>7870</v>
      </c>
      <c r="J10" s="3">
        <v>26</v>
      </c>
      <c r="K10" s="8">
        <v>27</v>
      </c>
      <c r="L10" s="1">
        <f t="shared" si="0"/>
        <v>5720.8846153846152</v>
      </c>
      <c r="M10" s="1">
        <f t="shared" ref="M10:M13" si="2">G10/J10*K10</f>
        <v>2451.8076923076924</v>
      </c>
      <c r="N10" s="1">
        <f t="shared" ref="N10:N13" si="3">H10/$J10*$K10</f>
        <v>0</v>
      </c>
      <c r="O10" s="4">
        <f t="shared" ref="O10:O13" si="4">ROUND(L10+M10+N10,0)</f>
        <v>8173</v>
      </c>
      <c r="P10" s="5">
        <f t="shared" ref="P10:P13" si="5">ROUND(Z10*12%,0)</f>
        <v>687</v>
      </c>
      <c r="Q10" s="5">
        <f t="shared" ref="Q10:Q13" si="6">ROUNDUP(AB10*1.75%,0)</f>
        <v>144</v>
      </c>
      <c r="R10" s="6">
        <f t="shared" ref="R10:R13" si="7">IF(O10&gt;40000,200,IF(O10&gt;25000,150,IF(O10&gt;15000,130,IF(O10&gt;10000,110,IF(O10&gt;8500,0,)))))</f>
        <v>0</v>
      </c>
      <c r="S10" s="1">
        <v>0</v>
      </c>
      <c r="T10" s="1">
        <v>0</v>
      </c>
      <c r="U10" s="7">
        <f t="shared" ref="U10:U11" si="8">SUM(P10:T10)</f>
        <v>831</v>
      </c>
      <c r="V10" s="117">
        <f t="shared" ref="V10:V13" si="9">O10-U10</f>
        <v>7342</v>
      </c>
      <c r="W10" s="3">
        <f t="shared" ref="W10:W13" si="10">ROUND((I10/12)/J10*(K10),0)</f>
        <v>681</v>
      </c>
      <c r="X10" s="26">
        <f t="shared" ref="X10:X13" si="11">V10+W10</f>
        <v>8023</v>
      </c>
      <c r="Y10" s="5"/>
      <c r="Z10" s="5">
        <f t="shared" ref="Z10:Z13" si="12">ROUND(IF(($L10)&gt;15000,15000,IF(($L10)&lt;=15000,($L10))),0)</f>
        <v>5721</v>
      </c>
      <c r="AA10" s="5">
        <f t="shared" ref="AA10:AA13" si="13">ROUND(Z10*13.36%,0)</f>
        <v>764</v>
      </c>
      <c r="AB10" s="5">
        <f t="shared" ref="AB10:AB13" si="14">ROUND($I10/$J10*($K10),0)</f>
        <v>8173</v>
      </c>
      <c r="AC10" s="5">
        <f t="shared" ref="AC10:AC13" si="15">ROUNDUP(AB10*4.75%,0)</f>
        <v>389</v>
      </c>
      <c r="AD10" s="35">
        <f t="shared" ref="AD10:AD13" si="16">O10+W10+AA10+AC10</f>
        <v>10007</v>
      </c>
    </row>
    <row r="11" spans="1:30">
      <c r="A11" s="33">
        <v>3</v>
      </c>
      <c r="B11" s="49" t="s">
        <v>108</v>
      </c>
      <c r="C11" s="97" t="s">
        <v>135</v>
      </c>
      <c r="D11" s="19" t="s">
        <v>200</v>
      </c>
      <c r="E11" s="34" t="s">
        <v>34</v>
      </c>
      <c r="F11" s="1">
        <v>5509</v>
      </c>
      <c r="G11" s="1">
        <v>2361</v>
      </c>
      <c r="H11" s="1">
        <v>0</v>
      </c>
      <c r="I11" s="2">
        <f t="shared" si="1"/>
        <v>7870</v>
      </c>
      <c r="J11" s="3">
        <v>26</v>
      </c>
      <c r="K11" s="8">
        <v>26</v>
      </c>
      <c r="L11" s="1">
        <f t="shared" si="0"/>
        <v>5509</v>
      </c>
      <c r="M11" s="1">
        <f t="shared" si="2"/>
        <v>2361</v>
      </c>
      <c r="N11" s="1">
        <f t="shared" si="3"/>
        <v>0</v>
      </c>
      <c r="O11" s="4">
        <f t="shared" si="4"/>
        <v>7870</v>
      </c>
      <c r="P11" s="5">
        <f t="shared" si="5"/>
        <v>661</v>
      </c>
      <c r="Q11" s="5">
        <f t="shared" si="6"/>
        <v>138</v>
      </c>
      <c r="R11" s="6">
        <f t="shared" si="7"/>
        <v>0</v>
      </c>
      <c r="S11" s="1">
        <v>0</v>
      </c>
      <c r="T11" s="1">
        <v>0</v>
      </c>
      <c r="U11" s="7">
        <f t="shared" si="8"/>
        <v>799</v>
      </c>
      <c r="V11" s="117">
        <f t="shared" si="9"/>
        <v>7071</v>
      </c>
      <c r="W11" s="3">
        <f t="shared" si="10"/>
        <v>656</v>
      </c>
      <c r="X11" s="26">
        <f t="shared" si="11"/>
        <v>7727</v>
      </c>
      <c r="Y11" s="5"/>
      <c r="Z11" s="5">
        <f t="shared" si="12"/>
        <v>5509</v>
      </c>
      <c r="AA11" s="5">
        <f t="shared" si="13"/>
        <v>736</v>
      </c>
      <c r="AB11" s="5">
        <f t="shared" si="14"/>
        <v>7870</v>
      </c>
      <c r="AC11" s="5">
        <f t="shared" si="15"/>
        <v>374</v>
      </c>
      <c r="AD11" s="35">
        <f t="shared" si="16"/>
        <v>9636</v>
      </c>
    </row>
    <row r="12" spans="1:30">
      <c r="A12" s="33">
        <v>4</v>
      </c>
      <c r="B12" s="49" t="s">
        <v>109</v>
      </c>
      <c r="C12" s="97" t="s">
        <v>135</v>
      </c>
      <c r="D12" s="19" t="s">
        <v>201</v>
      </c>
      <c r="E12" s="34" t="s">
        <v>34</v>
      </c>
      <c r="F12" s="1">
        <v>5509</v>
      </c>
      <c r="G12" s="1">
        <v>2361</v>
      </c>
      <c r="H12" s="1">
        <v>0</v>
      </c>
      <c r="I12" s="2">
        <f t="shared" si="1"/>
        <v>7870</v>
      </c>
      <c r="J12" s="3">
        <v>26</v>
      </c>
      <c r="K12" s="8">
        <v>23</v>
      </c>
      <c r="L12" s="1">
        <f t="shared" si="0"/>
        <v>4873.3461538461543</v>
      </c>
      <c r="M12" s="1">
        <f t="shared" si="2"/>
        <v>2088.5769230769229</v>
      </c>
      <c r="N12" s="1">
        <f t="shared" si="3"/>
        <v>0</v>
      </c>
      <c r="O12" s="4">
        <f t="shared" si="4"/>
        <v>6962</v>
      </c>
      <c r="P12" s="5">
        <f t="shared" si="5"/>
        <v>585</v>
      </c>
      <c r="Q12" s="5">
        <f t="shared" si="6"/>
        <v>122</v>
      </c>
      <c r="R12" s="6">
        <f t="shared" si="7"/>
        <v>0</v>
      </c>
      <c r="S12" s="1">
        <v>0</v>
      </c>
      <c r="T12" s="1">
        <v>0</v>
      </c>
      <c r="U12" s="7">
        <f t="shared" ref="U12:U13" si="17">SUM(P12:T12)</f>
        <v>707</v>
      </c>
      <c r="V12" s="117">
        <f t="shared" si="9"/>
        <v>6255</v>
      </c>
      <c r="W12" s="3">
        <f t="shared" si="10"/>
        <v>580</v>
      </c>
      <c r="X12" s="26">
        <f t="shared" si="11"/>
        <v>6835</v>
      </c>
      <c r="Y12" s="5"/>
      <c r="Z12" s="5">
        <f t="shared" si="12"/>
        <v>4873</v>
      </c>
      <c r="AA12" s="5">
        <f t="shared" si="13"/>
        <v>651</v>
      </c>
      <c r="AB12" s="5">
        <f t="shared" si="14"/>
        <v>6962</v>
      </c>
      <c r="AC12" s="5">
        <f t="shared" si="15"/>
        <v>331</v>
      </c>
      <c r="AD12" s="35">
        <f t="shared" si="16"/>
        <v>8524</v>
      </c>
    </row>
    <row r="13" spans="1:30">
      <c r="A13" s="33">
        <v>5</v>
      </c>
      <c r="B13" s="49" t="s">
        <v>110</v>
      </c>
      <c r="C13" s="97" t="s">
        <v>135</v>
      </c>
      <c r="D13" s="19" t="s">
        <v>202</v>
      </c>
      <c r="E13" s="34" t="s">
        <v>34</v>
      </c>
      <c r="F13" s="1">
        <v>5509</v>
      </c>
      <c r="G13" s="1">
        <v>2361</v>
      </c>
      <c r="H13" s="1">
        <v>0</v>
      </c>
      <c r="I13" s="2">
        <f t="shared" si="1"/>
        <v>7870</v>
      </c>
      <c r="J13" s="3">
        <v>26</v>
      </c>
      <c r="K13" s="8">
        <v>4</v>
      </c>
      <c r="L13" s="1">
        <f t="shared" si="0"/>
        <v>847.53846153846155</v>
      </c>
      <c r="M13" s="1">
        <f t="shared" si="2"/>
        <v>363.23076923076923</v>
      </c>
      <c r="N13" s="1">
        <f t="shared" si="3"/>
        <v>0</v>
      </c>
      <c r="O13" s="4">
        <f t="shared" si="4"/>
        <v>1211</v>
      </c>
      <c r="P13" s="5">
        <f t="shared" si="5"/>
        <v>102</v>
      </c>
      <c r="Q13" s="5">
        <f t="shared" si="6"/>
        <v>22</v>
      </c>
      <c r="R13" s="6">
        <f t="shared" si="7"/>
        <v>0</v>
      </c>
      <c r="S13" s="1">
        <v>0</v>
      </c>
      <c r="T13" s="1">
        <v>0</v>
      </c>
      <c r="U13" s="7">
        <f t="shared" si="17"/>
        <v>124</v>
      </c>
      <c r="V13" s="117">
        <f t="shared" si="9"/>
        <v>1087</v>
      </c>
      <c r="W13" s="3">
        <f t="shared" si="10"/>
        <v>101</v>
      </c>
      <c r="X13" s="26">
        <f t="shared" si="11"/>
        <v>1188</v>
      </c>
      <c r="Y13" s="5"/>
      <c r="Z13" s="5">
        <f t="shared" si="12"/>
        <v>848</v>
      </c>
      <c r="AA13" s="5">
        <f t="shared" si="13"/>
        <v>113</v>
      </c>
      <c r="AB13" s="5">
        <f t="shared" si="14"/>
        <v>1211</v>
      </c>
      <c r="AC13" s="5">
        <f t="shared" si="15"/>
        <v>58</v>
      </c>
      <c r="AD13" s="35">
        <f t="shared" si="16"/>
        <v>1483</v>
      </c>
    </row>
    <row r="14" spans="1:30">
      <c r="A14" s="33"/>
      <c r="B14" s="49"/>
      <c r="C14" s="49"/>
      <c r="D14" s="19"/>
      <c r="E14" s="34"/>
      <c r="F14" s="1"/>
      <c r="G14" s="1"/>
      <c r="H14" s="1"/>
      <c r="I14" s="2"/>
      <c r="J14" s="3"/>
      <c r="K14" s="8"/>
      <c r="L14" s="1"/>
      <c r="M14" s="1"/>
      <c r="N14" s="1"/>
      <c r="O14" s="4"/>
      <c r="P14" s="5"/>
      <c r="Q14" s="5"/>
      <c r="R14" s="6"/>
      <c r="S14" s="1"/>
      <c r="T14" s="1"/>
      <c r="U14" s="7"/>
      <c r="V14" s="117"/>
      <c r="W14" s="3"/>
      <c r="X14" s="26"/>
      <c r="Y14" s="5"/>
      <c r="Z14" s="5"/>
      <c r="AA14" s="5"/>
      <c r="AB14" s="5"/>
      <c r="AC14" s="5"/>
      <c r="AD14" s="36"/>
    </row>
    <row r="15" spans="1:30">
      <c r="A15" s="25"/>
      <c r="B15" s="94"/>
      <c r="C15" s="94"/>
      <c r="D15" s="25"/>
      <c r="E15" s="9"/>
      <c r="F15" s="10"/>
      <c r="G15" s="10"/>
      <c r="H15" s="10"/>
      <c r="I15" s="10"/>
      <c r="J15" s="10"/>
      <c r="K15" s="8">
        <f>SUM(K9:K14)</f>
        <v>107</v>
      </c>
      <c r="L15" s="10">
        <f>SUM(L9:L14)</f>
        <v>22671.653846153844</v>
      </c>
      <c r="M15" s="10">
        <f>SUM(M9:M14)</f>
        <v>9716.423076923078</v>
      </c>
      <c r="N15" s="10"/>
      <c r="O15" s="10">
        <f t="shared" ref="O15:AD15" si="18">SUM(O9:O14)</f>
        <v>32389</v>
      </c>
      <c r="P15" s="10">
        <f t="shared" si="18"/>
        <v>2722</v>
      </c>
      <c r="Q15" s="10">
        <f t="shared" si="18"/>
        <v>570</v>
      </c>
      <c r="R15" s="10">
        <f t="shared" si="18"/>
        <v>0</v>
      </c>
      <c r="S15" s="10">
        <f t="shared" si="18"/>
        <v>0</v>
      </c>
      <c r="T15" s="10">
        <f t="shared" si="18"/>
        <v>500</v>
      </c>
      <c r="U15" s="10">
        <f t="shared" si="18"/>
        <v>3792</v>
      </c>
      <c r="V15" s="118">
        <f t="shared" si="18"/>
        <v>28597</v>
      </c>
      <c r="W15" s="10">
        <f t="shared" si="18"/>
        <v>2699</v>
      </c>
      <c r="X15" s="10">
        <f t="shared" si="18"/>
        <v>31296</v>
      </c>
      <c r="Y15" s="10">
        <f t="shared" si="18"/>
        <v>0</v>
      </c>
      <c r="Z15" s="10">
        <f t="shared" si="18"/>
        <v>22672</v>
      </c>
      <c r="AA15" s="10">
        <f t="shared" si="18"/>
        <v>3028</v>
      </c>
      <c r="AB15" s="10">
        <f t="shared" si="18"/>
        <v>32389</v>
      </c>
      <c r="AC15" s="10">
        <f t="shared" si="18"/>
        <v>1541</v>
      </c>
      <c r="AD15" s="37">
        <f t="shared" si="18"/>
        <v>39657</v>
      </c>
    </row>
    <row r="16" spans="1:30">
      <c r="A16" s="33">
        <v>1</v>
      </c>
      <c r="B16" s="49" t="s">
        <v>111</v>
      </c>
      <c r="C16" s="97" t="s">
        <v>135</v>
      </c>
      <c r="D16" s="19" t="s">
        <v>203</v>
      </c>
      <c r="E16" s="34" t="s">
        <v>24</v>
      </c>
      <c r="F16" s="1">
        <v>5509</v>
      </c>
      <c r="G16" s="1">
        <v>2361</v>
      </c>
      <c r="H16" s="1"/>
      <c r="I16" s="2">
        <f>F16+G16+H16</f>
        <v>7870</v>
      </c>
      <c r="J16" s="3">
        <v>26</v>
      </c>
      <c r="K16" s="8">
        <v>26</v>
      </c>
      <c r="L16" s="1">
        <f t="shared" ref="L16" si="19">F16/J16*K16</f>
        <v>5509</v>
      </c>
      <c r="M16" s="1">
        <f t="shared" ref="M16" si="20">G16/J16*K16</f>
        <v>2361</v>
      </c>
      <c r="N16" s="1">
        <f>H16/$J16*$K16</f>
        <v>0</v>
      </c>
      <c r="O16" s="4">
        <f>ROUND(L16+M16+N16,0)</f>
        <v>7870</v>
      </c>
      <c r="P16" s="5">
        <f>ROUND(Z16*12%,0)</f>
        <v>661</v>
      </c>
      <c r="Q16" s="5">
        <f>ROUNDUP(AB16*1.75%,0)</f>
        <v>138</v>
      </c>
      <c r="R16" s="6">
        <f>IF(O16&gt;40000,200,IF(O16&gt;25000,150,IF(O16&gt;15000,130,IF(O16&gt;10000,110,IF(O16&gt;8500,0,)))))</f>
        <v>0</v>
      </c>
      <c r="S16" s="1">
        <v>0</v>
      </c>
      <c r="T16" s="1">
        <v>0</v>
      </c>
      <c r="U16" s="7">
        <f>SUM(P16:T16)</f>
        <v>799</v>
      </c>
      <c r="V16" s="117">
        <f>O16-U16</f>
        <v>7071</v>
      </c>
      <c r="W16" s="3">
        <f>ROUND((I16/12)/J16*(K16),0)</f>
        <v>656</v>
      </c>
      <c r="X16" s="26">
        <f>V16+W16</f>
        <v>7727</v>
      </c>
      <c r="Y16" s="5"/>
      <c r="Z16" s="5">
        <f>ROUND(IF(($L16)&gt;15000,15000,IF(($L16)&lt;=15000,($L16))),0)</f>
        <v>5509</v>
      </c>
      <c r="AA16" s="5">
        <f>ROUND(Z16*13.36%,0)</f>
        <v>736</v>
      </c>
      <c r="AB16" s="5">
        <f>ROUND($I16/$J16*($K16),0)</f>
        <v>7870</v>
      </c>
      <c r="AC16" s="5">
        <f>ROUNDUP(AB16*4.75%,0)</f>
        <v>374</v>
      </c>
      <c r="AD16" s="35">
        <f>O16+W16+AA16+AC16</f>
        <v>9636</v>
      </c>
    </row>
    <row r="17" spans="1:30">
      <c r="A17" s="33"/>
      <c r="B17" s="49"/>
      <c r="C17" s="49"/>
      <c r="D17" s="19"/>
      <c r="E17" s="34"/>
      <c r="F17" s="1"/>
      <c r="G17" s="1"/>
      <c r="H17" s="1"/>
      <c r="I17" s="2"/>
      <c r="J17" s="3"/>
      <c r="K17" s="8"/>
      <c r="L17" s="1"/>
      <c r="M17" s="1"/>
      <c r="N17" s="1"/>
      <c r="O17" s="4"/>
      <c r="P17" s="5"/>
      <c r="Q17" s="5"/>
      <c r="R17" s="6"/>
      <c r="S17" s="1"/>
      <c r="T17" s="1"/>
      <c r="U17" s="7"/>
      <c r="V17" s="117"/>
      <c r="W17" s="3"/>
      <c r="X17" s="26"/>
      <c r="Y17" s="5"/>
      <c r="Z17" s="5"/>
      <c r="AA17" s="5"/>
      <c r="AB17" s="5"/>
      <c r="AC17" s="5"/>
      <c r="AD17" s="36"/>
    </row>
    <row r="18" spans="1:30">
      <c r="A18" s="25"/>
      <c r="B18" s="94"/>
      <c r="C18" s="94"/>
      <c r="D18" s="25"/>
      <c r="E18" s="9"/>
      <c r="F18" s="10"/>
      <c r="G18" s="10"/>
      <c r="H18" s="10"/>
      <c r="I18" s="10"/>
      <c r="J18" s="10"/>
      <c r="K18" s="8">
        <f>SUM(K16:K17)</f>
        <v>26</v>
      </c>
      <c r="L18" s="10">
        <f>SUM(L16:L17)</f>
        <v>5509</v>
      </c>
      <c r="M18" s="10">
        <f>SUM(M16:M17)</f>
        <v>2361</v>
      </c>
      <c r="N18" s="10"/>
      <c r="O18" s="10">
        <f t="shared" ref="O18:AD18" si="21">SUM(O16:O17)</f>
        <v>7870</v>
      </c>
      <c r="P18" s="10">
        <f t="shared" si="21"/>
        <v>661</v>
      </c>
      <c r="Q18" s="10">
        <f t="shared" si="21"/>
        <v>138</v>
      </c>
      <c r="R18" s="10">
        <f t="shared" si="21"/>
        <v>0</v>
      </c>
      <c r="S18" s="10">
        <f t="shared" si="21"/>
        <v>0</v>
      </c>
      <c r="T18" s="10">
        <f t="shared" si="21"/>
        <v>0</v>
      </c>
      <c r="U18" s="10">
        <f t="shared" si="21"/>
        <v>799</v>
      </c>
      <c r="V18" s="118">
        <f t="shared" si="21"/>
        <v>7071</v>
      </c>
      <c r="W18" s="10">
        <f t="shared" si="21"/>
        <v>656</v>
      </c>
      <c r="X18" s="10">
        <f t="shared" si="21"/>
        <v>7727</v>
      </c>
      <c r="Y18" s="10">
        <f t="shared" si="21"/>
        <v>0</v>
      </c>
      <c r="Z18" s="10">
        <f t="shared" si="21"/>
        <v>5509</v>
      </c>
      <c r="AA18" s="10">
        <f t="shared" si="21"/>
        <v>736</v>
      </c>
      <c r="AB18" s="10">
        <f t="shared" si="21"/>
        <v>7870</v>
      </c>
      <c r="AC18" s="10">
        <f t="shared" si="21"/>
        <v>374</v>
      </c>
      <c r="AD18" s="37">
        <f t="shared" si="21"/>
        <v>9636</v>
      </c>
    </row>
    <row r="19" spans="1:30" ht="18.75" customHeight="1">
      <c r="A19" s="126" t="s">
        <v>42</v>
      </c>
      <c r="B19" s="127"/>
      <c r="C19" s="114"/>
      <c r="D19" s="128" t="s">
        <v>61</v>
      </c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30"/>
    </row>
    <row r="20" spans="1:30">
      <c r="A20" s="33">
        <v>1</v>
      </c>
      <c r="B20" s="49" t="s">
        <v>112</v>
      </c>
      <c r="C20" s="97" t="s">
        <v>193</v>
      </c>
      <c r="D20" s="19" t="s">
        <v>204</v>
      </c>
      <c r="E20" s="34" t="s">
        <v>34</v>
      </c>
      <c r="F20" s="1">
        <v>5509</v>
      </c>
      <c r="G20" s="1">
        <v>2361</v>
      </c>
      <c r="H20" s="1"/>
      <c r="I20" s="2">
        <f>F20+G20+H20</f>
        <v>7870</v>
      </c>
      <c r="J20" s="3">
        <v>26</v>
      </c>
      <c r="K20" s="8">
        <v>26</v>
      </c>
      <c r="L20" s="1">
        <f t="shared" ref="L20:L23" si="22">F20/J20*K20</f>
        <v>5509</v>
      </c>
      <c r="M20" s="1">
        <f t="shared" ref="M20:M23" si="23">G20/J20*K20</f>
        <v>2361</v>
      </c>
      <c r="N20" s="1">
        <f>H20/$J20*$K20</f>
        <v>0</v>
      </c>
      <c r="O20" s="4">
        <f>ROUND(L20+M20+N20,0)</f>
        <v>7870</v>
      </c>
      <c r="P20" s="5">
        <f>ROUND(Z20*12%,0)</f>
        <v>661</v>
      </c>
      <c r="Q20" s="5">
        <f>ROUNDUP(AB20*1.75%,0)</f>
        <v>138</v>
      </c>
      <c r="R20" s="6">
        <f>IF(O20&gt;40000,200,IF(O20&gt;25000,150,IF(O20&gt;15000,130,IF(O20&gt;10000,110,IF(O20&gt;8500,0,)))))</f>
        <v>0</v>
      </c>
      <c r="S20" s="1">
        <v>1000</v>
      </c>
      <c r="T20" s="1">
        <v>0</v>
      </c>
      <c r="U20" s="7">
        <f>SUM(P20:T20)</f>
        <v>1799</v>
      </c>
      <c r="V20" s="117">
        <f>O20-U20</f>
        <v>6071</v>
      </c>
      <c r="W20" s="3">
        <f>ROUND((I20/12)/J20*(K20),0)</f>
        <v>656</v>
      </c>
      <c r="X20" s="26">
        <f>V20+W20</f>
        <v>6727</v>
      </c>
      <c r="Y20" s="5"/>
      <c r="Z20" s="5">
        <f>ROUND(IF(($L20)&gt;15000,15000,IF(($L20)&lt;=15000,($L20))),0)</f>
        <v>5509</v>
      </c>
      <c r="AA20" s="5">
        <f>ROUND(Z20*13.36%,0)</f>
        <v>736</v>
      </c>
      <c r="AB20" s="5">
        <f>ROUND($I20/$J20*($K20),0)</f>
        <v>7870</v>
      </c>
      <c r="AC20" s="5">
        <f>ROUNDUP(AB20*4.75%,0)</f>
        <v>374</v>
      </c>
      <c r="AD20" s="35">
        <f>O20+W20+AA20+AC20</f>
        <v>9636</v>
      </c>
    </row>
    <row r="21" spans="1:30">
      <c r="A21" s="33">
        <v>2</v>
      </c>
      <c r="B21" s="49" t="s">
        <v>113</v>
      </c>
      <c r="C21" s="97" t="s">
        <v>193</v>
      </c>
      <c r="D21" s="19" t="s">
        <v>205</v>
      </c>
      <c r="E21" s="34" t="s">
        <v>34</v>
      </c>
      <c r="F21" s="1">
        <v>5509</v>
      </c>
      <c r="G21" s="1">
        <v>2361</v>
      </c>
      <c r="H21" s="1"/>
      <c r="I21" s="2">
        <f t="shared" ref="I21:I23" si="24">F21+G21+H21</f>
        <v>7870</v>
      </c>
      <c r="J21" s="3">
        <v>26</v>
      </c>
      <c r="K21" s="8">
        <v>26</v>
      </c>
      <c r="L21" s="1">
        <f t="shared" si="22"/>
        <v>5509</v>
      </c>
      <c r="M21" s="1">
        <f t="shared" si="23"/>
        <v>2361</v>
      </c>
      <c r="N21" s="1">
        <f t="shared" ref="N21:N23" si="25">H21/$J21*$K21</f>
        <v>0</v>
      </c>
      <c r="O21" s="4">
        <f t="shared" ref="O21:O23" si="26">ROUND(L21+M21+N21,0)</f>
        <v>7870</v>
      </c>
      <c r="P21" s="5">
        <f t="shared" ref="P21:P23" si="27">ROUND(Z21*12%,0)</f>
        <v>661</v>
      </c>
      <c r="Q21" s="5">
        <f t="shared" ref="Q21:Q23" si="28">ROUNDUP(AB21*1.75%,0)</f>
        <v>138</v>
      </c>
      <c r="R21" s="6">
        <f t="shared" ref="R21:R23" si="29">IF(O21&gt;40000,200,IF(O21&gt;25000,150,IF(O21&gt;15000,130,IF(O21&gt;10000,110,IF(O21&gt;8500,0,)))))</f>
        <v>0</v>
      </c>
      <c r="S21" s="1">
        <v>3000</v>
      </c>
      <c r="T21" s="1">
        <v>0</v>
      </c>
      <c r="U21" s="7">
        <f t="shared" ref="U21:U22" si="30">SUM(P21:T21)</f>
        <v>3799</v>
      </c>
      <c r="V21" s="117">
        <f t="shared" ref="V21:V23" si="31">O21-U21</f>
        <v>4071</v>
      </c>
      <c r="W21" s="3">
        <f t="shared" ref="W21:W23" si="32">ROUND((I21/12)/J21*(K21),0)</f>
        <v>656</v>
      </c>
      <c r="X21" s="26">
        <f t="shared" ref="X21:X23" si="33">V21+W21</f>
        <v>4727</v>
      </c>
      <c r="Y21" s="5"/>
      <c r="Z21" s="5">
        <f t="shared" ref="Z21:Z23" si="34">ROUND(IF(($L21)&gt;15000,15000,IF(($L21)&lt;=15000,($L21))),0)</f>
        <v>5509</v>
      </c>
      <c r="AA21" s="5">
        <f t="shared" ref="AA21:AA23" si="35">ROUND(Z21*13.36%,0)</f>
        <v>736</v>
      </c>
      <c r="AB21" s="5">
        <f t="shared" ref="AB21:AB23" si="36">ROUND($I21/$J21*($K21),0)</f>
        <v>7870</v>
      </c>
      <c r="AC21" s="5">
        <f t="shared" ref="AC21:AC23" si="37">ROUNDUP(AB21*4.75%,0)</f>
        <v>374</v>
      </c>
      <c r="AD21" s="35">
        <f t="shared" ref="AD21:AD23" si="38">O21+W21+AA21+AC21</f>
        <v>9636</v>
      </c>
    </row>
    <row r="22" spans="1:30">
      <c r="A22" s="33">
        <v>3</v>
      </c>
      <c r="B22" s="49" t="s">
        <v>114</v>
      </c>
      <c r="C22" s="97" t="s">
        <v>193</v>
      </c>
      <c r="D22" s="19" t="s">
        <v>206</v>
      </c>
      <c r="E22" s="34" t="s">
        <v>34</v>
      </c>
      <c r="F22" s="1">
        <v>5509</v>
      </c>
      <c r="G22" s="1">
        <v>2361</v>
      </c>
      <c r="H22" s="1"/>
      <c r="I22" s="2">
        <f t="shared" si="24"/>
        <v>7870</v>
      </c>
      <c r="J22" s="3">
        <v>26</v>
      </c>
      <c r="K22" s="8">
        <v>25</v>
      </c>
      <c r="L22" s="1">
        <f t="shared" si="22"/>
        <v>5297.1153846153848</v>
      </c>
      <c r="M22" s="1">
        <f t="shared" si="23"/>
        <v>2270.1923076923076</v>
      </c>
      <c r="N22" s="1">
        <f t="shared" si="25"/>
        <v>0</v>
      </c>
      <c r="O22" s="4">
        <f t="shared" si="26"/>
        <v>7567</v>
      </c>
      <c r="P22" s="5">
        <f t="shared" si="27"/>
        <v>636</v>
      </c>
      <c r="Q22" s="5">
        <f t="shared" si="28"/>
        <v>133</v>
      </c>
      <c r="R22" s="6">
        <f t="shared" si="29"/>
        <v>0</v>
      </c>
      <c r="S22" s="1">
        <v>0</v>
      </c>
      <c r="T22" s="1">
        <v>0</v>
      </c>
      <c r="U22" s="7">
        <f t="shared" si="30"/>
        <v>769</v>
      </c>
      <c r="V22" s="117">
        <f t="shared" si="31"/>
        <v>6798</v>
      </c>
      <c r="W22" s="3">
        <f t="shared" si="32"/>
        <v>631</v>
      </c>
      <c r="X22" s="26">
        <f t="shared" si="33"/>
        <v>7429</v>
      </c>
      <c r="Y22" s="5"/>
      <c r="Z22" s="5">
        <f t="shared" si="34"/>
        <v>5297</v>
      </c>
      <c r="AA22" s="5">
        <f t="shared" si="35"/>
        <v>708</v>
      </c>
      <c r="AB22" s="5">
        <f t="shared" si="36"/>
        <v>7567</v>
      </c>
      <c r="AC22" s="5">
        <f t="shared" si="37"/>
        <v>360</v>
      </c>
      <c r="AD22" s="35">
        <f t="shared" si="38"/>
        <v>9266</v>
      </c>
    </row>
    <row r="23" spans="1:30">
      <c r="A23" s="33">
        <v>4</v>
      </c>
      <c r="B23" s="49" t="s">
        <v>115</v>
      </c>
      <c r="C23" s="97" t="s">
        <v>193</v>
      </c>
      <c r="D23" s="19" t="s">
        <v>207</v>
      </c>
      <c r="E23" s="34" t="s">
        <v>34</v>
      </c>
      <c r="F23" s="1">
        <v>5509</v>
      </c>
      <c r="G23" s="1">
        <v>2361</v>
      </c>
      <c r="H23" s="1"/>
      <c r="I23" s="2">
        <f t="shared" si="24"/>
        <v>7870</v>
      </c>
      <c r="J23" s="3">
        <v>26</v>
      </c>
      <c r="K23" s="8">
        <v>1</v>
      </c>
      <c r="L23" s="1">
        <f t="shared" si="22"/>
        <v>211.88461538461539</v>
      </c>
      <c r="M23" s="1">
        <f t="shared" si="23"/>
        <v>90.807692307692307</v>
      </c>
      <c r="N23" s="1">
        <f t="shared" si="25"/>
        <v>0</v>
      </c>
      <c r="O23" s="4">
        <f t="shared" si="26"/>
        <v>303</v>
      </c>
      <c r="P23" s="5">
        <f t="shared" si="27"/>
        <v>25</v>
      </c>
      <c r="Q23" s="5">
        <f t="shared" si="28"/>
        <v>6</v>
      </c>
      <c r="R23" s="6">
        <f t="shared" si="29"/>
        <v>0</v>
      </c>
      <c r="S23" s="1">
        <v>0</v>
      </c>
      <c r="T23" s="1">
        <v>0</v>
      </c>
      <c r="U23" s="7">
        <f t="shared" ref="U23" si="39">SUM(P23:T23)</f>
        <v>31</v>
      </c>
      <c r="V23" s="117">
        <f t="shared" si="31"/>
        <v>272</v>
      </c>
      <c r="W23" s="3">
        <f t="shared" si="32"/>
        <v>25</v>
      </c>
      <c r="X23" s="26">
        <f t="shared" si="33"/>
        <v>297</v>
      </c>
      <c r="Y23" s="5"/>
      <c r="Z23" s="5">
        <f t="shared" si="34"/>
        <v>212</v>
      </c>
      <c r="AA23" s="5">
        <f t="shared" si="35"/>
        <v>28</v>
      </c>
      <c r="AB23" s="5">
        <f t="shared" si="36"/>
        <v>303</v>
      </c>
      <c r="AC23" s="5">
        <f t="shared" si="37"/>
        <v>15</v>
      </c>
      <c r="AD23" s="35">
        <f t="shared" si="38"/>
        <v>371</v>
      </c>
    </row>
    <row r="24" spans="1:30">
      <c r="A24" s="33"/>
      <c r="B24" s="49"/>
      <c r="C24" s="49"/>
      <c r="D24" s="19"/>
      <c r="E24" s="34"/>
      <c r="F24" s="1"/>
      <c r="G24" s="1"/>
      <c r="H24" s="1"/>
      <c r="I24" s="2"/>
      <c r="J24" s="3"/>
      <c r="K24" s="8"/>
      <c r="L24" s="1"/>
      <c r="M24" s="1"/>
      <c r="N24" s="1"/>
      <c r="O24" s="4"/>
      <c r="P24" s="5"/>
      <c r="Q24" s="5"/>
      <c r="R24" s="6"/>
      <c r="S24" s="1"/>
      <c r="T24" s="1"/>
      <c r="U24" s="7"/>
      <c r="V24" s="117"/>
      <c r="W24" s="3"/>
      <c r="X24" s="26"/>
      <c r="Y24" s="5"/>
      <c r="Z24" s="5"/>
      <c r="AA24" s="5"/>
      <c r="AB24" s="5"/>
      <c r="AC24" s="5"/>
      <c r="AD24" s="36"/>
    </row>
    <row r="25" spans="1:30">
      <c r="A25" s="25"/>
      <c r="B25" s="94"/>
      <c r="C25" s="94"/>
      <c r="D25" s="25"/>
      <c r="E25" s="9"/>
      <c r="F25" s="10"/>
      <c r="G25" s="10"/>
      <c r="H25" s="10"/>
      <c r="I25" s="10"/>
      <c r="J25" s="10"/>
      <c r="K25" s="8">
        <f>SUM(K20:K24)</f>
        <v>78</v>
      </c>
      <c r="L25" s="10">
        <f>SUM(L20:L24)</f>
        <v>16527</v>
      </c>
      <c r="M25" s="10">
        <f>SUM(M20:M24)</f>
        <v>7083</v>
      </c>
      <c r="N25" s="10"/>
      <c r="O25" s="10">
        <f t="shared" ref="O25:AD25" si="40">SUM(O20:O24)</f>
        <v>23610</v>
      </c>
      <c r="P25" s="10">
        <f t="shared" si="40"/>
        <v>1983</v>
      </c>
      <c r="Q25" s="10">
        <f t="shared" si="40"/>
        <v>415</v>
      </c>
      <c r="R25" s="10">
        <f t="shared" si="40"/>
        <v>0</v>
      </c>
      <c r="S25" s="10">
        <f t="shared" si="40"/>
        <v>4000</v>
      </c>
      <c r="T25" s="10">
        <f t="shared" si="40"/>
        <v>0</v>
      </c>
      <c r="U25" s="10">
        <f t="shared" si="40"/>
        <v>6398</v>
      </c>
      <c r="V25" s="118">
        <f t="shared" si="40"/>
        <v>17212</v>
      </c>
      <c r="W25" s="10">
        <f t="shared" si="40"/>
        <v>1968</v>
      </c>
      <c r="X25" s="10">
        <f t="shared" si="40"/>
        <v>19180</v>
      </c>
      <c r="Y25" s="10">
        <f t="shared" si="40"/>
        <v>0</v>
      </c>
      <c r="Z25" s="10">
        <f t="shared" si="40"/>
        <v>16527</v>
      </c>
      <c r="AA25" s="10">
        <f t="shared" si="40"/>
        <v>2208</v>
      </c>
      <c r="AB25" s="10">
        <f t="shared" si="40"/>
        <v>23610</v>
      </c>
      <c r="AC25" s="10">
        <f t="shared" si="40"/>
        <v>1123</v>
      </c>
      <c r="AD25" s="37">
        <f t="shared" si="40"/>
        <v>28909</v>
      </c>
    </row>
    <row r="26" spans="1:30" ht="18.75" customHeight="1">
      <c r="A26" s="126" t="s">
        <v>42</v>
      </c>
      <c r="B26" s="127"/>
      <c r="C26" s="114"/>
      <c r="D26" s="128" t="s">
        <v>62</v>
      </c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30"/>
    </row>
    <row r="27" spans="1:30">
      <c r="A27" s="33">
        <v>1</v>
      </c>
      <c r="B27" s="49" t="s">
        <v>116</v>
      </c>
      <c r="C27" s="97" t="s">
        <v>136</v>
      </c>
      <c r="D27" s="19" t="s">
        <v>219</v>
      </c>
      <c r="E27" s="34" t="s">
        <v>34</v>
      </c>
      <c r="F27" s="1">
        <v>5509</v>
      </c>
      <c r="G27" s="1">
        <v>2361</v>
      </c>
      <c r="H27" s="1"/>
      <c r="I27" s="2">
        <f>F27+G27+H27</f>
        <v>7870</v>
      </c>
      <c r="J27" s="3">
        <v>26</v>
      </c>
      <c r="K27" s="8">
        <v>24</v>
      </c>
      <c r="L27" s="1">
        <f t="shared" ref="L27:L29" si="41">F27/J27*K27</f>
        <v>5085.2307692307695</v>
      </c>
      <c r="M27" s="1">
        <f t="shared" ref="M27:M29" si="42">G27/J27*K27</f>
        <v>2179.3846153846152</v>
      </c>
      <c r="N27" s="1">
        <f>H27/$J27*$K27</f>
        <v>0</v>
      </c>
      <c r="O27" s="4">
        <f>ROUND(L27+M27+N27,0)</f>
        <v>7265</v>
      </c>
      <c r="P27" s="5">
        <f>ROUND(Z27*12%,0)</f>
        <v>610</v>
      </c>
      <c r="Q27" s="5">
        <f>ROUNDUP(AB27*1.75%,0)</f>
        <v>128</v>
      </c>
      <c r="R27" s="6">
        <f>IF(O27&gt;40000,200,IF(O27&gt;25000,150,IF(O27&gt;15000,130,IF(O27&gt;10000,110,IF(O27&gt;8500,0,)))))</f>
        <v>0</v>
      </c>
      <c r="S27" s="1">
        <v>0</v>
      </c>
      <c r="T27" s="1">
        <v>0</v>
      </c>
      <c r="U27" s="7">
        <f>SUM(P27:T27)</f>
        <v>738</v>
      </c>
      <c r="V27" s="117">
        <f>O27-U27</f>
        <v>6527</v>
      </c>
      <c r="W27" s="3">
        <f>ROUND((I27/12)/J27*(K27),0)</f>
        <v>605</v>
      </c>
      <c r="X27" s="26">
        <f>V27+W27</f>
        <v>7132</v>
      </c>
      <c r="Y27" s="5"/>
      <c r="Z27" s="5">
        <f>ROUND(IF(($L27)&gt;15000,15000,IF(($L27)&lt;=15000,($L27))),0)</f>
        <v>5085</v>
      </c>
      <c r="AA27" s="5">
        <f>ROUND(Z27*13.36%,0)</f>
        <v>679</v>
      </c>
      <c r="AB27" s="5">
        <f>ROUND($I27/$J27*($K27),0)</f>
        <v>7265</v>
      </c>
      <c r="AC27" s="5">
        <f>ROUNDUP(AB27*4.75%,0)</f>
        <v>346</v>
      </c>
      <c r="AD27" s="35">
        <f>O27+W27+AA27+AC27</f>
        <v>8895</v>
      </c>
    </row>
    <row r="28" spans="1:30">
      <c r="A28" s="33">
        <v>2</v>
      </c>
      <c r="B28" s="49" t="s">
        <v>117</v>
      </c>
      <c r="C28" s="97" t="s">
        <v>136</v>
      </c>
      <c r="D28" s="19" t="s">
        <v>220</v>
      </c>
      <c r="E28" s="34" t="s">
        <v>34</v>
      </c>
      <c r="F28" s="1">
        <v>5509</v>
      </c>
      <c r="G28" s="1">
        <v>2361</v>
      </c>
      <c r="H28" s="1"/>
      <c r="I28" s="2">
        <f t="shared" ref="I28:I29" si="43">F28+G28+H28</f>
        <v>7870</v>
      </c>
      <c r="J28" s="3">
        <v>26</v>
      </c>
      <c r="K28" s="8">
        <v>4</v>
      </c>
      <c r="L28" s="1">
        <f t="shared" si="41"/>
        <v>847.53846153846155</v>
      </c>
      <c r="M28" s="1">
        <f t="shared" si="42"/>
        <v>363.23076923076923</v>
      </c>
      <c r="N28" s="1">
        <f t="shared" ref="N28:N29" si="44">H28/$J28*$K28</f>
        <v>0</v>
      </c>
      <c r="O28" s="4">
        <f t="shared" ref="O28:O29" si="45">ROUND(L28+M28+N28,0)</f>
        <v>1211</v>
      </c>
      <c r="P28" s="5">
        <f t="shared" ref="P28:P29" si="46">ROUND(Z28*12%,0)</f>
        <v>102</v>
      </c>
      <c r="Q28" s="5">
        <f t="shared" ref="Q28:Q29" si="47">ROUNDUP(AB28*1.75%,0)</f>
        <v>22</v>
      </c>
      <c r="R28" s="6">
        <f t="shared" ref="R28:R29" si="48">IF(O28&gt;40000,200,IF(O28&gt;25000,150,IF(O28&gt;15000,130,IF(O28&gt;10000,110,IF(O28&gt;8500,0,)))))</f>
        <v>0</v>
      </c>
      <c r="S28" s="1">
        <v>0</v>
      </c>
      <c r="T28" s="1">
        <v>0</v>
      </c>
      <c r="U28" s="7">
        <f t="shared" ref="U28:U29" si="49">SUM(P28:T28)</f>
        <v>124</v>
      </c>
      <c r="V28" s="117">
        <f t="shared" ref="V28:V29" si="50">O28-U28</f>
        <v>1087</v>
      </c>
      <c r="W28" s="3">
        <f t="shared" ref="W28:W29" si="51">ROUND((I28/12)/J28*(K28),0)</f>
        <v>101</v>
      </c>
      <c r="X28" s="26">
        <f t="shared" ref="X28:X29" si="52">V28+W28</f>
        <v>1188</v>
      </c>
      <c r="Y28" s="5"/>
      <c r="Z28" s="5">
        <f t="shared" ref="Z28:Z29" si="53">ROUND(IF(($L28)&gt;15000,15000,IF(($L28)&lt;=15000,($L28))),0)</f>
        <v>848</v>
      </c>
      <c r="AA28" s="5">
        <f t="shared" ref="AA28:AA29" si="54">ROUND(Z28*13.36%,0)</f>
        <v>113</v>
      </c>
      <c r="AB28" s="5">
        <f t="shared" ref="AB28:AB29" si="55">ROUND($I28/$J28*($K28),0)</f>
        <v>1211</v>
      </c>
      <c r="AC28" s="5">
        <f t="shared" ref="AC28:AC29" si="56">ROUNDUP(AB28*4.75%,0)</f>
        <v>58</v>
      </c>
      <c r="AD28" s="35">
        <f t="shared" ref="AD28:AD29" si="57">O28+W28+AA28+AC28</f>
        <v>1483</v>
      </c>
    </row>
    <row r="29" spans="1:30">
      <c r="A29" s="33">
        <v>3</v>
      </c>
      <c r="B29" s="49" t="s">
        <v>118</v>
      </c>
      <c r="C29" s="97" t="s">
        <v>136</v>
      </c>
      <c r="D29" s="19" t="s">
        <v>253</v>
      </c>
      <c r="E29" s="34" t="s">
        <v>34</v>
      </c>
      <c r="F29" s="1">
        <v>5509</v>
      </c>
      <c r="G29" s="1">
        <v>2361</v>
      </c>
      <c r="H29" s="1"/>
      <c r="I29" s="2">
        <f t="shared" si="43"/>
        <v>7870</v>
      </c>
      <c r="J29" s="3">
        <v>26</v>
      </c>
      <c r="K29" s="8">
        <v>28</v>
      </c>
      <c r="L29" s="1">
        <f t="shared" si="41"/>
        <v>5932.7692307692305</v>
      </c>
      <c r="M29" s="1">
        <f t="shared" si="42"/>
        <v>2542.6153846153848</v>
      </c>
      <c r="N29" s="1">
        <f t="shared" si="44"/>
        <v>0</v>
      </c>
      <c r="O29" s="4">
        <f t="shared" si="45"/>
        <v>8475</v>
      </c>
      <c r="P29" s="5">
        <f t="shared" si="46"/>
        <v>712</v>
      </c>
      <c r="Q29" s="5">
        <f t="shared" si="47"/>
        <v>149</v>
      </c>
      <c r="R29" s="6">
        <f t="shared" si="48"/>
        <v>0</v>
      </c>
      <c r="S29" s="1">
        <v>0</v>
      </c>
      <c r="T29" s="1">
        <v>0</v>
      </c>
      <c r="U29" s="7">
        <f t="shared" si="49"/>
        <v>861</v>
      </c>
      <c r="V29" s="117">
        <f t="shared" si="50"/>
        <v>7614</v>
      </c>
      <c r="W29" s="3">
        <f t="shared" si="51"/>
        <v>706</v>
      </c>
      <c r="X29" s="26">
        <f t="shared" si="52"/>
        <v>8320</v>
      </c>
      <c r="Y29" s="5"/>
      <c r="Z29" s="5">
        <f t="shared" si="53"/>
        <v>5933</v>
      </c>
      <c r="AA29" s="5">
        <f t="shared" si="54"/>
        <v>793</v>
      </c>
      <c r="AB29" s="5">
        <f t="shared" si="55"/>
        <v>8475</v>
      </c>
      <c r="AC29" s="5">
        <f t="shared" si="56"/>
        <v>403</v>
      </c>
      <c r="AD29" s="35">
        <f t="shared" si="57"/>
        <v>10377</v>
      </c>
    </row>
    <row r="30" spans="1:30">
      <c r="A30" s="33"/>
      <c r="B30" s="49"/>
      <c r="C30" s="49"/>
      <c r="D30" s="19"/>
      <c r="E30" s="34"/>
      <c r="F30" s="1"/>
      <c r="G30" s="1"/>
      <c r="H30" s="1"/>
      <c r="I30" s="2"/>
      <c r="J30" s="3"/>
      <c r="K30" s="8"/>
      <c r="L30" s="1"/>
      <c r="M30" s="1"/>
      <c r="N30" s="1"/>
      <c r="O30" s="4"/>
      <c r="P30" s="5"/>
      <c r="Q30" s="5"/>
      <c r="R30" s="6"/>
      <c r="S30" s="1"/>
      <c r="T30" s="1"/>
      <c r="U30" s="7"/>
      <c r="V30" s="117"/>
      <c r="W30" s="3"/>
      <c r="X30" s="26"/>
      <c r="Y30" s="5"/>
      <c r="Z30" s="5"/>
      <c r="AA30" s="5"/>
      <c r="AB30" s="5"/>
      <c r="AC30" s="5"/>
      <c r="AD30" s="36"/>
    </row>
    <row r="31" spans="1:30">
      <c r="A31" s="25"/>
      <c r="B31" s="94"/>
      <c r="C31" s="94"/>
      <c r="D31" s="25"/>
      <c r="E31" s="9"/>
      <c r="F31" s="10"/>
      <c r="G31" s="10"/>
      <c r="H31" s="10"/>
      <c r="I31" s="10"/>
      <c r="J31" s="10"/>
      <c r="K31" s="8">
        <f>SUM(K27:K30)</f>
        <v>56</v>
      </c>
      <c r="L31" s="10">
        <f>SUM(L27:L30)</f>
        <v>11865.538461538461</v>
      </c>
      <c r="M31" s="10">
        <f>SUM(M27:M30)</f>
        <v>5085.2307692307695</v>
      </c>
      <c r="N31" s="10"/>
      <c r="O31" s="10">
        <f t="shared" ref="O31:AD31" si="58">SUM(O27:O30)</f>
        <v>16951</v>
      </c>
      <c r="P31" s="10">
        <f t="shared" si="58"/>
        <v>1424</v>
      </c>
      <c r="Q31" s="10">
        <f t="shared" si="58"/>
        <v>299</v>
      </c>
      <c r="R31" s="10">
        <f t="shared" si="58"/>
        <v>0</v>
      </c>
      <c r="S31" s="10">
        <f t="shared" si="58"/>
        <v>0</v>
      </c>
      <c r="T31" s="10">
        <f t="shared" si="58"/>
        <v>0</v>
      </c>
      <c r="U31" s="10">
        <f t="shared" si="58"/>
        <v>1723</v>
      </c>
      <c r="V31" s="118">
        <f t="shared" si="58"/>
        <v>15228</v>
      </c>
      <c r="W31" s="10">
        <f t="shared" si="58"/>
        <v>1412</v>
      </c>
      <c r="X31" s="10">
        <f t="shared" si="58"/>
        <v>16640</v>
      </c>
      <c r="Y31" s="10">
        <f t="shared" si="58"/>
        <v>0</v>
      </c>
      <c r="Z31" s="10">
        <f t="shared" si="58"/>
        <v>11866</v>
      </c>
      <c r="AA31" s="10">
        <f t="shared" si="58"/>
        <v>1585</v>
      </c>
      <c r="AB31" s="10">
        <f t="shared" si="58"/>
        <v>16951</v>
      </c>
      <c r="AC31" s="10">
        <f t="shared" si="58"/>
        <v>807</v>
      </c>
      <c r="AD31" s="37">
        <f t="shared" si="58"/>
        <v>20755</v>
      </c>
    </row>
    <row r="32" spans="1:30" ht="18.75">
      <c r="A32" s="119" t="s">
        <v>42</v>
      </c>
      <c r="B32" s="119"/>
      <c r="C32" s="114"/>
      <c r="D32" s="120" t="s">
        <v>89</v>
      </c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</row>
    <row r="33" spans="1:30">
      <c r="A33" s="33">
        <v>1</v>
      </c>
      <c r="B33" s="49" t="s">
        <v>119</v>
      </c>
      <c r="C33" s="97" t="s">
        <v>137</v>
      </c>
      <c r="D33" s="19" t="s">
        <v>254</v>
      </c>
      <c r="E33" s="34" t="s">
        <v>34</v>
      </c>
      <c r="F33" s="1">
        <v>5509</v>
      </c>
      <c r="G33" s="1">
        <v>2361</v>
      </c>
      <c r="H33" s="1"/>
      <c r="I33" s="2">
        <f>F33+G33+H33</f>
        <v>7870</v>
      </c>
      <c r="J33" s="3">
        <v>26</v>
      </c>
      <c r="K33" s="8">
        <v>29</v>
      </c>
      <c r="L33" s="1">
        <f t="shared" ref="L33:L35" si="59">F33/J33*K33</f>
        <v>6144.6538461538466</v>
      </c>
      <c r="M33" s="1">
        <f t="shared" ref="M33:M35" si="60">G33/J33*K33</f>
        <v>2633.4230769230767</v>
      </c>
      <c r="N33" s="1">
        <f>H33/$J33*$K33</f>
        <v>0</v>
      </c>
      <c r="O33" s="4">
        <f>ROUND(L33+M33+N33,0)</f>
        <v>8778</v>
      </c>
      <c r="P33" s="5">
        <f>ROUND(Z33*12%,0)</f>
        <v>737</v>
      </c>
      <c r="Q33" s="5">
        <f>ROUNDUP(AB33*1.75%,0)</f>
        <v>154</v>
      </c>
      <c r="R33" s="6">
        <f>IF(O33&gt;40000,200,IF(O33&gt;25000,150,IF(O33&gt;15000,130,IF(O33&gt;10000,110,IF(O33&gt;8500,0,)))))</f>
        <v>0</v>
      </c>
      <c r="S33" s="1">
        <v>1000</v>
      </c>
      <c r="T33" s="1">
        <v>0</v>
      </c>
      <c r="U33" s="7">
        <f>SUM(P33:T33)</f>
        <v>1891</v>
      </c>
      <c r="V33" s="117">
        <f>O33-U33</f>
        <v>6887</v>
      </c>
      <c r="W33" s="3">
        <f>ROUND((I33/12)/J33*(K33),0)</f>
        <v>732</v>
      </c>
      <c r="X33" s="26">
        <f>V33+W33</f>
        <v>7619</v>
      </c>
      <c r="Y33" s="5"/>
      <c r="Z33" s="5">
        <f>ROUND(IF(($L33)&gt;15000,15000,IF(($L33)&lt;=15000,($L33))),0)</f>
        <v>6145</v>
      </c>
      <c r="AA33" s="5">
        <f>ROUND(Z33*13.36%,0)</f>
        <v>821</v>
      </c>
      <c r="AB33" s="5">
        <f>ROUND($I33/$J33*($K33),0)</f>
        <v>8778</v>
      </c>
      <c r="AC33" s="5">
        <f>ROUNDUP(AB33*4.75%,0)</f>
        <v>417</v>
      </c>
      <c r="AD33" s="35">
        <f>O33+W33+AA33+AC33</f>
        <v>10748</v>
      </c>
    </row>
    <row r="34" spans="1:30">
      <c r="A34" s="33">
        <v>2</v>
      </c>
      <c r="B34" s="49" t="s">
        <v>120</v>
      </c>
      <c r="C34" s="97" t="s">
        <v>137</v>
      </c>
      <c r="D34" s="19" t="s">
        <v>255</v>
      </c>
      <c r="E34" s="34" t="s">
        <v>34</v>
      </c>
      <c r="F34" s="1">
        <v>5509</v>
      </c>
      <c r="G34" s="1">
        <v>2361</v>
      </c>
      <c r="H34" s="1"/>
      <c r="I34" s="2">
        <f t="shared" ref="I34:I35" si="61">F34+G34+H34</f>
        <v>7870</v>
      </c>
      <c r="J34" s="3">
        <v>26</v>
      </c>
      <c r="K34" s="8">
        <v>1</v>
      </c>
      <c r="L34" s="1">
        <f t="shared" si="59"/>
        <v>211.88461538461539</v>
      </c>
      <c r="M34" s="1">
        <f t="shared" si="60"/>
        <v>90.807692307692307</v>
      </c>
      <c r="N34" s="1">
        <f t="shared" ref="N34:N35" si="62">H34/$J34*$K34</f>
        <v>0</v>
      </c>
      <c r="O34" s="4">
        <f t="shared" ref="O34:O35" si="63">ROUND(L34+M34+N34,0)</f>
        <v>303</v>
      </c>
      <c r="P34" s="5">
        <f t="shared" ref="P34:P35" si="64">ROUND(Z34*12%,0)</f>
        <v>25</v>
      </c>
      <c r="Q34" s="5">
        <f t="shared" ref="Q34:Q35" si="65">ROUNDUP(AB34*1.75%,0)</f>
        <v>6</v>
      </c>
      <c r="R34" s="6">
        <f t="shared" ref="R34:R35" si="66">IF(O34&gt;40000,200,IF(O34&gt;25000,150,IF(O34&gt;15000,130,IF(O34&gt;10000,110,IF(O34&gt;8500,0,)))))</f>
        <v>0</v>
      </c>
      <c r="S34" s="1">
        <v>0</v>
      </c>
      <c r="T34" s="1">
        <v>0</v>
      </c>
      <c r="U34" s="7">
        <f t="shared" ref="U34:U35" si="67">SUM(P34:T34)</f>
        <v>31</v>
      </c>
      <c r="V34" s="117">
        <f t="shared" ref="V34:V35" si="68">O34-U34</f>
        <v>272</v>
      </c>
      <c r="W34" s="3">
        <f t="shared" ref="W34:W35" si="69">ROUND((I34/12)/J34*(K34),0)</f>
        <v>25</v>
      </c>
      <c r="X34" s="26">
        <f t="shared" ref="X34:X35" si="70">V34+W34</f>
        <v>297</v>
      </c>
      <c r="Y34" s="5"/>
      <c r="Z34" s="5">
        <f t="shared" ref="Z34:Z35" si="71">ROUND(IF(($L34)&gt;15000,15000,IF(($L34)&lt;=15000,($L34))),0)</f>
        <v>212</v>
      </c>
      <c r="AA34" s="5">
        <f t="shared" ref="AA34:AA35" si="72">ROUND(Z34*13.36%,0)</f>
        <v>28</v>
      </c>
      <c r="AB34" s="5">
        <f t="shared" ref="AB34:AB35" si="73">ROUND($I34/$J34*($K34),0)</f>
        <v>303</v>
      </c>
      <c r="AC34" s="5">
        <f t="shared" ref="AC34:AC35" si="74">ROUNDUP(AB34*4.75%,0)</f>
        <v>15</v>
      </c>
      <c r="AD34" s="35">
        <f t="shared" ref="AD34:AD35" si="75">O34+W34+AA34+AC34</f>
        <v>371</v>
      </c>
    </row>
    <row r="35" spans="1:30">
      <c r="A35" s="33">
        <v>3</v>
      </c>
      <c r="B35" s="49" t="s">
        <v>121</v>
      </c>
      <c r="C35" s="97" t="s">
        <v>137</v>
      </c>
      <c r="D35" s="19" t="s">
        <v>256</v>
      </c>
      <c r="E35" s="34" t="s">
        <v>34</v>
      </c>
      <c r="F35" s="1">
        <v>5509</v>
      </c>
      <c r="G35" s="1">
        <v>2361</v>
      </c>
      <c r="H35" s="1"/>
      <c r="I35" s="2">
        <f t="shared" si="61"/>
        <v>7870</v>
      </c>
      <c r="J35" s="3">
        <v>26</v>
      </c>
      <c r="K35" s="8">
        <v>1</v>
      </c>
      <c r="L35" s="1">
        <f t="shared" si="59"/>
        <v>211.88461538461539</v>
      </c>
      <c r="M35" s="1">
        <f t="shared" si="60"/>
        <v>90.807692307692307</v>
      </c>
      <c r="N35" s="1">
        <f t="shared" si="62"/>
        <v>0</v>
      </c>
      <c r="O35" s="4">
        <f t="shared" si="63"/>
        <v>303</v>
      </c>
      <c r="P35" s="5">
        <f t="shared" si="64"/>
        <v>25</v>
      </c>
      <c r="Q35" s="5">
        <f t="shared" si="65"/>
        <v>6</v>
      </c>
      <c r="R35" s="6">
        <f t="shared" si="66"/>
        <v>0</v>
      </c>
      <c r="S35" s="1">
        <v>0</v>
      </c>
      <c r="T35" s="1">
        <v>0</v>
      </c>
      <c r="U35" s="7">
        <f t="shared" si="67"/>
        <v>31</v>
      </c>
      <c r="V35" s="117">
        <f t="shared" si="68"/>
        <v>272</v>
      </c>
      <c r="W35" s="3">
        <f t="shared" si="69"/>
        <v>25</v>
      </c>
      <c r="X35" s="26">
        <f t="shared" si="70"/>
        <v>297</v>
      </c>
      <c r="Y35" s="5"/>
      <c r="Z35" s="5">
        <f t="shared" si="71"/>
        <v>212</v>
      </c>
      <c r="AA35" s="5">
        <f t="shared" si="72"/>
        <v>28</v>
      </c>
      <c r="AB35" s="5">
        <f t="shared" si="73"/>
        <v>303</v>
      </c>
      <c r="AC35" s="5">
        <f t="shared" si="74"/>
        <v>15</v>
      </c>
      <c r="AD35" s="35">
        <f t="shared" si="75"/>
        <v>371</v>
      </c>
    </row>
    <row r="36" spans="1:30">
      <c r="A36" s="33"/>
      <c r="B36" s="49"/>
      <c r="C36" s="49"/>
      <c r="D36" s="19"/>
      <c r="E36" s="34"/>
      <c r="F36" s="1"/>
      <c r="G36" s="1"/>
      <c r="H36" s="1"/>
      <c r="I36" s="2"/>
      <c r="J36" s="3"/>
      <c r="K36" s="8"/>
      <c r="L36" s="1"/>
      <c r="M36" s="1"/>
      <c r="N36" s="1"/>
      <c r="O36" s="4"/>
      <c r="P36" s="5"/>
      <c r="Q36" s="5"/>
      <c r="R36" s="6"/>
      <c r="S36" s="1"/>
      <c r="T36" s="1"/>
      <c r="U36" s="7"/>
      <c r="V36" s="117"/>
      <c r="W36" s="3"/>
      <c r="X36" s="26"/>
      <c r="Y36" s="5"/>
      <c r="Z36" s="5"/>
      <c r="AA36" s="5"/>
      <c r="AB36" s="5"/>
      <c r="AC36" s="5"/>
      <c r="AD36" s="36"/>
    </row>
    <row r="37" spans="1:30">
      <c r="A37" s="25"/>
      <c r="B37" s="94"/>
      <c r="C37" s="94"/>
      <c r="D37" s="25"/>
      <c r="E37" s="9"/>
      <c r="F37" s="10"/>
      <c r="G37" s="10"/>
      <c r="H37" s="10"/>
      <c r="I37" s="10"/>
      <c r="J37" s="10"/>
      <c r="K37" s="8">
        <f>SUM(K33:K36)</f>
        <v>31</v>
      </c>
      <c r="L37" s="10">
        <f>SUM(L33:L36)</f>
        <v>6568.4230769230771</v>
      </c>
      <c r="M37" s="10">
        <f>SUM(M33:M36)</f>
        <v>2815.0384615384614</v>
      </c>
      <c r="N37" s="10"/>
      <c r="O37" s="10">
        <f t="shared" ref="O37:AD37" si="76">SUM(O33:O36)</f>
        <v>9384</v>
      </c>
      <c r="P37" s="10">
        <f t="shared" si="76"/>
        <v>787</v>
      </c>
      <c r="Q37" s="10">
        <f t="shared" si="76"/>
        <v>166</v>
      </c>
      <c r="R37" s="10">
        <f t="shared" si="76"/>
        <v>0</v>
      </c>
      <c r="S37" s="10">
        <f t="shared" si="76"/>
        <v>1000</v>
      </c>
      <c r="T37" s="10">
        <f t="shared" si="76"/>
        <v>0</v>
      </c>
      <c r="U37" s="10">
        <f t="shared" si="76"/>
        <v>1953</v>
      </c>
      <c r="V37" s="118">
        <f t="shared" si="76"/>
        <v>7431</v>
      </c>
      <c r="W37" s="10">
        <f t="shared" si="76"/>
        <v>782</v>
      </c>
      <c r="X37" s="10">
        <f t="shared" si="76"/>
        <v>8213</v>
      </c>
      <c r="Y37" s="10">
        <f t="shared" si="76"/>
        <v>0</v>
      </c>
      <c r="Z37" s="10">
        <f t="shared" si="76"/>
        <v>6569</v>
      </c>
      <c r="AA37" s="10">
        <f t="shared" si="76"/>
        <v>877</v>
      </c>
      <c r="AB37" s="10">
        <f t="shared" si="76"/>
        <v>9384</v>
      </c>
      <c r="AC37" s="10">
        <f t="shared" si="76"/>
        <v>447</v>
      </c>
      <c r="AD37" s="37">
        <f t="shared" si="76"/>
        <v>11490</v>
      </c>
    </row>
    <row r="38" spans="1:30" ht="18.75">
      <c r="A38" s="119" t="s">
        <v>42</v>
      </c>
      <c r="B38" s="119"/>
      <c r="C38" s="114"/>
      <c r="D38" s="120" t="s">
        <v>68</v>
      </c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20"/>
      <c r="W38" s="120"/>
      <c r="X38" s="120"/>
      <c r="Y38" s="120"/>
      <c r="Z38" s="120"/>
      <c r="AA38" s="120"/>
      <c r="AB38" s="120"/>
      <c r="AC38" s="120"/>
      <c r="AD38" s="120"/>
    </row>
    <row r="39" spans="1:30">
      <c r="A39" s="33">
        <v>1</v>
      </c>
      <c r="B39" s="49" t="s">
        <v>122</v>
      </c>
      <c r="C39" s="97" t="s">
        <v>138</v>
      </c>
      <c r="D39" s="19" t="s">
        <v>221</v>
      </c>
      <c r="E39" s="34" t="s">
        <v>34</v>
      </c>
      <c r="F39" s="1">
        <v>5509</v>
      </c>
      <c r="G39" s="1">
        <v>2361</v>
      </c>
      <c r="H39" s="1"/>
      <c r="I39" s="2">
        <f>F39+G39+H39</f>
        <v>7870</v>
      </c>
      <c r="J39" s="3">
        <v>26</v>
      </c>
      <c r="K39" s="8">
        <v>26</v>
      </c>
      <c r="L39" s="1">
        <f t="shared" ref="L39:L41" si="77">F39/J39*K39</f>
        <v>5509</v>
      </c>
      <c r="M39" s="1">
        <f t="shared" ref="M39:M41" si="78">G39/J39*K39</f>
        <v>2361</v>
      </c>
      <c r="N39" s="1">
        <f>H39/$J39*$K39</f>
        <v>0</v>
      </c>
      <c r="O39" s="4">
        <f>ROUND(L39+M39+N39,0)</f>
        <v>7870</v>
      </c>
      <c r="P39" s="5">
        <f>ROUND(Z39*12%,0)</f>
        <v>661</v>
      </c>
      <c r="Q39" s="5">
        <f>ROUNDUP(AB39*1.75%,0)</f>
        <v>138</v>
      </c>
      <c r="R39" s="6">
        <f>IF(O39&gt;40000,200,IF(O39&gt;25000,150,IF(O39&gt;15000,130,IF(O39&gt;10000,110,IF(O39&gt;8500,0,)))))</f>
        <v>0</v>
      </c>
      <c r="S39" s="1">
        <v>0</v>
      </c>
      <c r="T39" s="1">
        <v>0</v>
      </c>
      <c r="U39" s="7">
        <f>SUM(P39:T39)</f>
        <v>799</v>
      </c>
      <c r="V39" s="117">
        <f>O39-U39</f>
        <v>7071</v>
      </c>
      <c r="W39" s="3">
        <f>ROUND((I39/12)/J39*(K39),0)</f>
        <v>656</v>
      </c>
      <c r="X39" s="26">
        <f>V39+W39</f>
        <v>7727</v>
      </c>
      <c r="Y39" s="5"/>
      <c r="Z39" s="5">
        <f>ROUND(IF(($L39)&gt;15000,15000,IF(($L39)&lt;=15000,($L39))),0)</f>
        <v>5509</v>
      </c>
      <c r="AA39" s="5">
        <f>ROUND(Z39*13.36%,0)</f>
        <v>736</v>
      </c>
      <c r="AB39" s="5">
        <f>ROUND($I39/$J39*($K39),0)</f>
        <v>7870</v>
      </c>
      <c r="AC39" s="5">
        <f>ROUNDUP(AB39*4.75%,0)</f>
        <v>374</v>
      </c>
      <c r="AD39" s="35">
        <f>O39+W39+AA39+AC39</f>
        <v>9636</v>
      </c>
    </row>
    <row r="40" spans="1:30">
      <c r="A40" s="33">
        <v>2</v>
      </c>
      <c r="B40" s="49" t="s">
        <v>123</v>
      </c>
      <c r="C40" s="97" t="s">
        <v>138</v>
      </c>
      <c r="D40" s="19" t="s">
        <v>222</v>
      </c>
      <c r="E40" s="34" t="s">
        <v>34</v>
      </c>
      <c r="F40" s="1">
        <v>5509</v>
      </c>
      <c r="G40" s="1">
        <v>2361</v>
      </c>
      <c r="H40" s="1"/>
      <c r="I40" s="2">
        <f t="shared" ref="I40:I41" si="79">F40+G40+H40</f>
        <v>7870</v>
      </c>
      <c r="J40" s="3">
        <v>26</v>
      </c>
      <c r="K40" s="8">
        <v>25</v>
      </c>
      <c r="L40" s="1">
        <f t="shared" si="77"/>
        <v>5297.1153846153848</v>
      </c>
      <c r="M40" s="1">
        <f t="shared" si="78"/>
        <v>2270.1923076923076</v>
      </c>
      <c r="N40" s="1">
        <f t="shared" ref="N40:N41" si="80">H40/$J40*$K40</f>
        <v>0</v>
      </c>
      <c r="O40" s="4">
        <f t="shared" ref="O40:O41" si="81">ROUND(L40+M40+N40,0)</f>
        <v>7567</v>
      </c>
      <c r="P40" s="5">
        <f t="shared" ref="P40:P41" si="82">ROUND(Z40*12%,0)</f>
        <v>636</v>
      </c>
      <c r="Q40" s="5">
        <f t="shared" ref="Q40:Q41" si="83">ROUNDUP(AB40*1.75%,0)</f>
        <v>133</v>
      </c>
      <c r="R40" s="6">
        <f t="shared" ref="R40:R41" si="84">IF(O40&gt;40000,200,IF(O40&gt;25000,150,IF(O40&gt;15000,130,IF(O40&gt;10000,110,IF(O40&gt;8500,0,)))))</f>
        <v>0</v>
      </c>
      <c r="S40" s="1">
        <v>0</v>
      </c>
      <c r="T40" s="1">
        <v>0</v>
      </c>
      <c r="U40" s="7">
        <f t="shared" ref="U40:U41" si="85">SUM(P40:T40)</f>
        <v>769</v>
      </c>
      <c r="V40" s="117">
        <f t="shared" ref="V40:V41" si="86">O40-U40</f>
        <v>6798</v>
      </c>
      <c r="W40" s="3">
        <f t="shared" ref="W40:W41" si="87">ROUND((I40/12)/J40*(K40),0)</f>
        <v>631</v>
      </c>
      <c r="X40" s="26">
        <f t="shared" ref="X40:X41" si="88">V40+W40</f>
        <v>7429</v>
      </c>
      <c r="Y40" s="5"/>
      <c r="Z40" s="5">
        <f t="shared" ref="Z40:Z41" si="89">ROUND(IF(($L40)&gt;15000,15000,IF(($L40)&lt;=15000,($L40))),0)</f>
        <v>5297</v>
      </c>
      <c r="AA40" s="5">
        <f t="shared" ref="AA40:AA41" si="90">ROUND(Z40*13.36%,0)</f>
        <v>708</v>
      </c>
      <c r="AB40" s="5">
        <f t="shared" ref="AB40:AB41" si="91">ROUND($I40/$J40*($K40),0)</f>
        <v>7567</v>
      </c>
      <c r="AC40" s="5">
        <f t="shared" ref="AC40:AC41" si="92">ROUNDUP(AB40*4.75%,0)</f>
        <v>360</v>
      </c>
      <c r="AD40" s="35">
        <f t="shared" ref="AD40:AD41" si="93">O40+W40+AA40+AC40</f>
        <v>9266</v>
      </c>
    </row>
    <row r="41" spans="1:30">
      <c r="A41" s="33">
        <v>3</v>
      </c>
      <c r="B41" s="49" t="s">
        <v>124</v>
      </c>
      <c r="C41" s="97" t="s">
        <v>138</v>
      </c>
      <c r="D41" s="19" t="s">
        <v>223</v>
      </c>
      <c r="E41" s="34" t="s">
        <v>34</v>
      </c>
      <c r="F41" s="1">
        <v>5509</v>
      </c>
      <c r="G41" s="1">
        <v>2361</v>
      </c>
      <c r="H41" s="1"/>
      <c r="I41" s="2">
        <f t="shared" si="79"/>
        <v>7870</v>
      </c>
      <c r="J41" s="3">
        <v>26</v>
      </c>
      <c r="K41" s="8">
        <v>24</v>
      </c>
      <c r="L41" s="1">
        <f t="shared" si="77"/>
        <v>5085.2307692307695</v>
      </c>
      <c r="M41" s="1">
        <f t="shared" si="78"/>
        <v>2179.3846153846152</v>
      </c>
      <c r="N41" s="1">
        <f t="shared" si="80"/>
        <v>0</v>
      </c>
      <c r="O41" s="4">
        <f t="shared" si="81"/>
        <v>7265</v>
      </c>
      <c r="P41" s="5">
        <f t="shared" si="82"/>
        <v>610</v>
      </c>
      <c r="Q41" s="5">
        <f t="shared" si="83"/>
        <v>128</v>
      </c>
      <c r="R41" s="6">
        <f t="shared" si="84"/>
        <v>0</v>
      </c>
      <c r="S41" s="1">
        <v>0</v>
      </c>
      <c r="T41" s="1">
        <v>0</v>
      </c>
      <c r="U41" s="7">
        <f t="shared" si="85"/>
        <v>738</v>
      </c>
      <c r="V41" s="117">
        <f t="shared" si="86"/>
        <v>6527</v>
      </c>
      <c r="W41" s="3">
        <f t="shared" si="87"/>
        <v>605</v>
      </c>
      <c r="X41" s="26">
        <f t="shared" si="88"/>
        <v>7132</v>
      </c>
      <c r="Y41" s="5"/>
      <c r="Z41" s="5">
        <f t="shared" si="89"/>
        <v>5085</v>
      </c>
      <c r="AA41" s="5">
        <f t="shared" si="90"/>
        <v>679</v>
      </c>
      <c r="AB41" s="5">
        <f t="shared" si="91"/>
        <v>7265</v>
      </c>
      <c r="AC41" s="5">
        <f t="shared" si="92"/>
        <v>346</v>
      </c>
      <c r="AD41" s="35">
        <f t="shared" si="93"/>
        <v>8895</v>
      </c>
    </row>
    <row r="42" spans="1:30">
      <c r="A42" s="33"/>
      <c r="B42" s="49"/>
      <c r="C42" s="49"/>
      <c r="D42" s="19"/>
      <c r="E42" s="34"/>
      <c r="F42" s="1"/>
      <c r="G42" s="1"/>
      <c r="H42" s="1"/>
      <c r="I42" s="2"/>
      <c r="J42" s="3"/>
      <c r="K42" s="8"/>
      <c r="L42" s="1"/>
      <c r="M42" s="1"/>
      <c r="N42" s="1"/>
      <c r="O42" s="4"/>
      <c r="P42" s="5"/>
      <c r="Q42" s="5"/>
      <c r="R42" s="6"/>
      <c r="S42" s="1"/>
      <c r="T42" s="1"/>
      <c r="U42" s="7"/>
      <c r="V42" s="117"/>
      <c r="W42" s="3"/>
      <c r="X42" s="26"/>
      <c r="Y42" s="5"/>
      <c r="Z42" s="5"/>
      <c r="AA42" s="5"/>
      <c r="AB42" s="5"/>
      <c r="AC42" s="5"/>
      <c r="AD42" s="36"/>
    </row>
    <row r="43" spans="1:30">
      <c r="A43" s="25"/>
      <c r="B43" s="94"/>
      <c r="C43" s="94"/>
      <c r="D43" s="25"/>
      <c r="E43" s="9"/>
      <c r="F43" s="10"/>
      <c r="G43" s="10"/>
      <c r="H43" s="10"/>
      <c r="I43" s="10"/>
      <c r="J43" s="10"/>
      <c r="K43" s="8">
        <f>SUM(K39:K42)</f>
        <v>75</v>
      </c>
      <c r="L43" s="10">
        <f>SUM(L39:L42)</f>
        <v>15891.346153846154</v>
      </c>
      <c r="M43" s="10">
        <f>SUM(M39:M42)</f>
        <v>6810.5769230769229</v>
      </c>
      <c r="N43" s="10"/>
      <c r="O43" s="10">
        <f t="shared" ref="O43:AD43" si="94">SUM(O39:O42)</f>
        <v>22702</v>
      </c>
      <c r="P43" s="10">
        <f t="shared" si="94"/>
        <v>1907</v>
      </c>
      <c r="Q43" s="10">
        <f t="shared" si="94"/>
        <v>399</v>
      </c>
      <c r="R43" s="10">
        <f t="shared" si="94"/>
        <v>0</v>
      </c>
      <c r="S43" s="10">
        <f t="shared" si="94"/>
        <v>0</v>
      </c>
      <c r="T43" s="10">
        <f t="shared" si="94"/>
        <v>0</v>
      </c>
      <c r="U43" s="10">
        <f t="shared" si="94"/>
        <v>2306</v>
      </c>
      <c r="V43" s="118">
        <f t="shared" si="94"/>
        <v>20396</v>
      </c>
      <c r="W43" s="10">
        <f t="shared" si="94"/>
        <v>1892</v>
      </c>
      <c r="X43" s="10">
        <f t="shared" si="94"/>
        <v>22288</v>
      </c>
      <c r="Y43" s="10">
        <f t="shared" si="94"/>
        <v>0</v>
      </c>
      <c r="Z43" s="10">
        <f t="shared" si="94"/>
        <v>15891</v>
      </c>
      <c r="AA43" s="10">
        <f t="shared" si="94"/>
        <v>2123</v>
      </c>
      <c r="AB43" s="10">
        <f t="shared" si="94"/>
        <v>22702</v>
      </c>
      <c r="AC43" s="10">
        <f t="shared" si="94"/>
        <v>1080</v>
      </c>
      <c r="AD43" s="37">
        <f t="shared" si="94"/>
        <v>27797</v>
      </c>
    </row>
    <row r="44" spans="1:30" ht="18.75">
      <c r="A44" s="119" t="s">
        <v>42</v>
      </c>
      <c r="B44" s="119"/>
      <c r="C44" s="114"/>
      <c r="D44" s="120" t="s">
        <v>72</v>
      </c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</row>
    <row r="45" spans="1:30">
      <c r="A45" s="33">
        <v>1</v>
      </c>
      <c r="B45" s="49" t="s">
        <v>125</v>
      </c>
      <c r="C45" s="97" t="s">
        <v>139</v>
      </c>
      <c r="D45" s="19" t="s">
        <v>224</v>
      </c>
      <c r="E45" s="34" t="s">
        <v>34</v>
      </c>
      <c r="F45" s="1">
        <v>5509</v>
      </c>
      <c r="G45" s="1">
        <v>2361</v>
      </c>
      <c r="H45" s="1"/>
      <c r="I45" s="2">
        <f>F45+G45+H45</f>
        <v>7870</v>
      </c>
      <c r="J45" s="3">
        <v>26</v>
      </c>
      <c r="K45" s="8">
        <v>30</v>
      </c>
      <c r="L45" s="1">
        <f t="shared" ref="L45:L46" si="95">F45/J45*K45</f>
        <v>6356.5384615384619</v>
      </c>
      <c r="M45" s="1">
        <f t="shared" ref="M45:M46" si="96">G45/J45*K45</f>
        <v>2724.2307692307691</v>
      </c>
      <c r="N45" s="1">
        <f>H45/$J45*$K45</f>
        <v>0</v>
      </c>
      <c r="O45" s="4">
        <f>ROUND(L45+M45+N45,0)</f>
        <v>9081</v>
      </c>
      <c r="P45" s="5">
        <f>ROUND(Z45*12%,0)</f>
        <v>763</v>
      </c>
      <c r="Q45" s="5">
        <f>ROUNDUP(AB45*1.75%,0)</f>
        <v>159</v>
      </c>
      <c r="R45" s="6">
        <f>IF(O45&gt;40000,200,IF(O45&gt;25000,150,IF(O45&gt;15000,130,IF(O45&gt;10000,110,IF(O45&gt;8500,0,)))))</f>
        <v>0</v>
      </c>
      <c r="S45" s="1">
        <v>0</v>
      </c>
      <c r="T45" s="1">
        <v>0</v>
      </c>
      <c r="U45" s="7">
        <f>SUM(P45:T45)</f>
        <v>922</v>
      </c>
      <c r="V45" s="117">
        <f>O45-U45</f>
        <v>8159</v>
      </c>
      <c r="W45" s="3">
        <f>ROUND((I45/12)/J45*(K45),0)</f>
        <v>757</v>
      </c>
      <c r="X45" s="26">
        <f>V45+W45</f>
        <v>8916</v>
      </c>
      <c r="Y45" s="5"/>
      <c r="Z45" s="5">
        <f>ROUND(IF(($L45)&gt;15000,15000,IF(($L45)&lt;=15000,($L45))),0)</f>
        <v>6357</v>
      </c>
      <c r="AA45" s="5">
        <f>ROUND(Z45*13.36%,0)</f>
        <v>849</v>
      </c>
      <c r="AB45" s="5">
        <f>ROUND($I45/$J45*($K45),0)</f>
        <v>9081</v>
      </c>
      <c r="AC45" s="5">
        <f>ROUNDUP(AB45*4.75%,0)</f>
        <v>432</v>
      </c>
      <c r="AD45" s="35">
        <f>O45+W45+AA45+AC45</f>
        <v>11119</v>
      </c>
    </row>
    <row r="46" spans="1:30">
      <c r="A46" s="33">
        <v>2</v>
      </c>
      <c r="B46" s="49" t="s">
        <v>126</v>
      </c>
      <c r="C46" s="97" t="s">
        <v>139</v>
      </c>
      <c r="D46" s="19" t="s">
        <v>220</v>
      </c>
      <c r="E46" s="34" t="s">
        <v>34</v>
      </c>
      <c r="F46" s="1">
        <v>5509</v>
      </c>
      <c r="G46" s="1">
        <v>2361</v>
      </c>
      <c r="H46" s="1"/>
      <c r="I46" s="2">
        <f t="shared" ref="I46" si="97">F46+G46+H46</f>
        <v>7870</v>
      </c>
      <c r="J46" s="3">
        <v>26</v>
      </c>
      <c r="K46" s="8">
        <v>1</v>
      </c>
      <c r="L46" s="1">
        <f t="shared" si="95"/>
        <v>211.88461538461539</v>
      </c>
      <c r="M46" s="1">
        <f t="shared" si="96"/>
        <v>90.807692307692307</v>
      </c>
      <c r="N46" s="1">
        <f t="shared" ref="N46" si="98">H46/$J46*$K46</f>
        <v>0</v>
      </c>
      <c r="O46" s="4">
        <f t="shared" ref="O46" si="99">ROUND(L46+M46+N46,0)</f>
        <v>303</v>
      </c>
      <c r="P46" s="5">
        <f t="shared" ref="P46" si="100">ROUND(Z46*12%,0)</f>
        <v>25</v>
      </c>
      <c r="Q46" s="5">
        <f t="shared" ref="Q46" si="101">ROUNDUP(AB46*1.75%,0)</f>
        <v>6</v>
      </c>
      <c r="R46" s="6">
        <f t="shared" ref="R46" si="102">IF(O46&gt;40000,200,IF(O46&gt;25000,150,IF(O46&gt;15000,130,IF(O46&gt;10000,110,IF(O46&gt;8500,0,)))))</f>
        <v>0</v>
      </c>
      <c r="S46" s="1">
        <v>0</v>
      </c>
      <c r="T46" s="1">
        <v>0</v>
      </c>
      <c r="U46" s="7">
        <f t="shared" ref="U46" si="103">SUM(P46:T46)</f>
        <v>31</v>
      </c>
      <c r="V46" s="117">
        <f t="shared" ref="V46" si="104">O46-U46</f>
        <v>272</v>
      </c>
      <c r="W46" s="3">
        <f t="shared" ref="W46" si="105">ROUND((I46/12)/J46*(K46),0)</f>
        <v>25</v>
      </c>
      <c r="X46" s="26">
        <f t="shared" ref="X46" si="106">V46+W46</f>
        <v>297</v>
      </c>
      <c r="Y46" s="5"/>
      <c r="Z46" s="5">
        <f t="shared" ref="Z46" si="107">ROUND(IF(($L46)&gt;15000,15000,IF(($L46)&lt;=15000,($L46))),0)</f>
        <v>212</v>
      </c>
      <c r="AA46" s="5">
        <f t="shared" ref="AA46" si="108">ROUND(Z46*13.36%,0)</f>
        <v>28</v>
      </c>
      <c r="AB46" s="5">
        <f t="shared" ref="AB46" si="109">ROUND($I46/$J46*($K46),0)</f>
        <v>303</v>
      </c>
      <c r="AC46" s="5">
        <f t="shared" ref="AC46" si="110">ROUNDUP(AB46*4.75%,0)</f>
        <v>15</v>
      </c>
      <c r="AD46" s="35">
        <f t="shared" ref="AD46" si="111">O46+W46+AA46+AC46</f>
        <v>371</v>
      </c>
    </row>
    <row r="47" spans="1:30">
      <c r="A47" s="33"/>
      <c r="B47" s="49"/>
      <c r="C47" s="49"/>
      <c r="D47" s="19"/>
      <c r="E47" s="34"/>
      <c r="F47" s="1"/>
      <c r="G47" s="1"/>
      <c r="H47" s="1"/>
      <c r="I47" s="2"/>
      <c r="J47" s="3"/>
      <c r="K47" s="8"/>
      <c r="L47" s="1"/>
      <c r="M47" s="1"/>
      <c r="N47" s="1"/>
      <c r="O47" s="4"/>
      <c r="P47" s="5"/>
      <c r="Q47" s="5"/>
      <c r="R47" s="6"/>
      <c r="S47" s="1"/>
      <c r="T47" s="1"/>
      <c r="U47" s="7"/>
      <c r="V47" s="117"/>
      <c r="W47" s="3"/>
      <c r="X47" s="26"/>
      <c r="Y47" s="5"/>
      <c r="Z47" s="5"/>
      <c r="AA47" s="5"/>
      <c r="AB47" s="5"/>
      <c r="AC47" s="5"/>
      <c r="AD47" s="36"/>
    </row>
    <row r="48" spans="1:30">
      <c r="A48" s="25"/>
      <c r="B48" s="94"/>
      <c r="C48" s="94"/>
      <c r="D48" s="25"/>
      <c r="E48" s="9"/>
      <c r="F48" s="10"/>
      <c r="G48" s="10"/>
      <c r="H48" s="10"/>
      <c r="I48" s="10"/>
      <c r="J48" s="10"/>
      <c r="K48" s="8">
        <f>SUM(K45:K47)</f>
        <v>31</v>
      </c>
      <c r="L48" s="10">
        <f>SUM(L45:L47)</f>
        <v>6568.4230769230771</v>
      </c>
      <c r="M48" s="10">
        <f>SUM(M45:M47)</f>
        <v>2815.0384615384614</v>
      </c>
      <c r="N48" s="10"/>
      <c r="O48" s="10">
        <f t="shared" ref="O48:AD48" si="112">SUM(O45:O47)</f>
        <v>9384</v>
      </c>
      <c r="P48" s="10">
        <f t="shared" si="112"/>
        <v>788</v>
      </c>
      <c r="Q48" s="10">
        <f t="shared" si="112"/>
        <v>165</v>
      </c>
      <c r="R48" s="10">
        <f t="shared" si="112"/>
        <v>0</v>
      </c>
      <c r="S48" s="10">
        <f t="shared" si="112"/>
        <v>0</v>
      </c>
      <c r="T48" s="10">
        <f t="shared" si="112"/>
        <v>0</v>
      </c>
      <c r="U48" s="10">
        <f t="shared" si="112"/>
        <v>953</v>
      </c>
      <c r="V48" s="118">
        <f t="shared" si="112"/>
        <v>8431</v>
      </c>
      <c r="W48" s="10">
        <f t="shared" si="112"/>
        <v>782</v>
      </c>
      <c r="X48" s="10">
        <f t="shared" si="112"/>
        <v>9213</v>
      </c>
      <c r="Y48" s="10">
        <f t="shared" si="112"/>
        <v>0</v>
      </c>
      <c r="Z48" s="10">
        <f t="shared" si="112"/>
        <v>6569</v>
      </c>
      <c r="AA48" s="10">
        <f t="shared" si="112"/>
        <v>877</v>
      </c>
      <c r="AB48" s="10">
        <f t="shared" si="112"/>
        <v>9384</v>
      </c>
      <c r="AC48" s="10">
        <f t="shared" si="112"/>
        <v>447</v>
      </c>
      <c r="AD48" s="37">
        <f t="shared" si="112"/>
        <v>11490</v>
      </c>
    </row>
    <row r="49" spans="1:30" ht="18.75">
      <c r="A49" s="119" t="s">
        <v>42</v>
      </c>
      <c r="B49" s="119"/>
      <c r="C49" s="114"/>
      <c r="D49" s="120" t="s">
        <v>73</v>
      </c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</row>
    <row r="50" spans="1:30">
      <c r="A50" s="33">
        <v>1</v>
      </c>
      <c r="B50" s="49" t="s">
        <v>132</v>
      </c>
      <c r="C50" s="97" t="s">
        <v>140</v>
      </c>
      <c r="D50" s="19" t="s">
        <v>225</v>
      </c>
      <c r="E50" s="34" t="s">
        <v>24</v>
      </c>
      <c r="F50" s="1">
        <v>5509</v>
      </c>
      <c r="G50" s="1">
        <v>2361</v>
      </c>
      <c r="H50" s="1"/>
      <c r="I50" s="2">
        <f>F50+G50+H50</f>
        <v>7870</v>
      </c>
      <c r="J50" s="3">
        <v>26</v>
      </c>
      <c r="K50" s="8">
        <v>31</v>
      </c>
      <c r="L50" s="1">
        <f t="shared" ref="L50" si="113">F50/J50*K50</f>
        <v>6568.4230769230771</v>
      </c>
      <c r="M50" s="1">
        <f t="shared" ref="M50" si="114">G50/J50*K50</f>
        <v>2815.0384615384614</v>
      </c>
      <c r="N50" s="1">
        <f>H50/$J50*$K50</f>
        <v>0</v>
      </c>
      <c r="O50" s="4">
        <f>ROUND(L50+M50+N50,0)</f>
        <v>9383</v>
      </c>
      <c r="P50" s="5">
        <f>ROUND(Z50*12%,0)</f>
        <v>788</v>
      </c>
      <c r="Q50" s="5">
        <f>ROUNDUP(AB50*1.75%,0)</f>
        <v>165</v>
      </c>
      <c r="R50" s="6">
        <f>IF(O50&gt;40000,200,IF(O50&gt;25000,150,IF(O50&gt;15000,130,IF(O50&gt;10000,110,IF(O50&gt;8500,0,)))))</f>
        <v>0</v>
      </c>
      <c r="S50" s="1">
        <v>0</v>
      </c>
      <c r="T50" s="1">
        <v>0</v>
      </c>
      <c r="U50" s="7">
        <f>SUM(P50:T50)</f>
        <v>953</v>
      </c>
      <c r="V50" s="117">
        <f>O50-U50</f>
        <v>8430</v>
      </c>
      <c r="W50" s="3">
        <f>ROUND((I50/12)/J50*(K50),0)</f>
        <v>782</v>
      </c>
      <c r="X50" s="26">
        <f>V50+W50</f>
        <v>9212</v>
      </c>
      <c r="Y50" s="5"/>
      <c r="Z50" s="5">
        <f>ROUND(IF(($L50)&gt;15000,15000,IF(($L50)&lt;=15000,($L50))),0)</f>
        <v>6568</v>
      </c>
      <c r="AA50" s="5">
        <f>ROUND(Z50*13.36%,0)</f>
        <v>877</v>
      </c>
      <c r="AB50" s="5">
        <f>ROUND($I50/$J50*($K50),0)</f>
        <v>9383</v>
      </c>
      <c r="AC50" s="5">
        <f>ROUNDUP(AB50*4.75%,0)</f>
        <v>446</v>
      </c>
      <c r="AD50" s="35">
        <f>O50+W50+AA50+AC50</f>
        <v>11488</v>
      </c>
    </row>
    <row r="51" spans="1:30">
      <c r="A51" s="33"/>
      <c r="B51" s="49"/>
      <c r="C51" s="49"/>
      <c r="D51" s="19"/>
      <c r="E51" s="34"/>
      <c r="F51" s="1"/>
      <c r="G51" s="1"/>
      <c r="H51" s="1"/>
      <c r="I51" s="2"/>
      <c r="J51" s="3"/>
      <c r="K51" s="8"/>
      <c r="L51" s="1"/>
      <c r="M51" s="1"/>
      <c r="N51" s="1"/>
      <c r="O51" s="4"/>
      <c r="P51" s="5"/>
      <c r="Q51" s="5"/>
      <c r="R51" s="6"/>
      <c r="S51" s="1"/>
      <c r="T51" s="1"/>
      <c r="U51" s="7"/>
      <c r="V51" s="117"/>
      <c r="W51" s="3"/>
      <c r="X51" s="26"/>
      <c r="Y51" s="5"/>
      <c r="Z51" s="5"/>
      <c r="AA51" s="5"/>
      <c r="AB51" s="5"/>
      <c r="AC51" s="5"/>
      <c r="AD51" s="36"/>
    </row>
    <row r="52" spans="1:30">
      <c r="A52" s="25"/>
      <c r="B52" s="94"/>
      <c r="C52" s="94"/>
      <c r="D52" s="25"/>
      <c r="E52" s="9"/>
      <c r="F52" s="10"/>
      <c r="G52" s="10"/>
      <c r="H52" s="10"/>
      <c r="I52" s="10"/>
      <c r="J52" s="10"/>
      <c r="K52" s="8">
        <f>SUM(K50:K51)</f>
        <v>31</v>
      </c>
      <c r="L52" s="10">
        <f>SUM(L50:L51)</f>
        <v>6568.4230769230771</v>
      </c>
      <c r="M52" s="10">
        <f>SUM(M50:M51)</f>
        <v>2815.0384615384614</v>
      </c>
      <c r="N52" s="10"/>
      <c r="O52" s="10">
        <f t="shared" ref="O52:AD52" si="115">SUM(O50:O51)</f>
        <v>9383</v>
      </c>
      <c r="P52" s="10">
        <f t="shared" si="115"/>
        <v>788</v>
      </c>
      <c r="Q52" s="10">
        <f t="shared" si="115"/>
        <v>165</v>
      </c>
      <c r="R52" s="10">
        <f t="shared" si="115"/>
        <v>0</v>
      </c>
      <c r="S52" s="10">
        <f t="shared" si="115"/>
        <v>0</v>
      </c>
      <c r="T52" s="10">
        <f t="shared" si="115"/>
        <v>0</v>
      </c>
      <c r="U52" s="10">
        <f t="shared" si="115"/>
        <v>953</v>
      </c>
      <c r="V52" s="118">
        <f t="shared" si="115"/>
        <v>8430</v>
      </c>
      <c r="W52" s="10">
        <f t="shared" si="115"/>
        <v>782</v>
      </c>
      <c r="X52" s="10">
        <f t="shared" si="115"/>
        <v>9212</v>
      </c>
      <c r="Y52" s="10">
        <f t="shared" si="115"/>
        <v>0</v>
      </c>
      <c r="Z52" s="10">
        <f t="shared" si="115"/>
        <v>6568</v>
      </c>
      <c r="AA52" s="10">
        <f t="shared" si="115"/>
        <v>877</v>
      </c>
      <c r="AB52" s="10">
        <f t="shared" si="115"/>
        <v>9383</v>
      </c>
      <c r="AC52" s="10">
        <f t="shared" si="115"/>
        <v>446</v>
      </c>
      <c r="AD52" s="37">
        <f t="shared" si="115"/>
        <v>11488</v>
      </c>
    </row>
    <row r="53" spans="1:30" ht="18.75">
      <c r="A53" s="119" t="s">
        <v>42</v>
      </c>
      <c r="B53" s="119"/>
      <c r="C53" s="114"/>
      <c r="D53" s="120" t="s">
        <v>74</v>
      </c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</row>
    <row r="54" spans="1:30">
      <c r="A54" s="33">
        <v>1</v>
      </c>
      <c r="B54" s="49" t="s">
        <v>127</v>
      </c>
      <c r="C54" s="97" t="s">
        <v>141</v>
      </c>
      <c r="D54" s="19" t="s">
        <v>214</v>
      </c>
      <c r="E54" s="34" t="s">
        <v>34</v>
      </c>
      <c r="F54" s="1">
        <v>5509</v>
      </c>
      <c r="G54" s="1">
        <v>2361</v>
      </c>
      <c r="H54" s="1"/>
      <c r="I54" s="2">
        <f>F54+G54+H54</f>
        <v>7870</v>
      </c>
      <c r="J54" s="3">
        <v>26</v>
      </c>
      <c r="K54" s="8">
        <v>24</v>
      </c>
      <c r="L54" s="1">
        <f t="shared" ref="L54" si="116">F54/J54*K54</f>
        <v>5085.2307692307695</v>
      </c>
      <c r="M54" s="1">
        <f t="shared" ref="M54" si="117">G54/J54*K54</f>
        <v>2179.3846153846152</v>
      </c>
      <c r="N54" s="1">
        <f>H54/$J54*$K54</f>
        <v>0</v>
      </c>
      <c r="O54" s="4">
        <f>ROUND(L54+M54+N54,0)</f>
        <v>7265</v>
      </c>
      <c r="P54" s="5">
        <f>ROUND(Z54*12%,0)</f>
        <v>610</v>
      </c>
      <c r="Q54" s="5">
        <f>ROUNDUP(AB54*1.75%,0)</f>
        <v>128</v>
      </c>
      <c r="R54" s="6">
        <f>IF(O54&gt;40000,200,IF(O54&gt;25000,150,IF(O54&gt;15000,130,IF(O54&gt;10000,110,IF(O54&gt;8500,0,)))))</f>
        <v>0</v>
      </c>
      <c r="S54" s="1">
        <v>0</v>
      </c>
      <c r="T54" s="1">
        <v>200</v>
      </c>
      <c r="U54" s="7">
        <f>SUM(P54:T54)</f>
        <v>938</v>
      </c>
      <c r="V54" s="117">
        <f>O54-U54</f>
        <v>6327</v>
      </c>
      <c r="W54" s="3">
        <f>ROUND((I54/12)/J54*(K54),0)</f>
        <v>605</v>
      </c>
      <c r="X54" s="26">
        <f>V54+W54</f>
        <v>6932</v>
      </c>
      <c r="Y54" s="5"/>
      <c r="Z54" s="5">
        <f>ROUND(IF(($L54)&gt;15000,15000,IF(($L54)&lt;=15000,($L54))),0)</f>
        <v>5085</v>
      </c>
      <c r="AA54" s="5">
        <f>ROUND(Z54*13.36%,0)</f>
        <v>679</v>
      </c>
      <c r="AB54" s="5">
        <f>ROUND($I54/$J54*($K54),0)</f>
        <v>7265</v>
      </c>
      <c r="AC54" s="5">
        <f>ROUNDUP(AB54*4.75%,0)</f>
        <v>346</v>
      </c>
      <c r="AD54" s="35">
        <f>O54+W54+AA54+AC54</f>
        <v>8895</v>
      </c>
    </row>
    <row r="55" spans="1:30">
      <c r="A55" s="33"/>
      <c r="B55" s="49"/>
      <c r="C55" s="49"/>
      <c r="D55" s="19"/>
      <c r="E55" s="34"/>
      <c r="F55" s="1"/>
      <c r="G55" s="1"/>
      <c r="H55" s="1"/>
      <c r="I55" s="2"/>
      <c r="J55" s="3"/>
      <c r="K55" s="8"/>
      <c r="L55" s="1"/>
      <c r="M55" s="1"/>
      <c r="N55" s="1"/>
      <c r="O55" s="4"/>
      <c r="P55" s="5"/>
      <c r="Q55" s="5"/>
      <c r="R55" s="6"/>
      <c r="S55" s="1"/>
      <c r="T55" s="1"/>
      <c r="U55" s="7"/>
      <c r="V55" s="117"/>
      <c r="W55" s="3"/>
      <c r="X55" s="26"/>
      <c r="Y55" s="5"/>
      <c r="Z55" s="5"/>
      <c r="AA55" s="5"/>
      <c r="AB55" s="5"/>
      <c r="AC55" s="5"/>
      <c r="AD55" s="36"/>
    </row>
    <row r="56" spans="1:30">
      <c r="A56" s="25"/>
      <c r="B56" s="94"/>
      <c r="C56" s="94"/>
      <c r="D56" s="25"/>
      <c r="E56" s="9"/>
      <c r="F56" s="10"/>
      <c r="G56" s="10"/>
      <c r="H56" s="10"/>
      <c r="I56" s="10"/>
      <c r="J56" s="10"/>
      <c r="K56" s="8">
        <f>SUM(K54:K55)</f>
        <v>24</v>
      </c>
      <c r="L56" s="10">
        <f>SUM(L54:L55)</f>
        <v>5085.2307692307695</v>
      </c>
      <c r="M56" s="10">
        <f>SUM(M54:M55)</f>
        <v>2179.3846153846152</v>
      </c>
      <c r="N56" s="10"/>
      <c r="O56" s="10">
        <f t="shared" ref="O56:AD56" si="118">SUM(O54:O55)</f>
        <v>7265</v>
      </c>
      <c r="P56" s="10">
        <f t="shared" si="118"/>
        <v>610</v>
      </c>
      <c r="Q56" s="10">
        <f t="shared" si="118"/>
        <v>128</v>
      </c>
      <c r="R56" s="10">
        <f t="shared" si="118"/>
        <v>0</v>
      </c>
      <c r="S56" s="10">
        <f t="shared" si="118"/>
        <v>0</v>
      </c>
      <c r="T56" s="10">
        <f t="shared" si="118"/>
        <v>200</v>
      </c>
      <c r="U56" s="10">
        <f t="shared" si="118"/>
        <v>938</v>
      </c>
      <c r="V56" s="118">
        <f t="shared" si="118"/>
        <v>6327</v>
      </c>
      <c r="W56" s="10">
        <f t="shared" si="118"/>
        <v>605</v>
      </c>
      <c r="X56" s="10">
        <f t="shared" si="118"/>
        <v>6932</v>
      </c>
      <c r="Y56" s="10">
        <f t="shared" si="118"/>
        <v>0</v>
      </c>
      <c r="Z56" s="10">
        <f t="shared" si="118"/>
        <v>5085</v>
      </c>
      <c r="AA56" s="10">
        <f t="shared" si="118"/>
        <v>679</v>
      </c>
      <c r="AB56" s="10">
        <f t="shared" si="118"/>
        <v>7265</v>
      </c>
      <c r="AC56" s="10">
        <f t="shared" si="118"/>
        <v>346</v>
      </c>
      <c r="AD56" s="37">
        <f t="shared" si="118"/>
        <v>8895</v>
      </c>
    </row>
    <row r="57" spans="1:30" ht="18.75">
      <c r="A57" s="119" t="s">
        <v>42</v>
      </c>
      <c r="B57" s="119"/>
      <c r="C57" s="114"/>
      <c r="D57" s="120" t="s">
        <v>81</v>
      </c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0"/>
      <c r="S57" s="120"/>
      <c r="T57" s="120"/>
      <c r="U57" s="120"/>
      <c r="V57" s="120"/>
      <c r="W57" s="120"/>
      <c r="X57" s="120"/>
      <c r="Y57" s="120"/>
      <c r="Z57" s="120"/>
      <c r="AA57" s="120"/>
      <c r="AB57" s="120"/>
      <c r="AC57" s="120"/>
      <c r="AD57" s="120"/>
    </row>
    <row r="58" spans="1:30">
      <c r="A58" s="33">
        <v>1</v>
      </c>
      <c r="B58" s="49" t="s">
        <v>128</v>
      </c>
      <c r="C58" s="97" t="s">
        <v>142</v>
      </c>
      <c r="D58" s="19" t="s">
        <v>202</v>
      </c>
      <c r="E58" s="34" t="s">
        <v>34</v>
      </c>
      <c r="F58" s="1">
        <v>5509</v>
      </c>
      <c r="G58" s="1">
        <v>2361</v>
      </c>
      <c r="H58" s="1"/>
      <c r="I58" s="2">
        <f>F58+G58+H58</f>
        <v>7870</v>
      </c>
      <c r="J58" s="3">
        <v>26</v>
      </c>
      <c r="K58" s="8">
        <v>29</v>
      </c>
      <c r="L58" s="1">
        <f t="shared" ref="L58:L60" si="119">F58/J58*K58</f>
        <v>6144.6538461538466</v>
      </c>
      <c r="M58" s="1">
        <f t="shared" ref="M58:M60" si="120">G58/J58*K58</f>
        <v>2633.4230769230767</v>
      </c>
      <c r="N58" s="1">
        <f>H58/$J58*$K58</f>
        <v>0</v>
      </c>
      <c r="O58" s="4">
        <f>ROUND(L58+M58+N58,0)</f>
        <v>8778</v>
      </c>
      <c r="P58" s="5">
        <f>ROUND(Z58*12%,0)</f>
        <v>737</v>
      </c>
      <c r="Q58" s="5">
        <f>ROUNDUP(AB58*1.75%,0)</f>
        <v>154</v>
      </c>
      <c r="R58" s="6">
        <f>IF(O58&gt;40000,200,IF(O58&gt;25000,150,IF(O58&gt;15000,130,IF(O58&gt;10000,110,IF(O58&gt;8500,0,)))))</f>
        <v>0</v>
      </c>
      <c r="S58" s="1">
        <v>4000</v>
      </c>
      <c r="T58" s="1">
        <v>0</v>
      </c>
      <c r="U58" s="7">
        <f>SUM(P58:T58)</f>
        <v>4891</v>
      </c>
      <c r="V58" s="117">
        <f>O58-U58</f>
        <v>3887</v>
      </c>
      <c r="W58" s="3">
        <f>ROUND((I58/12)/J58*(K58),0)</f>
        <v>732</v>
      </c>
      <c r="X58" s="26">
        <f>V58+W58</f>
        <v>4619</v>
      </c>
      <c r="Y58" s="5"/>
      <c r="Z58" s="5">
        <f>ROUND(IF(($L58)&gt;15000,15000,IF(($L58)&lt;=15000,($L58))),0)</f>
        <v>6145</v>
      </c>
      <c r="AA58" s="5">
        <f>ROUND(Z58*13.36%,0)</f>
        <v>821</v>
      </c>
      <c r="AB58" s="5">
        <f>ROUND($I58/$J58*($K58),0)</f>
        <v>8778</v>
      </c>
      <c r="AC58" s="5">
        <f>ROUNDUP(AB58*4.75%,0)</f>
        <v>417</v>
      </c>
      <c r="AD58" s="35">
        <f>O58+W58+AA58+AC58</f>
        <v>10748</v>
      </c>
    </row>
    <row r="59" spans="1:30">
      <c r="A59" s="33">
        <v>2</v>
      </c>
      <c r="B59" s="49" t="s">
        <v>129</v>
      </c>
      <c r="C59" s="97" t="s">
        <v>142</v>
      </c>
      <c r="D59" s="19" t="s">
        <v>208</v>
      </c>
      <c r="E59" s="34" t="s">
        <v>34</v>
      </c>
      <c r="F59" s="1">
        <v>5509</v>
      </c>
      <c r="G59" s="1">
        <v>2361</v>
      </c>
      <c r="H59" s="1"/>
      <c r="I59" s="2">
        <f t="shared" ref="I59:I60" si="121">F59+G59+H59</f>
        <v>7870</v>
      </c>
      <c r="J59" s="3">
        <v>26</v>
      </c>
      <c r="K59" s="8">
        <v>2</v>
      </c>
      <c r="L59" s="1">
        <f t="shared" si="119"/>
        <v>423.76923076923077</v>
      </c>
      <c r="M59" s="1">
        <f t="shared" si="120"/>
        <v>181.61538461538461</v>
      </c>
      <c r="N59" s="1">
        <f t="shared" ref="N59:N60" si="122">H59/$J59*$K59</f>
        <v>0</v>
      </c>
      <c r="O59" s="4">
        <f t="shared" ref="O59:O60" si="123">ROUND(L59+M59+N59,0)</f>
        <v>605</v>
      </c>
      <c r="P59" s="5">
        <f t="shared" ref="P59:P60" si="124">ROUND(Z59*12%,0)</f>
        <v>51</v>
      </c>
      <c r="Q59" s="5">
        <f t="shared" ref="Q59:Q60" si="125">ROUNDUP(AB59*1.75%,0)</f>
        <v>11</v>
      </c>
      <c r="R59" s="6">
        <f t="shared" ref="R59:R60" si="126">IF(O59&gt;40000,200,IF(O59&gt;25000,150,IF(O59&gt;15000,130,IF(O59&gt;10000,110,IF(O59&gt;8500,0,)))))</f>
        <v>0</v>
      </c>
      <c r="S59" s="1">
        <v>0</v>
      </c>
      <c r="T59" s="1">
        <v>0</v>
      </c>
      <c r="U59" s="7">
        <f t="shared" ref="U59:U60" si="127">SUM(P59:T59)</f>
        <v>62</v>
      </c>
      <c r="V59" s="117">
        <f t="shared" ref="V59:V60" si="128">O59-U59</f>
        <v>543</v>
      </c>
      <c r="W59" s="3">
        <f t="shared" ref="W59:W60" si="129">ROUND((I59/12)/J59*(K59),0)</f>
        <v>50</v>
      </c>
      <c r="X59" s="26">
        <f t="shared" ref="X59:X60" si="130">V59+W59</f>
        <v>593</v>
      </c>
      <c r="Y59" s="5"/>
      <c r="Z59" s="5">
        <f t="shared" ref="Z59:Z60" si="131">ROUND(IF(($L59)&gt;15000,15000,IF(($L59)&lt;=15000,($L59))),0)</f>
        <v>424</v>
      </c>
      <c r="AA59" s="5">
        <f t="shared" ref="AA59:AA60" si="132">ROUND(Z59*13.36%,0)</f>
        <v>57</v>
      </c>
      <c r="AB59" s="5">
        <f t="shared" ref="AB59:AB60" si="133">ROUND($I59/$J59*($K59),0)</f>
        <v>605</v>
      </c>
      <c r="AC59" s="5">
        <f t="shared" ref="AC59:AC60" si="134">ROUNDUP(AB59*4.75%,0)</f>
        <v>29</v>
      </c>
      <c r="AD59" s="35">
        <f t="shared" ref="AD59:AD60" si="135">O59+W59+AA59+AC59</f>
        <v>741</v>
      </c>
    </row>
    <row r="60" spans="1:30">
      <c r="A60" s="33">
        <v>3</v>
      </c>
      <c r="B60" s="49" t="s">
        <v>130</v>
      </c>
      <c r="C60" s="97" t="s">
        <v>142</v>
      </c>
      <c r="D60" s="19" t="s">
        <v>209</v>
      </c>
      <c r="E60" s="34" t="s">
        <v>34</v>
      </c>
      <c r="F60" s="1">
        <v>5509</v>
      </c>
      <c r="G60" s="1">
        <v>2361</v>
      </c>
      <c r="H60" s="1"/>
      <c r="I60" s="2">
        <f t="shared" si="121"/>
        <v>7870</v>
      </c>
      <c r="J60" s="3">
        <v>26</v>
      </c>
      <c r="K60" s="8">
        <v>29</v>
      </c>
      <c r="L60" s="1">
        <f t="shared" si="119"/>
        <v>6144.6538461538466</v>
      </c>
      <c r="M60" s="1">
        <f t="shared" si="120"/>
        <v>2633.4230769230767</v>
      </c>
      <c r="N60" s="1">
        <f t="shared" si="122"/>
        <v>0</v>
      </c>
      <c r="O60" s="4">
        <f t="shared" si="123"/>
        <v>8778</v>
      </c>
      <c r="P60" s="5">
        <f t="shared" si="124"/>
        <v>737</v>
      </c>
      <c r="Q60" s="5">
        <f t="shared" si="125"/>
        <v>154</v>
      </c>
      <c r="R60" s="6">
        <f t="shared" si="126"/>
        <v>0</v>
      </c>
      <c r="S60" s="1">
        <v>1000</v>
      </c>
      <c r="T60" s="1">
        <v>0</v>
      </c>
      <c r="U60" s="7">
        <f t="shared" si="127"/>
        <v>1891</v>
      </c>
      <c r="V60" s="117">
        <f t="shared" si="128"/>
        <v>6887</v>
      </c>
      <c r="W60" s="3">
        <f t="shared" si="129"/>
        <v>732</v>
      </c>
      <c r="X60" s="26">
        <f t="shared" si="130"/>
        <v>7619</v>
      </c>
      <c r="Y60" s="5"/>
      <c r="Z60" s="5">
        <f t="shared" si="131"/>
        <v>6145</v>
      </c>
      <c r="AA60" s="5">
        <f t="shared" si="132"/>
        <v>821</v>
      </c>
      <c r="AB60" s="5">
        <f t="shared" si="133"/>
        <v>8778</v>
      </c>
      <c r="AC60" s="5">
        <f t="shared" si="134"/>
        <v>417</v>
      </c>
      <c r="AD60" s="35">
        <f t="shared" si="135"/>
        <v>10748</v>
      </c>
    </row>
    <row r="61" spans="1:30">
      <c r="A61" s="33"/>
      <c r="B61" s="49"/>
      <c r="C61" s="49"/>
      <c r="D61" s="19"/>
      <c r="E61" s="34"/>
      <c r="F61" s="1"/>
      <c r="G61" s="1"/>
      <c r="H61" s="1"/>
      <c r="I61" s="2"/>
      <c r="J61" s="3"/>
      <c r="K61" s="8"/>
      <c r="L61" s="1"/>
      <c r="M61" s="1"/>
      <c r="N61" s="1"/>
      <c r="O61" s="4"/>
      <c r="P61" s="5"/>
      <c r="Q61" s="5"/>
      <c r="R61" s="6"/>
      <c r="S61" s="1"/>
      <c r="T61" s="1"/>
      <c r="U61" s="7"/>
      <c r="V61" s="117"/>
      <c r="W61" s="3"/>
      <c r="X61" s="26"/>
      <c r="Y61" s="5"/>
      <c r="Z61" s="5"/>
      <c r="AA61" s="5"/>
      <c r="AB61" s="5"/>
      <c r="AC61" s="5"/>
      <c r="AD61" s="36"/>
    </row>
    <row r="62" spans="1:30">
      <c r="A62" s="25"/>
      <c r="B62" s="94"/>
      <c r="C62" s="94"/>
      <c r="D62" s="25"/>
      <c r="E62" s="9"/>
      <c r="F62" s="10"/>
      <c r="G62" s="10"/>
      <c r="H62" s="10"/>
      <c r="I62" s="10"/>
      <c r="J62" s="10"/>
      <c r="K62" s="8">
        <f>SUM(K58:K61)</f>
        <v>60</v>
      </c>
      <c r="L62" s="10">
        <f>SUM(L58:L61)</f>
        <v>12713.076923076924</v>
      </c>
      <c r="M62" s="10">
        <f>SUM(M58:M61)</f>
        <v>5448.4615384615381</v>
      </c>
      <c r="N62" s="10"/>
      <c r="O62" s="10">
        <f t="shared" ref="O62:AD62" si="136">SUM(O58:O61)</f>
        <v>18161</v>
      </c>
      <c r="P62" s="10">
        <f t="shared" si="136"/>
        <v>1525</v>
      </c>
      <c r="Q62" s="10">
        <f t="shared" si="136"/>
        <v>319</v>
      </c>
      <c r="R62" s="10">
        <f t="shared" si="136"/>
        <v>0</v>
      </c>
      <c r="S62" s="10">
        <f t="shared" si="136"/>
        <v>5000</v>
      </c>
      <c r="T62" s="10">
        <f t="shared" si="136"/>
        <v>0</v>
      </c>
      <c r="U62" s="10">
        <f t="shared" si="136"/>
        <v>6844</v>
      </c>
      <c r="V62" s="118">
        <f t="shared" si="136"/>
        <v>11317</v>
      </c>
      <c r="W62" s="10">
        <f t="shared" si="136"/>
        <v>1514</v>
      </c>
      <c r="X62" s="10">
        <f t="shared" si="136"/>
        <v>12831</v>
      </c>
      <c r="Y62" s="10">
        <f t="shared" si="136"/>
        <v>0</v>
      </c>
      <c r="Z62" s="10">
        <f t="shared" si="136"/>
        <v>12714</v>
      </c>
      <c r="AA62" s="10">
        <f t="shared" si="136"/>
        <v>1699</v>
      </c>
      <c r="AB62" s="10">
        <f t="shared" si="136"/>
        <v>18161</v>
      </c>
      <c r="AC62" s="10">
        <f t="shared" si="136"/>
        <v>863</v>
      </c>
      <c r="AD62" s="37">
        <f t="shared" si="136"/>
        <v>22237</v>
      </c>
    </row>
    <row r="63" spans="1:30" ht="18.75">
      <c r="A63" s="119" t="s">
        <v>42</v>
      </c>
      <c r="B63" s="119"/>
      <c r="C63" s="114"/>
      <c r="D63" s="120" t="s">
        <v>82</v>
      </c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0"/>
      <c r="R63" s="120"/>
      <c r="S63" s="120"/>
      <c r="T63" s="120"/>
      <c r="U63" s="120"/>
      <c r="V63" s="120"/>
      <c r="W63" s="120"/>
      <c r="X63" s="120"/>
      <c r="Y63" s="120"/>
      <c r="Z63" s="120"/>
      <c r="AA63" s="120"/>
      <c r="AB63" s="120"/>
      <c r="AC63" s="120"/>
      <c r="AD63" s="120"/>
    </row>
    <row r="64" spans="1:30">
      <c r="A64" s="33">
        <v>1</v>
      </c>
      <c r="B64" s="49" t="s">
        <v>131</v>
      </c>
      <c r="C64" s="97" t="s">
        <v>143</v>
      </c>
      <c r="D64" s="19" t="s">
        <v>210</v>
      </c>
      <c r="E64" s="34" t="s">
        <v>34</v>
      </c>
      <c r="F64" s="1">
        <v>5509</v>
      </c>
      <c r="G64" s="1">
        <v>2361</v>
      </c>
      <c r="H64" s="1"/>
      <c r="I64" s="2">
        <f>F64+G64+H64</f>
        <v>7870</v>
      </c>
      <c r="J64" s="3">
        <v>26</v>
      </c>
      <c r="K64" s="8">
        <v>30</v>
      </c>
      <c r="L64" s="1">
        <f t="shared" ref="L64" si="137">F64/J64*K64</f>
        <v>6356.5384615384619</v>
      </c>
      <c r="M64" s="1">
        <f t="shared" ref="M64" si="138">G64/J64*K64</f>
        <v>2724.2307692307691</v>
      </c>
      <c r="N64" s="1">
        <f>H64/$J64*$K64</f>
        <v>0</v>
      </c>
      <c r="O64" s="4">
        <f>ROUND(L64+M64+N64,0)</f>
        <v>9081</v>
      </c>
      <c r="P64" s="5">
        <f>ROUND(Z64*12%,0)</f>
        <v>763</v>
      </c>
      <c r="Q64" s="5">
        <f>ROUNDUP(AB64*1.75%,0)</f>
        <v>159</v>
      </c>
      <c r="R64" s="6">
        <f>IF(O64&gt;40000,200,IF(O64&gt;25000,150,IF(O64&gt;15000,130,IF(O64&gt;10000,110,IF(O64&gt;8500,0,)))))</f>
        <v>0</v>
      </c>
      <c r="S64" s="1">
        <v>0</v>
      </c>
      <c r="T64" s="1">
        <v>0</v>
      </c>
      <c r="U64" s="7">
        <f>SUM(P64:T64)</f>
        <v>922</v>
      </c>
      <c r="V64" s="117">
        <f>O64-U64</f>
        <v>8159</v>
      </c>
      <c r="W64" s="3">
        <f>ROUND((I64/12)/J64*(K64),0)</f>
        <v>757</v>
      </c>
      <c r="X64" s="26">
        <f>V64+W64</f>
        <v>8916</v>
      </c>
      <c r="Y64" s="5"/>
      <c r="Z64" s="5">
        <f>ROUND(IF(($L64)&gt;15000,15000,IF(($L64)&lt;=15000,($L64))),0)</f>
        <v>6357</v>
      </c>
      <c r="AA64" s="5">
        <f>ROUND(Z64*13.36%,0)</f>
        <v>849</v>
      </c>
      <c r="AB64" s="5">
        <f>ROUND($I64/$J64*($K64),0)</f>
        <v>9081</v>
      </c>
      <c r="AC64" s="5">
        <f>ROUNDUP(AB64*4.75%,0)</f>
        <v>432</v>
      </c>
      <c r="AD64" s="35">
        <f>O64+W64+AA64+AC64</f>
        <v>11119</v>
      </c>
    </row>
    <row r="65" spans="1:30">
      <c r="A65" s="33"/>
      <c r="B65" s="49"/>
      <c r="C65" s="49"/>
      <c r="D65" s="19"/>
      <c r="E65" s="34"/>
      <c r="F65" s="1"/>
      <c r="G65" s="1"/>
      <c r="H65" s="1"/>
      <c r="I65" s="2"/>
      <c r="J65" s="3"/>
      <c r="K65" s="8"/>
      <c r="L65" s="1"/>
      <c r="M65" s="1"/>
      <c r="N65" s="1"/>
      <c r="O65" s="4"/>
      <c r="P65" s="5"/>
      <c r="Q65" s="5"/>
      <c r="R65" s="6"/>
      <c r="S65" s="1"/>
      <c r="T65" s="1"/>
      <c r="U65" s="7"/>
      <c r="V65" s="117"/>
      <c r="W65" s="3"/>
      <c r="X65" s="26"/>
      <c r="Y65" s="5"/>
      <c r="Z65" s="5"/>
      <c r="AA65" s="5"/>
      <c r="AB65" s="5"/>
      <c r="AC65" s="5"/>
      <c r="AD65" s="36"/>
    </row>
    <row r="66" spans="1:30">
      <c r="A66" s="25"/>
      <c r="B66" s="94"/>
      <c r="C66" s="94"/>
      <c r="D66" s="25"/>
      <c r="E66" s="9"/>
      <c r="F66" s="10"/>
      <c r="G66" s="10"/>
      <c r="H66" s="10"/>
      <c r="I66" s="10"/>
      <c r="J66" s="10"/>
      <c r="K66" s="8">
        <f>SUM(K64:K65)</f>
        <v>30</v>
      </c>
      <c r="L66" s="10">
        <f>SUM(L64:L65)</f>
        <v>6356.5384615384619</v>
      </c>
      <c r="M66" s="10">
        <f>SUM(M64:M65)</f>
        <v>2724.2307692307691</v>
      </c>
      <c r="N66" s="10"/>
      <c r="O66" s="10">
        <f t="shared" ref="O66:AD66" si="139">SUM(O64:O65)</f>
        <v>9081</v>
      </c>
      <c r="P66" s="10">
        <f t="shared" si="139"/>
        <v>763</v>
      </c>
      <c r="Q66" s="10">
        <f t="shared" si="139"/>
        <v>159</v>
      </c>
      <c r="R66" s="10">
        <f t="shared" si="139"/>
        <v>0</v>
      </c>
      <c r="S66" s="10">
        <f t="shared" si="139"/>
        <v>0</v>
      </c>
      <c r="T66" s="10">
        <f t="shared" si="139"/>
        <v>0</v>
      </c>
      <c r="U66" s="10">
        <f t="shared" si="139"/>
        <v>922</v>
      </c>
      <c r="V66" s="118">
        <f t="shared" si="139"/>
        <v>8159</v>
      </c>
      <c r="W66" s="10">
        <f t="shared" si="139"/>
        <v>757</v>
      </c>
      <c r="X66" s="10">
        <f t="shared" si="139"/>
        <v>8916</v>
      </c>
      <c r="Y66" s="10">
        <f t="shared" si="139"/>
        <v>0</v>
      </c>
      <c r="Z66" s="10">
        <f t="shared" si="139"/>
        <v>6357</v>
      </c>
      <c r="AA66" s="10">
        <f t="shared" si="139"/>
        <v>849</v>
      </c>
      <c r="AB66" s="10">
        <f t="shared" si="139"/>
        <v>9081</v>
      </c>
      <c r="AC66" s="10">
        <f t="shared" si="139"/>
        <v>432</v>
      </c>
      <c r="AD66" s="37">
        <f t="shared" si="139"/>
        <v>11119</v>
      </c>
    </row>
    <row r="67" spans="1:30" ht="18.75">
      <c r="A67" s="119" t="s">
        <v>42</v>
      </c>
      <c r="B67" s="119"/>
      <c r="C67" s="114"/>
      <c r="D67" s="120" t="s">
        <v>211</v>
      </c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</row>
    <row r="68" spans="1:30">
      <c r="A68" s="33">
        <v>1</v>
      </c>
      <c r="B68" s="49" t="s">
        <v>218</v>
      </c>
      <c r="C68" s="97" t="s">
        <v>212</v>
      </c>
      <c r="D68" s="19" t="s">
        <v>215</v>
      </c>
      <c r="E68" s="34" t="s">
        <v>34</v>
      </c>
      <c r="F68" s="1">
        <v>5509</v>
      </c>
      <c r="G68" s="1">
        <v>2361</v>
      </c>
      <c r="H68" s="1"/>
      <c r="I68" s="2">
        <f>F68+G68+H68</f>
        <v>7870</v>
      </c>
      <c r="J68" s="3">
        <v>26</v>
      </c>
      <c r="K68" s="8">
        <v>25</v>
      </c>
      <c r="L68" s="1">
        <f t="shared" ref="L68" si="140">F68/J68*K68</f>
        <v>5297.1153846153848</v>
      </c>
      <c r="M68" s="1">
        <f t="shared" ref="M68" si="141">G68/J68*K68</f>
        <v>2270.1923076923076</v>
      </c>
      <c r="N68" s="1">
        <f>H68/$J68*$K68</f>
        <v>0</v>
      </c>
      <c r="O68" s="4">
        <f>ROUND(L68+M68+N68,0)</f>
        <v>7567</v>
      </c>
      <c r="P68" s="5">
        <f>ROUND(Z68*12%,0)</f>
        <v>636</v>
      </c>
      <c r="Q68" s="5">
        <f>ROUNDUP(AB68*1.75%,0)</f>
        <v>133</v>
      </c>
      <c r="R68" s="6">
        <f>IF(O68&gt;40000,200,IF(O68&gt;25000,150,IF(O68&gt;15000,130,IF(O68&gt;10000,110,IF(O68&gt;8500,0,)))))</f>
        <v>0</v>
      </c>
      <c r="S68" s="1">
        <v>0</v>
      </c>
      <c r="T68" s="1">
        <v>0</v>
      </c>
      <c r="U68" s="7">
        <f>SUM(P68:T68)</f>
        <v>769</v>
      </c>
      <c r="V68" s="117">
        <f>O68-U68</f>
        <v>6798</v>
      </c>
      <c r="W68" s="3">
        <f>ROUND((I68/12)/J68*(K68),0)</f>
        <v>631</v>
      </c>
      <c r="X68" s="26">
        <f>V68+W68</f>
        <v>7429</v>
      </c>
      <c r="Y68" s="5"/>
      <c r="Z68" s="5">
        <f>ROUND(IF(($L68)&gt;15000,15000,IF(($L68)&lt;=15000,($L68))),0)</f>
        <v>5297</v>
      </c>
      <c r="AA68" s="5">
        <f>ROUND(Z68*13.36%,0)</f>
        <v>708</v>
      </c>
      <c r="AB68" s="5">
        <f>ROUND($I68/$J68*($K68),0)</f>
        <v>7567</v>
      </c>
      <c r="AC68" s="5">
        <f>ROUNDUP(AB68*4.75%,0)</f>
        <v>360</v>
      </c>
      <c r="AD68" s="35">
        <f>O68+W68+AA68+AC68</f>
        <v>9266</v>
      </c>
    </row>
    <row r="69" spans="1:30">
      <c r="A69" s="33"/>
      <c r="B69" s="49"/>
      <c r="C69" s="49"/>
      <c r="D69" s="19"/>
      <c r="E69" s="34"/>
      <c r="F69" s="1"/>
      <c r="G69" s="1"/>
      <c r="H69" s="1"/>
      <c r="I69" s="2"/>
      <c r="J69" s="3"/>
      <c r="K69" s="8"/>
      <c r="L69" s="1"/>
      <c r="M69" s="1"/>
      <c r="N69" s="1"/>
      <c r="O69" s="4"/>
      <c r="P69" s="5"/>
      <c r="Q69" s="5"/>
      <c r="R69" s="6"/>
      <c r="S69" s="1"/>
      <c r="T69" s="1"/>
      <c r="U69" s="7"/>
      <c r="V69" s="117"/>
      <c r="W69" s="3"/>
      <c r="X69" s="26"/>
      <c r="Y69" s="5"/>
      <c r="Z69" s="5"/>
      <c r="AA69" s="5"/>
      <c r="AB69" s="5"/>
      <c r="AC69" s="5"/>
      <c r="AD69" s="36"/>
    </row>
    <row r="70" spans="1:30">
      <c r="A70" s="25"/>
      <c r="B70" s="94"/>
      <c r="C70" s="94"/>
      <c r="D70" s="25"/>
      <c r="E70" s="9"/>
      <c r="F70" s="10"/>
      <c r="G70" s="10"/>
      <c r="H70" s="10"/>
      <c r="I70" s="10"/>
      <c r="J70" s="10"/>
      <c r="K70" s="8">
        <f>SUM(K68:K69)</f>
        <v>25</v>
      </c>
      <c r="L70" s="10">
        <f>SUM(L68:L69)</f>
        <v>5297.1153846153848</v>
      </c>
      <c r="M70" s="10">
        <f>SUM(M68:M69)</f>
        <v>2270.1923076923076</v>
      </c>
      <c r="N70" s="10"/>
      <c r="O70" s="10">
        <f t="shared" ref="O70:AD70" si="142">SUM(O68:O69)</f>
        <v>7567</v>
      </c>
      <c r="P70" s="10">
        <f t="shared" si="142"/>
        <v>636</v>
      </c>
      <c r="Q70" s="10">
        <f t="shared" si="142"/>
        <v>133</v>
      </c>
      <c r="R70" s="10">
        <f t="shared" si="142"/>
        <v>0</v>
      </c>
      <c r="S70" s="10">
        <f t="shared" si="142"/>
        <v>0</v>
      </c>
      <c r="T70" s="10">
        <f t="shared" si="142"/>
        <v>0</v>
      </c>
      <c r="U70" s="10">
        <f t="shared" si="142"/>
        <v>769</v>
      </c>
      <c r="V70" s="118">
        <f t="shared" si="142"/>
        <v>6798</v>
      </c>
      <c r="W70" s="10">
        <f t="shared" si="142"/>
        <v>631</v>
      </c>
      <c r="X70" s="10">
        <f t="shared" si="142"/>
        <v>7429</v>
      </c>
      <c r="Y70" s="10">
        <f t="shared" si="142"/>
        <v>0</v>
      </c>
      <c r="Z70" s="10">
        <f t="shared" si="142"/>
        <v>5297</v>
      </c>
      <c r="AA70" s="10">
        <f t="shared" si="142"/>
        <v>708</v>
      </c>
      <c r="AB70" s="10">
        <f t="shared" si="142"/>
        <v>7567</v>
      </c>
      <c r="AC70" s="10">
        <f t="shared" si="142"/>
        <v>360</v>
      </c>
      <c r="AD70" s="37">
        <f t="shared" si="142"/>
        <v>9266</v>
      </c>
    </row>
    <row r="71" spans="1:30" ht="18.75">
      <c r="A71" s="119" t="s">
        <v>42</v>
      </c>
      <c r="B71" s="119"/>
      <c r="C71" s="114"/>
      <c r="D71" s="120" t="s">
        <v>69</v>
      </c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120"/>
      <c r="U71" s="120"/>
      <c r="V71" s="120"/>
      <c r="W71" s="120"/>
      <c r="X71" s="120"/>
      <c r="Y71" s="120"/>
      <c r="Z71" s="120"/>
      <c r="AA71" s="120"/>
      <c r="AB71" s="120"/>
      <c r="AC71" s="120"/>
      <c r="AD71" s="120"/>
    </row>
    <row r="72" spans="1:30">
      <c r="A72" s="33">
        <v>1</v>
      </c>
      <c r="B72" s="49" t="s">
        <v>169</v>
      </c>
      <c r="C72" s="112" t="s">
        <v>158</v>
      </c>
      <c r="D72" s="19" t="s">
        <v>216</v>
      </c>
      <c r="E72" s="34" t="s">
        <v>34</v>
      </c>
      <c r="F72" s="1">
        <v>3973</v>
      </c>
      <c r="G72" s="1">
        <v>1703</v>
      </c>
      <c r="H72" s="1"/>
      <c r="I72" s="2">
        <f>F72+G72+H72</f>
        <v>5676</v>
      </c>
      <c r="J72" s="3">
        <v>26</v>
      </c>
      <c r="K72" s="8">
        <v>20</v>
      </c>
      <c r="L72" s="1">
        <f t="shared" ref="L72" si="143">F72/J72*K72</f>
        <v>3056.1538461538466</v>
      </c>
      <c r="M72" s="1">
        <f t="shared" ref="M72" si="144">G72/J72*K72</f>
        <v>1310</v>
      </c>
      <c r="N72" s="1">
        <f>H72/$J72*$K72</f>
        <v>0</v>
      </c>
      <c r="O72" s="4">
        <f>ROUND(L72+M72+N72,0)</f>
        <v>4366</v>
      </c>
      <c r="P72" s="5">
        <f>ROUND(Z72*12%,0)</f>
        <v>367</v>
      </c>
      <c r="Q72" s="5">
        <f>ROUNDUP(AB72*1.75%,0)</f>
        <v>77</v>
      </c>
      <c r="R72" s="6">
        <f>IF(O72&gt;40000,200,IF(O72&gt;25000,150,IF(O72&gt;15000,130,IF(O72&gt;10000,110,IF(O72&gt;8500,0,)))))</f>
        <v>0</v>
      </c>
      <c r="S72" s="1">
        <v>0</v>
      </c>
      <c r="T72" s="1">
        <v>0</v>
      </c>
      <c r="U72" s="7">
        <f>SUM(P72:T72)</f>
        <v>444</v>
      </c>
      <c r="V72" s="117">
        <f>O72-U72</f>
        <v>3922</v>
      </c>
      <c r="W72" s="3">
        <f>ROUND((I72/12)/J72*(K72),0)</f>
        <v>364</v>
      </c>
      <c r="X72" s="26">
        <f>V72+W72</f>
        <v>4286</v>
      </c>
      <c r="Y72" s="5"/>
      <c r="Z72" s="5">
        <f>ROUND(IF(($L72)&gt;15000,15000,IF(($L72)&lt;=15000,($L72))),0)</f>
        <v>3056</v>
      </c>
      <c r="AA72" s="5">
        <f>ROUND(Z72*13.36%,0)</f>
        <v>408</v>
      </c>
      <c r="AB72" s="5">
        <f>ROUND($I72/$J72*($K72),0)</f>
        <v>4366</v>
      </c>
      <c r="AC72" s="5">
        <f>ROUNDUP(AB72*4.75%,0)</f>
        <v>208</v>
      </c>
      <c r="AD72" s="35">
        <f>O72+W72+AA72+AC72</f>
        <v>5346</v>
      </c>
    </row>
    <row r="73" spans="1:30">
      <c r="A73" s="33"/>
      <c r="B73" s="49"/>
      <c r="C73" s="49"/>
      <c r="D73" s="19"/>
      <c r="E73" s="34"/>
      <c r="F73" s="1"/>
      <c r="G73" s="1"/>
      <c r="H73" s="1"/>
      <c r="I73" s="2"/>
      <c r="J73" s="3"/>
      <c r="K73" s="8"/>
      <c r="L73" s="1"/>
      <c r="M73" s="1"/>
      <c r="N73" s="1"/>
      <c r="O73" s="4"/>
      <c r="P73" s="5"/>
      <c r="Q73" s="5"/>
      <c r="R73" s="6"/>
      <c r="S73" s="1"/>
      <c r="T73" s="1"/>
      <c r="U73" s="7"/>
      <c r="V73" s="117"/>
      <c r="W73" s="3"/>
      <c r="X73" s="26"/>
      <c r="Y73" s="5"/>
      <c r="Z73" s="5"/>
      <c r="AA73" s="5"/>
      <c r="AB73" s="5"/>
      <c r="AC73" s="5"/>
      <c r="AD73" s="36"/>
    </row>
    <row r="74" spans="1:30">
      <c r="A74" s="25"/>
      <c r="B74" s="94"/>
      <c r="C74" s="94"/>
      <c r="D74" s="25"/>
      <c r="E74" s="9"/>
      <c r="F74" s="10"/>
      <c r="G74" s="10"/>
      <c r="H74" s="10"/>
      <c r="I74" s="10"/>
      <c r="J74" s="10"/>
      <c r="K74" s="8">
        <f>SUM(K72:K73)</f>
        <v>20</v>
      </c>
      <c r="L74" s="10">
        <f>SUM(L72:L73)</f>
        <v>3056.1538461538466</v>
      </c>
      <c r="M74" s="10">
        <f>SUM(M72:M73)</f>
        <v>1310</v>
      </c>
      <c r="N74" s="10"/>
      <c r="O74" s="10">
        <f t="shared" ref="O74:AD74" si="145">SUM(O72:O73)</f>
        <v>4366</v>
      </c>
      <c r="P74" s="10">
        <f t="shared" si="145"/>
        <v>367</v>
      </c>
      <c r="Q74" s="10">
        <f t="shared" si="145"/>
        <v>77</v>
      </c>
      <c r="R74" s="10">
        <f t="shared" si="145"/>
        <v>0</v>
      </c>
      <c r="S74" s="10">
        <f t="shared" si="145"/>
        <v>0</v>
      </c>
      <c r="T74" s="10">
        <f t="shared" si="145"/>
        <v>0</v>
      </c>
      <c r="U74" s="10">
        <f t="shared" si="145"/>
        <v>444</v>
      </c>
      <c r="V74" s="118">
        <f t="shared" si="145"/>
        <v>3922</v>
      </c>
      <c r="W74" s="10">
        <f t="shared" si="145"/>
        <v>364</v>
      </c>
      <c r="X74" s="10">
        <f t="shared" si="145"/>
        <v>4286</v>
      </c>
      <c r="Y74" s="10">
        <f t="shared" si="145"/>
        <v>0</v>
      </c>
      <c r="Z74" s="10">
        <f t="shared" si="145"/>
        <v>3056</v>
      </c>
      <c r="AA74" s="10">
        <f t="shared" si="145"/>
        <v>408</v>
      </c>
      <c r="AB74" s="10">
        <f t="shared" si="145"/>
        <v>4366</v>
      </c>
      <c r="AC74" s="10">
        <f t="shared" si="145"/>
        <v>208</v>
      </c>
      <c r="AD74" s="37">
        <f t="shared" si="145"/>
        <v>5346</v>
      </c>
    </row>
    <row r="75" spans="1:30">
      <c r="A75" s="33">
        <v>1</v>
      </c>
      <c r="B75" s="49" t="s">
        <v>170</v>
      </c>
      <c r="C75" s="112" t="s">
        <v>158</v>
      </c>
      <c r="D75" s="19" t="s">
        <v>217</v>
      </c>
      <c r="E75" s="34" t="s">
        <v>24</v>
      </c>
      <c r="F75" s="1">
        <v>4668</v>
      </c>
      <c r="G75" s="1">
        <v>2001</v>
      </c>
      <c r="H75" s="1"/>
      <c r="I75" s="2">
        <f>F75+G75+H75</f>
        <v>6669</v>
      </c>
      <c r="J75" s="3">
        <v>26</v>
      </c>
      <c r="K75" s="8">
        <v>30</v>
      </c>
      <c r="L75" s="1">
        <f t="shared" ref="L75" si="146">F75/J75*K75</f>
        <v>5386.1538461538466</v>
      </c>
      <c r="M75" s="1">
        <f t="shared" ref="M75" si="147">G75/J75*K75</f>
        <v>2308.8461538461538</v>
      </c>
      <c r="N75" s="1">
        <f>H75/$J75*$K75</f>
        <v>0</v>
      </c>
      <c r="O75" s="4">
        <f>ROUND(L75+M75+N75,0)</f>
        <v>7695</v>
      </c>
      <c r="P75" s="5">
        <f>ROUND(Z75*12%,0)</f>
        <v>646</v>
      </c>
      <c r="Q75" s="5">
        <f>ROUNDUP(AB75*1.75%,0)</f>
        <v>135</v>
      </c>
      <c r="R75" s="6">
        <f>IF(O75&gt;40000,200,IF(O75&gt;25000,150,IF(O75&gt;15000,130,IF(O75&gt;10000,110,IF(O75&gt;8500,0,)))))</f>
        <v>0</v>
      </c>
      <c r="S75" s="1">
        <v>500</v>
      </c>
      <c r="T75" s="1">
        <v>0</v>
      </c>
      <c r="U75" s="7">
        <f>SUM(P75:T75)</f>
        <v>1281</v>
      </c>
      <c r="V75" s="117">
        <f>O75-U75</f>
        <v>6414</v>
      </c>
      <c r="W75" s="3">
        <f>ROUND((I75/12)/J75*(K75),0)</f>
        <v>641</v>
      </c>
      <c r="X75" s="26">
        <f>V75+W75</f>
        <v>7055</v>
      </c>
      <c r="Y75" s="5"/>
      <c r="Z75" s="5">
        <f>ROUND(IF(($L75)&gt;15000,15000,IF(($L75)&lt;=15000,($L75))),0)</f>
        <v>5386</v>
      </c>
      <c r="AA75" s="5">
        <f>ROUND(Z75*13.36%,0)</f>
        <v>720</v>
      </c>
      <c r="AB75" s="5">
        <f>ROUND($I75/$J75*($K75),0)</f>
        <v>7695</v>
      </c>
      <c r="AC75" s="5">
        <f>ROUNDUP(AB75*4.75%,0)</f>
        <v>366</v>
      </c>
      <c r="AD75" s="35">
        <f>O75+W75+AA75+AC75</f>
        <v>9422</v>
      </c>
    </row>
    <row r="76" spans="1:30">
      <c r="A76" s="33"/>
      <c r="B76" s="49"/>
      <c r="C76" s="49"/>
      <c r="D76" s="19"/>
      <c r="E76" s="34"/>
      <c r="F76" s="1"/>
      <c r="G76" s="1"/>
      <c r="H76" s="1"/>
      <c r="I76" s="2"/>
      <c r="J76" s="3"/>
      <c r="K76" s="8"/>
      <c r="L76" s="1"/>
      <c r="M76" s="1"/>
      <c r="N76" s="1"/>
      <c r="O76" s="4"/>
      <c r="P76" s="5"/>
      <c r="Q76" s="5"/>
      <c r="R76" s="6"/>
      <c r="S76" s="1"/>
      <c r="T76" s="1"/>
      <c r="U76" s="7"/>
      <c r="V76" s="117"/>
      <c r="W76" s="3"/>
      <c r="X76" s="26"/>
      <c r="Y76" s="5"/>
      <c r="Z76" s="5"/>
      <c r="AA76" s="5"/>
      <c r="AB76" s="5"/>
      <c r="AC76" s="5"/>
      <c r="AD76" s="36"/>
    </row>
    <row r="77" spans="1:30">
      <c r="A77" s="25"/>
      <c r="B77" s="94"/>
      <c r="C77" s="94"/>
      <c r="D77" s="25"/>
      <c r="E77" s="9"/>
      <c r="F77" s="10"/>
      <c r="G77" s="10"/>
      <c r="H77" s="10"/>
      <c r="I77" s="10"/>
      <c r="J77" s="10"/>
      <c r="K77" s="8">
        <f>SUM(K75:K76)</f>
        <v>30</v>
      </c>
      <c r="L77" s="10">
        <f>SUM(L75:L76)</f>
        <v>5386.1538461538466</v>
      </c>
      <c r="M77" s="10">
        <f>SUM(M75:M76)</f>
        <v>2308.8461538461538</v>
      </c>
      <c r="N77" s="10"/>
      <c r="O77" s="10">
        <f t="shared" ref="O77:AD77" si="148">SUM(O75:O76)</f>
        <v>7695</v>
      </c>
      <c r="P77" s="10">
        <f t="shared" si="148"/>
        <v>646</v>
      </c>
      <c r="Q77" s="10">
        <f t="shared" si="148"/>
        <v>135</v>
      </c>
      <c r="R77" s="10">
        <f t="shared" si="148"/>
        <v>0</v>
      </c>
      <c r="S77" s="10">
        <f t="shared" si="148"/>
        <v>500</v>
      </c>
      <c r="T77" s="10">
        <f t="shared" si="148"/>
        <v>0</v>
      </c>
      <c r="U77" s="10">
        <f t="shared" si="148"/>
        <v>1281</v>
      </c>
      <c r="V77" s="118">
        <f t="shared" si="148"/>
        <v>6414</v>
      </c>
      <c r="W77" s="10">
        <f t="shared" si="148"/>
        <v>641</v>
      </c>
      <c r="X77" s="10">
        <f t="shared" si="148"/>
        <v>7055</v>
      </c>
      <c r="Y77" s="10">
        <f t="shared" si="148"/>
        <v>0</v>
      </c>
      <c r="Z77" s="10">
        <f t="shared" si="148"/>
        <v>5386</v>
      </c>
      <c r="AA77" s="10">
        <f t="shared" si="148"/>
        <v>720</v>
      </c>
      <c r="AB77" s="10">
        <f t="shared" si="148"/>
        <v>7695</v>
      </c>
      <c r="AC77" s="10">
        <f t="shared" si="148"/>
        <v>366</v>
      </c>
      <c r="AD77" s="37">
        <f t="shared" si="148"/>
        <v>9422</v>
      </c>
    </row>
    <row r="78" spans="1:30" ht="18.75">
      <c r="A78" s="119" t="s">
        <v>42</v>
      </c>
      <c r="B78" s="119"/>
      <c r="C78" s="114"/>
      <c r="D78" s="120" t="s">
        <v>70</v>
      </c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0"/>
      <c r="P78" s="120"/>
      <c r="Q78" s="120"/>
      <c r="R78" s="120"/>
      <c r="S78" s="120"/>
      <c r="T78" s="120"/>
      <c r="U78" s="120"/>
      <c r="V78" s="120"/>
      <c r="W78" s="120"/>
      <c r="X78" s="120"/>
      <c r="Y78" s="120"/>
      <c r="Z78" s="120"/>
      <c r="AA78" s="120"/>
      <c r="AB78" s="120"/>
      <c r="AC78" s="120"/>
      <c r="AD78" s="120"/>
    </row>
    <row r="79" spans="1:30">
      <c r="A79" s="33">
        <v>1</v>
      </c>
      <c r="B79" s="49" t="s">
        <v>171</v>
      </c>
      <c r="C79" s="113" t="s">
        <v>161</v>
      </c>
      <c r="D79" s="19" t="s">
        <v>226</v>
      </c>
      <c r="E79" s="34" t="s">
        <v>34</v>
      </c>
      <c r="F79" s="1">
        <v>2700</v>
      </c>
      <c r="G79" s="1">
        <v>2210</v>
      </c>
      <c r="H79" s="1"/>
      <c r="I79" s="2">
        <f>F79+G79+H79</f>
        <v>4910</v>
      </c>
      <c r="J79" s="3">
        <v>26</v>
      </c>
      <c r="K79" s="8">
        <v>26</v>
      </c>
      <c r="L79" s="1">
        <f t="shared" ref="L79" si="149">F79/J79*K79</f>
        <v>2700</v>
      </c>
      <c r="M79" s="1">
        <f t="shared" ref="M79" si="150">G79/J79*K79</f>
        <v>2210</v>
      </c>
      <c r="N79" s="1">
        <f>H79/$J79*$K79</f>
        <v>0</v>
      </c>
      <c r="O79" s="4">
        <f>ROUND(L79+M79+N79,0)</f>
        <v>4910</v>
      </c>
      <c r="P79" s="5">
        <f>ROUND(Z79*12%,0)</f>
        <v>324</v>
      </c>
      <c r="Q79" s="5">
        <f>ROUNDUP(AB79*1.75%,0)</f>
        <v>86</v>
      </c>
      <c r="R79" s="6">
        <f>IF(O79&gt;40000,200,IF(O79&gt;25000,150,IF(O79&gt;15000,130,IF(O79&gt;10000,110,IF(O79&gt;8500,0,)))))</f>
        <v>0</v>
      </c>
      <c r="S79" s="1">
        <v>0</v>
      </c>
      <c r="T79" s="1">
        <v>0</v>
      </c>
      <c r="U79" s="7">
        <f>SUM(P79:T79)</f>
        <v>410</v>
      </c>
      <c r="V79" s="117">
        <f>O79-U79</f>
        <v>4500</v>
      </c>
      <c r="W79" s="3">
        <f>ROUND((I79/12)/J79*(K79),0)</f>
        <v>409</v>
      </c>
      <c r="X79" s="26">
        <f>V79+W79</f>
        <v>4909</v>
      </c>
      <c r="Y79" s="5"/>
      <c r="Z79" s="5">
        <f>ROUND(IF(($L79)&gt;15000,15000,IF(($L79)&lt;=15000,($L79))),0)</f>
        <v>2700</v>
      </c>
      <c r="AA79" s="5">
        <f>ROUND(Z79*13.36%,0)</f>
        <v>361</v>
      </c>
      <c r="AB79" s="5">
        <f>ROUND($I79/$J79*($K79),0)</f>
        <v>4910</v>
      </c>
      <c r="AC79" s="5">
        <f>ROUNDUP(AB79*4.75%,0)</f>
        <v>234</v>
      </c>
      <c r="AD79" s="35">
        <f>O79+W79+AA79+AC79</f>
        <v>5914</v>
      </c>
    </row>
    <row r="80" spans="1:30">
      <c r="A80" s="33"/>
      <c r="B80" s="49"/>
      <c r="C80" s="49"/>
      <c r="D80" s="19"/>
      <c r="E80" s="34"/>
      <c r="F80" s="1"/>
      <c r="G80" s="1"/>
      <c r="H80" s="1"/>
      <c r="I80" s="2"/>
      <c r="J80" s="3"/>
      <c r="K80" s="8"/>
      <c r="L80" s="1"/>
      <c r="M80" s="1"/>
      <c r="N80" s="1"/>
      <c r="O80" s="4"/>
      <c r="P80" s="5"/>
      <c r="Q80" s="5"/>
      <c r="R80" s="6"/>
      <c r="S80" s="1"/>
      <c r="T80" s="1"/>
      <c r="U80" s="7"/>
      <c r="V80" s="117"/>
      <c r="W80" s="3"/>
      <c r="X80" s="26"/>
      <c r="Y80" s="5"/>
      <c r="Z80" s="5"/>
      <c r="AA80" s="5"/>
      <c r="AB80" s="5"/>
      <c r="AC80" s="5"/>
      <c r="AD80" s="36"/>
    </row>
    <row r="81" spans="1:30">
      <c r="A81" s="25"/>
      <c r="B81" s="94"/>
      <c r="C81" s="94"/>
      <c r="D81" s="25"/>
      <c r="E81" s="9"/>
      <c r="F81" s="10"/>
      <c r="G81" s="10"/>
      <c r="H81" s="10"/>
      <c r="I81" s="10"/>
      <c r="J81" s="10"/>
      <c r="K81" s="8">
        <f>SUM(K79:K80)</f>
        <v>26</v>
      </c>
      <c r="L81" s="10">
        <f>SUM(L79:L80)</f>
        <v>2700</v>
      </c>
      <c r="M81" s="10">
        <f>SUM(M79:M80)</f>
        <v>2210</v>
      </c>
      <c r="N81" s="10"/>
      <c r="O81" s="10">
        <f t="shared" ref="O81:AD81" si="151">SUM(O79:O80)</f>
        <v>4910</v>
      </c>
      <c r="P81" s="10">
        <f t="shared" si="151"/>
        <v>324</v>
      </c>
      <c r="Q81" s="10">
        <f t="shared" si="151"/>
        <v>86</v>
      </c>
      <c r="R81" s="10">
        <f t="shared" si="151"/>
        <v>0</v>
      </c>
      <c r="S81" s="10">
        <f t="shared" si="151"/>
        <v>0</v>
      </c>
      <c r="T81" s="10">
        <f t="shared" si="151"/>
        <v>0</v>
      </c>
      <c r="U81" s="10">
        <f t="shared" si="151"/>
        <v>410</v>
      </c>
      <c r="V81" s="118">
        <f t="shared" si="151"/>
        <v>4500</v>
      </c>
      <c r="W81" s="10">
        <f t="shared" si="151"/>
        <v>409</v>
      </c>
      <c r="X81" s="10">
        <f t="shared" si="151"/>
        <v>4909</v>
      </c>
      <c r="Y81" s="10">
        <f t="shared" si="151"/>
        <v>0</v>
      </c>
      <c r="Z81" s="10">
        <f t="shared" si="151"/>
        <v>2700</v>
      </c>
      <c r="AA81" s="10">
        <f t="shared" si="151"/>
        <v>361</v>
      </c>
      <c r="AB81" s="10">
        <f t="shared" si="151"/>
        <v>4910</v>
      </c>
      <c r="AC81" s="10">
        <f t="shared" si="151"/>
        <v>234</v>
      </c>
      <c r="AD81" s="37">
        <f t="shared" si="151"/>
        <v>5914</v>
      </c>
    </row>
    <row r="82" spans="1:30">
      <c r="A82" s="33">
        <v>1</v>
      </c>
      <c r="B82" s="49" t="s">
        <v>172</v>
      </c>
      <c r="C82" s="113" t="s">
        <v>161</v>
      </c>
      <c r="D82" s="19" t="s">
        <v>227</v>
      </c>
      <c r="E82" s="34" t="s">
        <v>24</v>
      </c>
      <c r="F82" s="1">
        <v>4668</v>
      </c>
      <c r="G82" s="1">
        <v>2001</v>
      </c>
      <c r="H82" s="1"/>
      <c r="I82" s="2">
        <f>F82+G82+H82</f>
        <v>6669</v>
      </c>
      <c r="J82" s="3">
        <v>26</v>
      </c>
      <c r="K82" s="8">
        <v>26</v>
      </c>
      <c r="L82" s="1">
        <f t="shared" ref="L82" si="152">F82/J82*K82</f>
        <v>4668</v>
      </c>
      <c r="M82" s="1">
        <f t="shared" ref="M82" si="153">G82/J82*K82</f>
        <v>2001.0000000000002</v>
      </c>
      <c r="N82" s="1">
        <f>H82/$J82*$K82</f>
        <v>0</v>
      </c>
      <c r="O82" s="4">
        <f>ROUND(L82+M82+N82,0)</f>
        <v>6669</v>
      </c>
      <c r="P82" s="5">
        <f>ROUND(Z82*12%,0)</f>
        <v>560</v>
      </c>
      <c r="Q82" s="5">
        <f>ROUNDUP(AB82*1.75%,0)</f>
        <v>117</v>
      </c>
      <c r="R82" s="6">
        <f>IF(O82&gt;40000,200,IF(O82&gt;25000,150,IF(O82&gt;15000,130,IF(O82&gt;10000,110,IF(O82&gt;8500,0,)))))</f>
        <v>0</v>
      </c>
      <c r="S82" s="1">
        <v>0</v>
      </c>
      <c r="T82" s="1">
        <v>0</v>
      </c>
      <c r="U82" s="7">
        <f>SUM(P82:T82)</f>
        <v>677</v>
      </c>
      <c r="V82" s="117">
        <f>O82-U82</f>
        <v>5992</v>
      </c>
      <c r="W82" s="3">
        <f>ROUND((I82/12)/J82*(K82),0)</f>
        <v>556</v>
      </c>
      <c r="X82" s="26">
        <f>V82+W82</f>
        <v>6548</v>
      </c>
      <c r="Y82" s="5"/>
      <c r="Z82" s="5">
        <f>ROUND(IF(($L82)&gt;15000,15000,IF(($L82)&lt;=15000,($L82))),0)</f>
        <v>4668</v>
      </c>
      <c r="AA82" s="5">
        <f>ROUND(Z82*13.36%,0)</f>
        <v>624</v>
      </c>
      <c r="AB82" s="5">
        <f>ROUND($I82/$J82*($K82),0)</f>
        <v>6669</v>
      </c>
      <c r="AC82" s="5">
        <f>ROUNDUP(AB82*4.75%,0)</f>
        <v>317</v>
      </c>
      <c r="AD82" s="35">
        <f>O82+W82+AA82+AC82</f>
        <v>8166</v>
      </c>
    </row>
    <row r="83" spans="1:30">
      <c r="A83" s="33"/>
      <c r="B83" s="49"/>
      <c r="C83" s="49"/>
      <c r="D83" s="19"/>
      <c r="E83" s="34"/>
      <c r="F83" s="1"/>
      <c r="G83" s="1"/>
      <c r="H83" s="1"/>
      <c r="I83" s="2"/>
      <c r="J83" s="3"/>
      <c r="K83" s="8"/>
      <c r="L83" s="1"/>
      <c r="M83" s="1"/>
      <c r="N83" s="1"/>
      <c r="O83" s="4"/>
      <c r="P83" s="5"/>
      <c r="Q83" s="5"/>
      <c r="R83" s="6"/>
      <c r="S83" s="1"/>
      <c r="T83" s="1"/>
      <c r="U83" s="7"/>
      <c r="V83" s="117"/>
      <c r="W83" s="3"/>
      <c r="X83" s="26"/>
      <c r="Y83" s="5"/>
      <c r="Z83" s="5"/>
      <c r="AA83" s="5"/>
      <c r="AB83" s="5"/>
      <c r="AC83" s="5"/>
      <c r="AD83" s="36"/>
    </row>
    <row r="84" spans="1:30">
      <c r="A84" s="25"/>
      <c r="B84" s="94"/>
      <c r="C84" s="94"/>
      <c r="D84" s="25"/>
      <c r="E84" s="9"/>
      <c r="F84" s="10"/>
      <c r="G84" s="10"/>
      <c r="H84" s="10"/>
      <c r="I84" s="10"/>
      <c r="J84" s="10"/>
      <c r="K84" s="8">
        <f>SUM(K82:K83)</f>
        <v>26</v>
      </c>
      <c r="L84" s="10">
        <f>SUM(L82:L83)</f>
        <v>4668</v>
      </c>
      <c r="M84" s="10">
        <f>SUM(M82:M83)</f>
        <v>2001.0000000000002</v>
      </c>
      <c r="N84" s="10"/>
      <c r="O84" s="10">
        <f t="shared" ref="O84:AD84" si="154">SUM(O82:O83)</f>
        <v>6669</v>
      </c>
      <c r="P84" s="10">
        <f t="shared" si="154"/>
        <v>560</v>
      </c>
      <c r="Q84" s="10">
        <f t="shared" si="154"/>
        <v>117</v>
      </c>
      <c r="R84" s="10">
        <f t="shared" si="154"/>
        <v>0</v>
      </c>
      <c r="S84" s="10">
        <f t="shared" si="154"/>
        <v>0</v>
      </c>
      <c r="T84" s="10">
        <f t="shared" si="154"/>
        <v>0</v>
      </c>
      <c r="U84" s="10">
        <f t="shared" si="154"/>
        <v>677</v>
      </c>
      <c r="V84" s="118">
        <f t="shared" si="154"/>
        <v>5992</v>
      </c>
      <c r="W84" s="10">
        <f t="shared" si="154"/>
        <v>556</v>
      </c>
      <c r="X84" s="10">
        <f t="shared" si="154"/>
        <v>6548</v>
      </c>
      <c r="Y84" s="10">
        <f t="shared" si="154"/>
        <v>0</v>
      </c>
      <c r="Z84" s="10">
        <f t="shared" si="154"/>
        <v>4668</v>
      </c>
      <c r="AA84" s="10">
        <f t="shared" si="154"/>
        <v>624</v>
      </c>
      <c r="AB84" s="10">
        <f t="shared" si="154"/>
        <v>6669</v>
      </c>
      <c r="AC84" s="10">
        <f t="shared" si="154"/>
        <v>317</v>
      </c>
      <c r="AD84" s="37">
        <f t="shared" si="154"/>
        <v>8166</v>
      </c>
    </row>
    <row r="85" spans="1:30" ht="18.75">
      <c r="A85" s="119" t="s">
        <v>42</v>
      </c>
      <c r="B85" s="119"/>
      <c r="C85" s="114"/>
      <c r="D85" s="120" t="s">
        <v>75</v>
      </c>
      <c r="E85" s="120"/>
      <c r="F85" s="120"/>
      <c r="G85" s="120"/>
      <c r="H85" s="120"/>
      <c r="I85" s="120"/>
      <c r="J85" s="120"/>
      <c r="K85" s="120"/>
      <c r="L85" s="120"/>
      <c r="M85" s="120"/>
      <c r="N85" s="120"/>
      <c r="O85" s="120"/>
      <c r="P85" s="120"/>
      <c r="Q85" s="120"/>
      <c r="R85" s="120"/>
      <c r="S85" s="120"/>
      <c r="T85" s="120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</row>
    <row r="86" spans="1:30">
      <c r="A86" s="33">
        <v>1</v>
      </c>
      <c r="B86" s="49" t="s">
        <v>231</v>
      </c>
      <c r="C86" s="112" t="s">
        <v>145</v>
      </c>
      <c r="D86" s="19" t="s">
        <v>232</v>
      </c>
      <c r="E86" s="34" t="s">
        <v>24</v>
      </c>
      <c r="F86" s="1">
        <v>4627</v>
      </c>
      <c r="G86" s="1">
        <v>3084</v>
      </c>
      <c r="H86" s="1"/>
      <c r="I86" s="2">
        <f>F86+G86+H86</f>
        <v>7711</v>
      </c>
      <c r="J86" s="3">
        <v>26</v>
      </c>
      <c r="K86" s="8">
        <v>27</v>
      </c>
      <c r="L86" s="1">
        <f t="shared" ref="L86" si="155">F86/J86*K86</f>
        <v>4804.9615384615381</v>
      </c>
      <c r="M86" s="1">
        <f t="shared" ref="M86" si="156">G86/J86*K86</f>
        <v>3202.6153846153848</v>
      </c>
      <c r="N86" s="1">
        <f>H86/$J86*$K86</f>
        <v>0</v>
      </c>
      <c r="O86" s="4">
        <f>ROUND(L86+M86+N86,0)</f>
        <v>8008</v>
      </c>
      <c r="P86" s="5">
        <f>ROUND(Z86*12%,0)</f>
        <v>577</v>
      </c>
      <c r="Q86" s="5">
        <f>ROUNDUP(AB86*1.75%,0)</f>
        <v>141</v>
      </c>
      <c r="R86" s="6">
        <f>IF(O86&gt;40000,200,IF(O86&gt;25000,150,IF(O86&gt;15000,130,IF(O86&gt;10000,110,IF(O86&gt;8500,0,)))))</f>
        <v>0</v>
      </c>
      <c r="S86" s="1">
        <v>0</v>
      </c>
      <c r="T86" s="1">
        <v>0</v>
      </c>
      <c r="U86" s="7">
        <f>SUM(P86:T86)</f>
        <v>718</v>
      </c>
      <c r="V86" s="117">
        <f>O86-U86</f>
        <v>7290</v>
      </c>
      <c r="W86" s="3">
        <f>ROUND((I86/12)/J86*(K86),0)</f>
        <v>667</v>
      </c>
      <c r="X86" s="26">
        <f>V86+W86</f>
        <v>7957</v>
      </c>
      <c r="Y86" s="5"/>
      <c r="Z86" s="5">
        <f>ROUND(IF(($L86)&gt;15000,15000,IF(($L86)&lt;=15000,($L86))),0)</f>
        <v>4805</v>
      </c>
      <c r="AA86" s="5">
        <f>ROUND(Z86*13.36%,0)</f>
        <v>642</v>
      </c>
      <c r="AB86" s="5">
        <f>ROUND($I86/$J86*($K86),0)</f>
        <v>8008</v>
      </c>
      <c r="AC86" s="5">
        <f>ROUNDUP(AB86*4.75%,0)</f>
        <v>381</v>
      </c>
      <c r="AD86" s="35">
        <f>O86+W86+AA86+AC86</f>
        <v>9698</v>
      </c>
    </row>
    <row r="87" spans="1:30">
      <c r="A87" s="33"/>
      <c r="B87" s="49"/>
      <c r="C87" s="49"/>
      <c r="D87" s="19"/>
      <c r="E87" s="34"/>
      <c r="F87" s="1"/>
      <c r="G87" s="1"/>
      <c r="H87" s="1"/>
      <c r="I87" s="2"/>
      <c r="J87" s="3"/>
      <c r="K87" s="8"/>
      <c r="L87" s="1"/>
      <c r="M87" s="1"/>
      <c r="N87" s="1"/>
      <c r="O87" s="4"/>
      <c r="P87" s="5"/>
      <c r="Q87" s="5"/>
      <c r="R87" s="6"/>
      <c r="S87" s="1"/>
      <c r="T87" s="1"/>
      <c r="U87" s="7"/>
      <c r="V87" s="117"/>
      <c r="W87" s="3"/>
      <c r="X87" s="26"/>
      <c r="Y87" s="5"/>
      <c r="Z87" s="5"/>
      <c r="AA87" s="5"/>
      <c r="AB87" s="5"/>
      <c r="AC87" s="5"/>
      <c r="AD87" s="36"/>
    </row>
    <row r="88" spans="1:30">
      <c r="A88" s="25"/>
      <c r="B88" s="94"/>
      <c r="C88" s="94"/>
      <c r="D88" s="25"/>
      <c r="E88" s="9"/>
      <c r="F88" s="10"/>
      <c r="G88" s="10"/>
      <c r="H88" s="10"/>
      <c r="I88" s="10"/>
      <c r="J88" s="10"/>
      <c r="K88" s="8">
        <f>SUM(K86:K87)</f>
        <v>27</v>
      </c>
      <c r="L88" s="10">
        <f>SUM(L86:L87)</f>
        <v>4804.9615384615381</v>
      </c>
      <c r="M88" s="10">
        <f>SUM(M86:M87)</f>
        <v>3202.6153846153848</v>
      </c>
      <c r="N88" s="10"/>
      <c r="O88" s="10">
        <f t="shared" ref="O88:AD88" si="157">SUM(O86:O87)</f>
        <v>8008</v>
      </c>
      <c r="P88" s="10">
        <f t="shared" si="157"/>
        <v>577</v>
      </c>
      <c r="Q88" s="10">
        <f t="shared" si="157"/>
        <v>141</v>
      </c>
      <c r="R88" s="10">
        <f t="shared" si="157"/>
        <v>0</v>
      </c>
      <c r="S88" s="10">
        <f t="shared" si="157"/>
        <v>0</v>
      </c>
      <c r="T88" s="10">
        <f t="shared" si="157"/>
        <v>0</v>
      </c>
      <c r="U88" s="10">
        <f t="shared" si="157"/>
        <v>718</v>
      </c>
      <c r="V88" s="118">
        <f t="shared" si="157"/>
        <v>7290</v>
      </c>
      <c r="W88" s="10">
        <f t="shared" si="157"/>
        <v>667</v>
      </c>
      <c r="X88" s="10">
        <f t="shared" si="157"/>
        <v>7957</v>
      </c>
      <c r="Y88" s="10">
        <f t="shared" si="157"/>
        <v>0</v>
      </c>
      <c r="Z88" s="10">
        <f t="shared" si="157"/>
        <v>4805</v>
      </c>
      <c r="AA88" s="10">
        <f t="shared" si="157"/>
        <v>642</v>
      </c>
      <c r="AB88" s="10">
        <f t="shared" si="157"/>
        <v>8008</v>
      </c>
      <c r="AC88" s="10">
        <f t="shared" si="157"/>
        <v>381</v>
      </c>
      <c r="AD88" s="37">
        <f t="shared" si="157"/>
        <v>9698</v>
      </c>
    </row>
    <row r="89" spans="1:30" ht="18.75">
      <c r="A89" s="119" t="s">
        <v>42</v>
      </c>
      <c r="B89" s="119"/>
      <c r="C89" s="114"/>
      <c r="D89" s="120" t="s">
        <v>76</v>
      </c>
      <c r="E89" s="120"/>
      <c r="F89" s="120"/>
      <c r="G89" s="120"/>
      <c r="H89" s="120"/>
      <c r="I89" s="120"/>
      <c r="J89" s="120"/>
      <c r="K89" s="120"/>
      <c r="L89" s="120"/>
      <c r="M89" s="120"/>
      <c r="N89" s="120"/>
      <c r="O89" s="120"/>
      <c r="P89" s="120"/>
      <c r="Q89" s="120"/>
      <c r="R89" s="120"/>
      <c r="S89" s="120"/>
      <c r="T89" s="120"/>
      <c r="U89" s="120"/>
      <c r="V89" s="120"/>
      <c r="W89" s="120"/>
      <c r="X89" s="120"/>
      <c r="Y89" s="120"/>
      <c r="Z89" s="120"/>
      <c r="AA89" s="120"/>
      <c r="AB89" s="120"/>
      <c r="AC89" s="120"/>
      <c r="AD89" s="120"/>
    </row>
    <row r="90" spans="1:30">
      <c r="A90" s="33">
        <v>1</v>
      </c>
      <c r="B90" s="49" t="s">
        <v>173</v>
      </c>
      <c r="C90" s="112" t="s">
        <v>146</v>
      </c>
      <c r="D90" s="19" t="s">
        <v>228</v>
      </c>
      <c r="E90" s="34" t="s">
        <v>34</v>
      </c>
      <c r="F90" s="1">
        <v>4627</v>
      </c>
      <c r="G90" s="1">
        <v>3084</v>
      </c>
      <c r="H90" s="1"/>
      <c r="I90" s="2">
        <f>F90+G90+H90</f>
        <v>7711</v>
      </c>
      <c r="J90" s="3">
        <v>26</v>
      </c>
      <c r="K90" s="8">
        <v>25</v>
      </c>
      <c r="L90" s="1">
        <f t="shared" ref="L90" si="158">F90/J90*K90</f>
        <v>4449.038461538461</v>
      </c>
      <c r="M90" s="1">
        <f t="shared" ref="M90" si="159">G90/J90*K90</f>
        <v>2965.3846153846152</v>
      </c>
      <c r="N90" s="1">
        <f>H90/$J90*$K90</f>
        <v>0</v>
      </c>
      <c r="O90" s="4">
        <f>ROUND(L90+M90+N90,0)</f>
        <v>7414</v>
      </c>
      <c r="P90" s="5">
        <f>ROUND(Z90*12%,0)</f>
        <v>534</v>
      </c>
      <c r="Q90" s="5">
        <f>ROUNDUP(AB90*1.75%,0)</f>
        <v>130</v>
      </c>
      <c r="R90" s="6">
        <f>IF(O90&gt;40000,200,IF(O90&gt;25000,150,IF(O90&gt;15000,130,IF(O90&gt;10000,110,IF(O90&gt;8500,0,)))))</f>
        <v>0</v>
      </c>
      <c r="S90" s="1">
        <v>0</v>
      </c>
      <c r="T90" s="1">
        <v>0</v>
      </c>
      <c r="U90" s="7">
        <f>SUM(P90:T90)</f>
        <v>664</v>
      </c>
      <c r="V90" s="117">
        <f>O90-U90</f>
        <v>6750</v>
      </c>
      <c r="W90" s="3">
        <f>ROUND((I90/12)/J90*(K90),0)</f>
        <v>618</v>
      </c>
      <c r="X90" s="26">
        <f>V90+W90</f>
        <v>7368</v>
      </c>
      <c r="Y90" s="5"/>
      <c r="Z90" s="5">
        <f>ROUND(IF(($L90)&gt;15000,15000,IF(($L90)&lt;=15000,($L90))),0)</f>
        <v>4449</v>
      </c>
      <c r="AA90" s="5">
        <f>ROUND(Z90*13.36%,0)</f>
        <v>594</v>
      </c>
      <c r="AB90" s="5">
        <f>ROUND($I90/$J90*($K90),0)</f>
        <v>7414</v>
      </c>
      <c r="AC90" s="5">
        <f>ROUNDUP(AB90*4.75%,0)</f>
        <v>353</v>
      </c>
      <c r="AD90" s="35">
        <f>O90+W90+AA90+AC90</f>
        <v>8979</v>
      </c>
    </row>
    <row r="91" spans="1:30">
      <c r="A91" s="33"/>
      <c r="B91" s="49"/>
      <c r="C91" s="49"/>
      <c r="D91" s="19"/>
      <c r="E91" s="34"/>
      <c r="F91" s="1"/>
      <c r="G91" s="1"/>
      <c r="H91" s="1"/>
      <c r="I91" s="2"/>
      <c r="J91" s="3"/>
      <c r="K91" s="8"/>
      <c r="L91" s="1"/>
      <c r="M91" s="1"/>
      <c r="N91" s="1"/>
      <c r="O91" s="4"/>
      <c r="P91" s="5"/>
      <c r="Q91" s="5"/>
      <c r="R91" s="6"/>
      <c r="S91" s="1"/>
      <c r="T91" s="1"/>
      <c r="U91" s="7"/>
      <c r="V91" s="117"/>
      <c r="W91" s="3"/>
      <c r="X91" s="26"/>
      <c r="Y91" s="5"/>
      <c r="Z91" s="5"/>
      <c r="AA91" s="5"/>
      <c r="AB91" s="5"/>
      <c r="AC91" s="5"/>
      <c r="AD91" s="36"/>
    </row>
    <row r="92" spans="1:30">
      <c r="A92" s="25"/>
      <c r="B92" s="94"/>
      <c r="C92" s="94"/>
      <c r="D92" s="25"/>
      <c r="E92" s="9"/>
      <c r="F92" s="10"/>
      <c r="G92" s="10"/>
      <c r="H92" s="10"/>
      <c r="I92" s="10"/>
      <c r="J92" s="10"/>
      <c r="K92" s="8">
        <f>SUM(K90:K91)</f>
        <v>25</v>
      </c>
      <c r="L92" s="10">
        <f>SUM(L90:L91)</f>
        <v>4449.038461538461</v>
      </c>
      <c r="M92" s="10">
        <f>SUM(M90:M91)</f>
        <v>2965.3846153846152</v>
      </c>
      <c r="N92" s="10"/>
      <c r="O92" s="10">
        <f t="shared" ref="O92:AD92" si="160">SUM(O90:O91)</f>
        <v>7414</v>
      </c>
      <c r="P92" s="10">
        <f t="shared" si="160"/>
        <v>534</v>
      </c>
      <c r="Q92" s="10">
        <f t="shared" si="160"/>
        <v>130</v>
      </c>
      <c r="R92" s="10">
        <f t="shared" si="160"/>
        <v>0</v>
      </c>
      <c r="S92" s="10">
        <f t="shared" si="160"/>
        <v>0</v>
      </c>
      <c r="T92" s="10">
        <f t="shared" si="160"/>
        <v>0</v>
      </c>
      <c r="U92" s="10">
        <f t="shared" si="160"/>
        <v>664</v>
      </c>
      <c r="V92" s="118">
        <f t="shared" si="160"/>
        <v>6750</v>
      </c>
      <c r="W92" s="10">
        <f t="shared" si="160"/>
        <v>618</v>
      </c>
      <c r="X92" s="10">
        <f t="shared" si="160"/>
        <v>7368</v>
      </c>
      <c r="Y92" s="10">
        <f t="shared" si="160"/>
        <v>0</v>
      </c>
      <c r="Z92" s="10">
        <f t="shared" si="160"/>
        <v>4449</v>
      </c>
      <c r="AA92" s="10">
        <f t="shared" si="160"/>
        <v>594</v>
      </c>
      <c r="AB92" s="10">
        <f t="shared" si="160"/>
        <v>7414</v>
      </c>
      <c r="AC92" s="10">
        <f t="shared" si="160"/>
        <v>353</v>
      </c>
      <c r="AD92" s="37">
        <f t="shared" si="160"/>
        <v>8979</v>
      </c>
    </row>
    <row r="93" spans="1:30" ht="18.75">
      <c r="A93" s="119" t="s">
        <v>42</v>
      </c>
      <c r="B93" s="119"/>
      <c r="C93" s="114"/>
      <c r="D93" s="120" t="s">
        <v>66</v>
      </c>
      <c r="E93" s="120"/>
      <c r="F93" s="120"/>
      <c r="G93" s="120"/>
      <c r="H93" s="120"/>
      <c r="I93" s="120"/>
      <c r="J93" s="120"/>
      <c r="K93" s="120"/>
      <c r="L93" s="120"/>
      <c r="M93" s="120"/>
      <c r="N93" s="120"/>
      <c r="O93" s="120"/>
      <c r="P93" s="120"/>
      <c r="Q93" s="120"/>
      <c r="R93" s="120"/>
      <c r="S93" s="120"/>
      <c r="T93" s="120"/>
      <c r="U93" s="120"/>
      <c r="V93" s="120"/>
      <c r="W93" s="120"/>
      <c r="X93" s="120"/>
      <c r="Y93" s="120"/>
      <c r="Z93" s="120"/>
      <c r="AA93" s="120"/>
      <c r="AB93" s="120"/>
      <c r="AC93" s="120"/>
      <c r="AD93" s="120"/>
    </row>
    <row r="94" spans="1:30">
      <c r="A94" s="33">
        <v>1</v>
      </c>
      <c r="B94" s="49" t="s">
        <v>174</v>
      </c>
      <c r="C94" s="112" t="s">
        <v>147</v>
      </c>
      <c r="D94" s="19" t="s">
        <v>234</v>
      </c>
      <c r="E94" s="34" t="s">
        <v>34</v>
      </c>
      <c r="F94" s="1">
        <v>7108</v>
      </c>
      <c r="G94" s="1">
        <v>92</v>
      </c>
      <c r="H94" s="1"/>
      <c r="I94" s="2">
        <f>F94+G94+H94</f>
        <v>7200</v>
      </c>
      <c r="J94" s="3">
        <v>26</v>
      </c>
      <c r="K94" s="8">
        <v>29</v>
      </c>
      <c r="L94" s="1">
        <f t="shared" ref="L94:L97" si="161">F94/J94*K94</f>
        <v>7928.1538461538457</v>
      </c>
      <c r="M94" s="1">
        <f t="shared" ref="M94:M97" si="162">G94/J94*K94</f>
        <v>102.61538461538461</v>
      </c>
      <c r="N94" s="1">
        <f>H94/$J94*$K94</f>
        <v>0</v>
      </c>
      <c r="O94" s="4">
        <f>ROUND(L94+M94+N94,0)</f>
        <v>8031</v>
      </c>
      <c r="P94" s="5">
        <f>ROUND(Z94*12%,0)</f>
        <v>951</v>
      </c>
      <c r="Q94" s="5">
        <f>ROUNDUP(AB94*1.75%,0)</f>
        <v>141</v>
      </c>
      <c r="R94" s="6">
        <f>IF(O94&gt;40000,200,IF(O94&gt;25000,150,IF(O94&gt;15000,130,IF(O94&gt;10000,110,IF(O94&gt;8500,0,)))))</f>
        <v>0</v>
      </c>
      <c r="S94" s="1">
        <v>0</v>
      </c>
      <c r="T94" s="1">
        <v>0</v>
      </c>
      <c r="U94" s="7">
        <f>SUM(P94:T94)</f>
        <v>1092</v>
      </c>
      <c r="V94" s="117">
        <f>O94-U94</f>
        <v>6939</v>
      </c>
      <c r="W94" s="3">
        <f>ROUND((I94/12)/J94*(K94),0)</f>
        <v>669</v>
      </c>
      <c r="X94" s="26">
        <f>V94+W94</f>
        <v>7608</v>
      </c>
      <c r="Y94" s="5"/>
      <c r="Z94" s="5">
        <f>ROUND(IF(($L94)&gt;15000,15000,IF(($L94)&lt;=15000,($L94))),0)</f>
        <v>7928</v>
      </c>
      <c r="AA94" s="5">
        <f>ROUND(Z94*13.36%,0)</f>
        <v>1059</v>
      </c>
      <c r="AB94" s="5">
        <f>ROUND($I94/$J94*($K94),0)</f>
        <v>8031</v>
      </c>
      <c r="AC94" s="5">
        <f>ROUNDUP(AB94*4.75%,0)</f>
        <v>382</v>
      </c>
      <c r="AD94" s="35">
        <f>O94+W94+AA94+AC94</f>
        <v>10141</v>
      </c>
    </row>
    <row r="95" spans="1:30">
      <c r="A95" s="33">
        <v>2</v>
      </c>
      <c r="B95" s="49" t="s">
        <v>175</v>
      </c>
      <c r="C95" s="112" t="s">
        <v>147</v>
      </c>
      <c r="D95" s="19" t="s">
        <v>235</v>
      </c>
      <c r="E95" s="34" t="s">
        <v>34</v>
      </c>
      <c r="F95" s="1">
        <v>7108</v>
      </c>
      <c r="G95" s="1">
        <v>92</v>
      </c>
      <c r="H95" s="1"/>
      <c r="I95" s="2">
        <f t="shared" ref="I95:I97" si="163">F95+G95+H95</f>
        <v>7200</v>
      </c>
      <c r="J95" s="3">
        <v>26</v>
      </c>
      <c r="K95" s="8">
        <v>31</v>
      </c>
      <c r="L95" s="1">
        <f t="shared" si="161"/>
        <v>8474.9230769230762</v>
      </c>
      <c r="M95" s="1">
        <f t="shared" si="162"/>
        <v>109.69230769230769</v>
      </c>
      <c r="N95" s="1">
        <f t="shared" ref="N95:N97" si="164">H95/$J95*$K95</f>
        <v>0</v>
      </c>
      <c r="O95" s="4">
        <f t="shared" ref="O95:O97" si="165">ROUND(L95+M95+N95,0)</f>
        <v>8585</v>
      </c>
      <c r="P95" s="5">
        <f t="shared" ref="P95:P97" si="166">ROUND(Z95*12%,0)</f>
        <v>1017</v>
      </c>
      <c r="Q95" s="5">
        <f t="shared" ref="Q95:Q97" si="167">ROUNDUP(AB95*1.75%,0)</f>
        <v>151</v>
      </c>
      <c r="R95" s="6">
        <f t="shared" ref="R95:R97" si="168">IF(O95&gt;40000,200,IF(O95&gt;25000,150,IF(O95&gt;15000,130,IF(O95&gt;10000,110,IF(O95&gt;8500,0,)))))</f>
        <v>0</v>
      </c>
      <c r="S95" s="1">
        <v>0</v>
      </c>
      <c r="T95" s="1">
        <v>0</v>
      </c>
      <c r="U95" s="7">
        <f t="shared" ref="U95:U96" si="169">SUM(P95:T95)</f>
        <v>1168</v>
      </c>
      <c r="V95" s="117">
        <f t="shared" ref="V95:V97" si="170">O95-U95</f>
        <v>7417</v>
      </c>
      <c r="W95" s="3">
        <f t="shared" ref="W95:W97" si="171">ROUND((I95/12)/J95*(K95),0)</f>
        <v>715</v>
      </c>
      <c r="X95" s="26">
        <f t="shared" ref="X95:X97" si="172">V95+W95</f>
        <v>8132</v>
      </c>
      <c r="Y95" s="5"/>
      <c r="Z95" s="5">
        <f t="shared" ref="Z95:Z97" si="173">ROUND(IF(($L95)&gt;15000,15000,IF(($L95)&lt;=15000,($L95))),0)</f>
        <v>8475</v>
      </c>
      <c r="AA95" s="5">
        <f t="shared" ref="AA95:AA97" si="174">ROUND(Z95*13.36%,0)</f>
        <v>1132</v>
      </c>
      <c r="AB95" s="5">
        <f t="shared" ref="AB95:AB97" si="175">ROUND($I95/$J95*($K95),0)</f>
        <v>8585</v>
      </c>
      <c r="AC95" s="5">
        <f t="shared" ref="AC95:AC97" si="176">ROUNDUP(AB95*4.75%,0)</f>
        <v>408</v>
      </c>
      <c r="AD95" s="35">
        <f t="shared" ref="AD95:AD97" si="177">O95+W95+AA95+AC95</f>
        <v>10840</v>
      </c>
    </row>
    <row r="96" spans="1:30">
      <c r="A96" s="33">
        <v>3</v>
      </c>
      <c r="B96" s="49" t="s">
        <v>176</v>
      </c>
      <c r="C96" s="112" t="s">
        <v>147</v>
      </c>
      <c r="D96" s="19" t="s">
        <v>236</v>
      </c>
      <c r="E96" s="34" t="s">
        <v>34</v>
      </c>
      <c r="F96" s="1">
        <v>7108</v>
      </c>
      <c r="G96" s="1">
        <v>92</v>
      </c>
      <c r="H96" s="1"/>
      <c r="I96" s="2">
        <f t="shared" si="163"/>
        <v>7200</v>
      </c>
      <c r="J96" s="3">
        <v>26</v>
      </c>
      <c r="K96" s="8">
        <v>29</v>
      </c>
      <c r="L96" s="1">
        <f t="shared" si="161"/>
        <v>7928.1538461538457</v>
      </c>
      <c r="M96" s="1">
        <f t="shared" si="162"/>
        <v>102.61538461538461</v>
      </c>
      <c r="N96" s="1">
        <f t="shared" si="164"/>
        <v>0</v>
      </c>
      <c r="O96" s="4">
        <f t="shared" si="165"/>
        <v>8031</v>
      </c>
      <c r="P96" s="5">
        <f t="shared" si="166"/>
        <v>951</v>
      </c>
      <c r="Q96" s="5">
        <f t="shared" si="167"/>
        <v>141</v>
      </c>
      <c r="R96" s="6">
        <f t="shared" si="168"/>
        <v>0</v>
      </c>
      <c r="S96" s="1">
        <v>0</v>
      </c>
      <c r="T96" s="1">
        <v>0</v>
      </c>
      <c r="U96" s="7">
        <f t="shared" si="169"/>
        <v>1092</v>
      </c>
      <c r="V96" s="117">
        <f t="shared" si="170"/>
        <v>6939</v>
      </c>
      <c r="W96" s="3">
        <f t="shared" si="171"/>
        <v>669</v>
      </c>
      <c r="X96" s="26">
        <f t="shared" si="172"/>
        <v>7608</v>
      </c>
      <c r="Y96" s="5"/>
      <c r="Z96" s="5">
        <f t="shared" si="173"/>
        <v>7928</v>
      </c>
      <c r="AA96" s="5">
        <f t="shared" si="174"/>
        <v>1059</v>
      </c>
      <c r="AB96" s="5">
        <f t="shared" si="175"/>
        <v>8031</v>
      </c>
      <c r="AC96" s="5">
        <f t="shared" si="176"/>
        <v>382</v>
      </c>
      <c r="AD96" s="35">
        <f t="shared" si="177"/>
        <v>10141</v>
      </c>
    </row>
    <row r="97" spans="1:30">
      <c r="A97" s="33">
        <v>4</v>
      </c>
      <c r="B97" s="49" t="s">
        <v>177</v>
      </c>
      <c r="C97" s="112" t="s">
        <v>147</v>
      </c>
      <c r="D97" s="19" t="s">
        <v>248</v>
      </c>
      <c r="E97" s="34" t="s">
        <v>34</v>
      </c>
      <c r="F97" s="1">
        <v>7108</v>
      </c>
      <c r="G97" s="1">
        <v>92</v>
      </c>
      <c r="H97" s="1"/>
      <c r="I97" s="2">
        <f t="shared" si="163"/>
        <v>7200</v>
      </c>
      <c r="J97" s="3">
        <v>26</v>
      </c>
      <c r="K97" s="8">
        <v>27</v>
      </c>
      <c r="L97" s="1">
        <f t="shared" si="161"/>
        <v>7381.3846153846143</v>
      </c>
      <c r="M97" s="1">
        <f t="shared" si="162"/>
        <v>95.538461538461533</v>
      </c>
      <c r="N97" s="1">
        <f t="shared" si="164"/>
        <v>0</v>
      </c>
      <c r="O97" s="4">
        <f t="shared" si="165"/>
        <v>7477</v>
      </c>
      <c r="P97" s="5">
        <f t="shared" si="166"/>
        <v>886</v>
      </c>
      <c r="Q97" s="5">
        <f t="shared" si="167"/>
        <v>131</v>
      </c>
      <c r="R97" s="6">
        <f t="shared" si="168"/>
        <v>0</v>
      </c>
      <c r="S97" s="1">
        <v>0</v>
      </c>
      <c r="T97" s="1">
        <v>0</v>
      </c>
      <c r="U97" s="7">
        <f t="shared" ref="U97" si="178">SUM(P97:T97)</f>
        <v>1017</v>
      </c>
      <c r="V97" s="117">
        <f t="shared" si="170"/>
        <v>6460</v>
      </c>
      <c r="W97" s="3">
        <f t="shared" si="171"/>
        <v>623</v>
      </c>
      <c r="X97" s="26">
        <f t="shared" si="172"/>
        <v>7083</v>
      </c>
      <c r="Y97" s="5"/>
      <c r="Z97" s="5">
        <f t="shared" si="173"/>
        <v>7381</v>
      </c>
      <c r="AA97" s="5">
        <f t="shared" si="174"/>
        <v>986</v>
      </c>
      <c r="AB97" s="5">
        <f t="shared" si="175"/>
        <v>7477</v>
      </c>
      <c r="AC97" s="5">
        <f t="shared" si="176"/>
        <v>356</v>
      </c>
      <c r="AD97" s="35">
        <f t="shared" si="177"/>
        <v>9442</v>
      </c>
    </row>
    <row r="98" spans="1:30">
      <c r="A98" s="33"/>
      <c r="B98" s="49"/>
      <c r="C98" s="49"/>
      <c r="D98" s="19"/>
      <c r="E98" s="34"/>
      <c r="F98" s="1"/>
      <c r="G98" s="1"/>
      <c r="H98" s="1"/>
      <c r="I98" s="2"/>
      <c r="J98" s="3"/>
      <c r="K98" s="8"/>
      <c r="L98" s="1"/>
      <c r="M98" s="1"/>
      <c r="N98" s="1"/>
      <c r="O98" s="4"/>
      <c r="P98" s="5"/>
      <c r="Q98" s="5"/>
      <c r="R98" s="6"/>
      <c r="S98" s="1"/>
      <c r="T98" s="1"/>
      <c r="U98" s="7"/>
      <c r="V98" s="117"/>
      <c r="W98" s="3"/>
      <c r="X98" s="26"/>
      <c r="Y98" s="5"/>
      <c r="Z98" s="5"/>
      <c r="AA98" s="5"/>
      <c r="AB98" s="5"/>
      <c r="AC98" s="5"/>
      <c r="AD98" s="36"/>
    </row>
    <row r="99" spans="1:30">
      <c r="A99" s="25"/>
      <c r="B99" s="94"/>
      <c r="C99" s="94"/>
      <c r="D99" s="25"/>
      <c r="E99" s="9"/>
      <c r="F99" s="10"/>
      <c r="G99" s="10"/>
      <c r="H99" s="10"/>
      <c r="I99" s="10"/>
      <c r="J99" s="10"/>
      <c r="K99" s="8">
        <f>SUM(K94:K98)</f>
        <v>116</v>
      </c>
      <c r="L99" s="10">
        <f>SUM(L94:L98)</f>
        <v>31712.615384615379</v>
      </c>
      <c r="M99" s="10">
        <f>SUM(M94:M98)</f>
        <v>410.46153846153845</v>
      </c>
      <c r="N99" s="10"/>
      <c r="O99" s="10">
        <f t="shared" ref="O99:AD99" si="179">SUM(O94:O98)</f>
        <v>32124</v>
      </c>
      <c r="P99" s="10">
        <f t="shared" si="179"/>
        <v>3805</v>
      </c>
      <c r="Q99" s="10">
        <f t="shared" si="179"/>
        <v>564</v>
      </c>
      <c r="R99" s="10">
        <f t="shared" si="179"/>
        <v>0</v>
      </c>
      <c r="S99" s="10">
        <f t="shared" si="179"/>
        <v>0</v>
      </c>
      <c r="T99" s="10">
        <f t="shared" si="179"/>
        <v>0</v>
      </c>
      <c r="U99" s="10">
        <f t="shared" si="179"/>
        <v>4369</v>
      </c>
      <c r="V99" s="118">
        <f t="shared" si="179"/>
        <v>27755</v>
      </c>
      <c r="W99" s="10">
        <f t="shared" si="179"/>
        <v>2676</v>
      </c>
      <c r="X99" s="10">
        <f t="shared" si="179"/>
        <v>30431</v>
      </c>
      <c r="Y99" s="10">
        <f t="shared" si="179"/>
        <v>0</v>
      </c>
      <c r="Z99" s="10">
        <f t="shared" si="179"/>
        <v>31712</v>
      </c>
      <c r="AA99" s="10">
        <f t="shared" si="179"/>
        <v>4236</v>
      </c>
      <c r="AB99" s="10">
        <f t="shared" si="179"/>
        <v>32124</v>
      </c>
      <c r="AC99" s="10">
        <f t="shared" si="179"/>
        <v>1528</v>
      </c>
      <c r="AD99" s="10">
        <f t="shared" si="179"/>
        <v>40564</v>
      </c>
    </row>
    <row r="100" spans="1:30">
      <c r="A100" s="33">
        <v>1</v>
      </c>
      <c r="B100" s="49" t="s">
        <v>178</v>
      </c>
      <c r="C100" s="112" t="s">
        <v>147</v>
      </c>
      <c r="D100" s="19" t="s">
        <v>237</v>
      </c>
      <c r="E100" s="34" t="s">
        <v>24</v>
      </c>
      <c r="F100" s="1">
        <v>7108</v>
      </c>
      <c r="G100" s="1">
        <v>0</v>
      </c>
      <c r="H100" s="1"/>
      <c r="I100" s="2">
        <f>F100+G100+H100</f>
        <v>7108</v>
      </c>
      <c r="J100" s="3">
        <v>26</v>
      </c>
      <c r="K100" s="8">
        <v>30</v>
      </c>
      <c r="L100" s="1">
        <f t="shared" ref="L100" si="180">F100/J100*K100</f>
        <v>8201.538461538461</v>
      </c>
      <c r="M100" s="1">
        <f t="shared" ref="M100" si="181">G100/J100*K100</f>
        <v>0</v>
      </c>
      <c r="N100" s="1">
        <f>H100/$J100*$K100</f>
        <v>0</v>
      </c>
      <c r="O100" s="4">
        <f>ROUND(L100+M100+N100,0)</f>
        <v>8202</v>
      </c>
      <c r="P100" s="5">
        <f>ROUND(Z100*12%,0)</f>
        <v>984</v>
      </c>
      <c r="Q100" s="5">
        <f>ROUNDUP(AB100*1.75%,0)</f>
        <v>144</v>
      </c>
      <c r="R100" s="6">
        <f>IF(O100&gt;40000,200,IF(O100&gt;25000,150,IF(O100&gt;15000,130,IF(O100&gt;10000,110,IF(O100&gt;8500,0,)))))</f>
        <v>0</v>
      </c>
      <c r="S100" s="1">
        <v>0</v>
      </c>
      <c r="T100" s="1">
        <v>0</v>
      </c>
      <c r="U100" s="7">
        <f>SUM(P100:T100)</f>
        <v>1128</v>
      </c>
      <c r="V100" s="117">
        <f>O100-U100</f>
        <v>7074</v>
      </c>
      <c r="W100" s="3">
        <f>ROUND((I100/12)/J100*(K100),0)</f>
        <v>683</v>
      </c>
      <c r="X100" s="26">
        <f>V100+W100</f>
        <v>7757</v>
      </c>
      <c r="Y100" s="5"/>
      <c r="Z100" s="5">
        <f>ROUND(IF(($L100)&gt;15000,15000,IF(($L100)&lt;=15000,($L100))),0)</f>
        <v>8202</v>
      </c>
      <c r="AA100" s="5">
        <f>ROUND(Z100*13.36%,0)</f>
        <v>1096</v>
      </c>
      <c r="AB100" s="5">
        <f>ROUND($I100/$J100*($K100),0)</f>
        <v>8202</v>
      </c>
      <c r="AC100" s="5">
        <f>ROUNDUP(AB100*4.75%,0)</f>
        <v>390</v>
      </c>
      <c r="AD100" s="35">
        <f>O100+W100+AA100+AC100</f>
        <v>10371</v>
      </c>
    </row>
    <row r="101" spans="1:30">
      <c r="A101" s="33"/>
      <c r="B101" s="49"/>
      <c r="C101" s="49"/>
      <c r="D101" s="19"/>
      <c r="E101" s="34"/>
      <c r="F101" s="1"/>
      <c r="G101" s="1"/>
      <c r="H101" s="1"/>
      <c r="I101" s="2"/>
      <c r="J101" s="3"/>
      <c r="K101" s="8"/>
      <c r="L101" s="1"/>
      <c r="M101" s="1"/>
      <c r="N101" s="1"/>
      <c r="O101" s="4"/>
      <c r="P101" s="5"/>
      <c r="Q101" s="5"/>
      <c r="R101" s="6"/>
      <c r="S101" s="1"/>
      <c r="T101" s="1"/>
      <c r="U101" s="7"/>
      <c r="V101" s="117"/>
      <c r="W101" s="3"/>
      <c r="X101" s="26"/>
      <c r="Y101" s="5"/>
      <c r="Z101" s="5"/>
      <c r="AA101" s="5"/>
      <c r="AB101" s="5"/>
      <c r="AC101" s="5"/>
      <c r="AD101" s="36"/>
    </row>
    <row r="102" spans="1:30">
      <c r="A102" s="25"/>
      <c r="B102" s="94"/>
      <c r="C102" s="94"/>
      <c r="D102" s="25"/>
      <c r="E102" s="9"/>
      <c r="F102" s="10"/>
      <c r="G102" s="10"/>
      <c r="H102" s="10"/>
      <c r="I102" s="10"/>
      <c r="J102" s="10"/>
      <c r="K102" s="8">
        <f>SUM(K100:K101)</f>
        <v>30</v>
      </c>
      <c r="L102" s="10">
        <f>SUM(L100:L101)</f>
        <v>8201.538461538461</v>
      </c>
      <c r="M102" s="10">
        <f>SUM(M100:M101)</f>
        <v>0</v>
      </c>
      <c r="N102" s="10"/>
      <c r="O102" s="10">
        <f t="shared" ref="O102:AD102" si="182">SUM(O100:O101)</f>
        <v>8202</v>
      </c>
      <c r="P102" s="10">
        <f t="shared" si="182"/>
        <v>984</v>
      </c>
      <c r="Q102" s="10">
        <f t="shared" si="182"/>
        <v>144</v>
      </c>
      <c r="R102" s="10">
        <f t="shared" si="182"/>
        <v>0</v>
      </c>
      <c r="S102" s="10">
        <f t="shared" si="182"/>
        <v>0</v>
      </c>
      <c r="T102" s="10">
        <f t="shared" si="182"/>
        <v>0</v>
      </c>
      <c r="U102" s="10">
        <f t="shared" si="182"/>
        <v>1128</v>
      </c>
      <c r="V102" s="118">
        <f t="shared" si="182"/>
        <v>7074</v>
      </c>
      <c r="W102" s="10">
        <f t="shared" si="182"/>
        <v>683</v>
      </c>
      <c r="X102" s="10">
        <f t="shared" si="182"/>
        <v>7757</v>
      </c>
      <c r="Y102" s="10">
        <f t="shared" si="182"/>
        <v>0</v>
      </c>
      <c r="Z102" s="10">
        <f t="shared" si="182"/>
        <v>8202</v>
      </c>
      <c r="AA102" s="10">
        <f t="shared" si="182"/>
        <v>1096</v>
      </c>
      <c r="AB102" s="10">
        <f t="shared" si="182"/>
        <v>8202</v>
      </c>
      <c r="AC102" s="10">
        <f t="shared" si="182"/>
        <v>390</v>
      </c>
      <c r="AD102" s="10">
        <f t="shared" si="182"/>
        <v>10371</v>
      </c>
    </row>
    <row r="103" spans="1:30" ht="18.75">
      <c r="A103" s="119" t="s">
        <v>42</v>
      </c>
      <c r="B103" s="119"/>
      <c r="C103" s="114"/>
      <c r="D103" s="120" t="s">
        <v>67</v>
      </c>
      <c r="E103" s="120"/>
      <c r="F103" s="120"/>
      <c r="G103" s="120"/>
      <c r="H103" s="120"/>
      <c r="I103" s="120"/>
      <c r="J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</row>
    <row r="104" spans="1:30">
      <c r="A104" s="33">
        <v>1</v>
      </c>
      <c r="B104" s="49" t="s">
        <v>179</v>
      </c>
      <c r="C104" s="112" t="s">
        <v>148</v>
      </c>
      <c r="D104" s="19" t="s">
        <v>238</v>
      </c>
      <c r="E104" s="34" t="s">
        <v>34</v>
      </c>
      <c r="F104" s="1">
        <v>7108</v>
      </c>
      <c r="G104" s="1">
        <v>0</v>
      </c>
      <c r="H104" s="1">
        <v>92</v>
      </c>
      <c r="I104" s="2">
        <f>F104+G104+H104</f>
        <v>7200</v>
      </c>
      <c r="J104" s="3">
        <v>26</v>
      </c>
      <c r="K104" s="8">
        <v>27</v>
      </c>
      <c r="L104" s="1">
        <f t="shared" ref="L104:L106" si="183">F104/J104*K104</f>
        <v>7381.3846153846143</v>
      </c>
      <c r="M104" s="1">
        <f t="shared" ref="M104:M106" si="184">G104/J104*K104</f>
        <v>0</v>
      </c>
      <c r="N104" s="1">
        <f>H104/$J104*$K104</f>
        <v>95.538461538461533</v>
      </c>
      <c r="O104" s="4">
        <f>ROUND(L104+M104+N104,0)</f>
        <v>7477</v>
      </c>
      <c r="P104" s="5">
        <f>ROUND(Z104*12%,0)</f>
        <v>886</v>
      </c>
      <c r="Q104" s="5">
        <f>ROUNDUP(AB104*1.75%,0)</f>
        <v>131</v>
      </c>
      <c r="R104" s="6">
        <f>IF(O104&gt;40000,200,IF(O104&gt;25000,150,IF(O104&gt;15000,130,IF(O104&gt;10000,110,IF(O104&gt;8500,0,)))))</f>
        <v>0</v>
      </c>
      <c r="S104" s="1">
        <v>0</v>
      </c>
      <c r="T104" s="1">
        <v>0</v>
      </c>
      <c r="U104" s="7">
        <f>SUM(P104:T104)</f>
        <v>1017</v>
      </c>
      <c r="V104" s="117">
        <f>O104-U104</f>
        <v>6460</v>
      </c>
      <c r="W104" s="3">
        <f>ROUND((I104/12)/J104*(K104),0)</f>
        <v>623</v>
      </c>
      <c r="X104" s="26">
        <f>V104+W104</f>
        <v>7083</v>
      </c>
      <c r="Y104" s="5"/>
      <c r="Z104" s="5">
        <f>ROUND(IF(($L104)&gt;15000,15000,IF(($L104)&lt;=15000,($L104))),0)</f>
        <v>7381</v>
      </c>
      <c r="AA104" s="5">
        <f>ROUND(Z104*13.36%,0)</f>
        <v>986</v>
      </c>
      <c r="AB104" s="5">
        <f>ROUND($I104/$J104*($K104),0)</f>
        <v>7477</v>
      </c>
      <c r="AC104" s="5">
        <f>ROUNDUP(AB104*4.75%,0)</f>
        <v>356</v>
      </c>
      <c r="AD104" s="35">
        <f>O104+W104+AA104+AC104</f>
        <v>9442</v>
      </c>
    </row>
    <row r="105" spans="1:30">
      <c r="A105" s="33">
        <v>2</v>
      </c>
      <c r="B105" s="49" t="s">
        <v>180</v>
      </c>
      <c r="C105" s="112" t="s">
        <v>148</v>
      </c>
      <c r="D105" s="19" t="s">
        <v>239</v>
      </c>
      <c r="E105" s="34" t="s">
        <v>34</v>
      </c>
      <c r="F105" s="1">
        <v>7108</v>
      </c>
      <c r="G105" s="1">
        <v>0</v>
      </c>
      <c r="H105" s="1">
        <v>92</v>
      </c>
      <c r="I105" s="2">
        <f t="shared" ref="I105:I106" si="185">F105+G105+H105</f>
        <v>7200</v>
      </c>
      <c r="J105" s="3">
        <v>26</v>
      </c>
      <c r="K105" s="8">
        <v>26</v>
      </c>
      <c r="L105" s="1">
        <f t="shared" si="183"/>
        <v>7107.9999999999991</v>
      </c>
      <c r="M105" s="1">
        <f t="shared" si="184"/>
        <v>0</v>
      </c>
      <c r="N105" s="1">
        <f t="shared" ref="N105:N106" si="186">H105/$J105*$K105</f>
        <v>92</v>
      </c>
      <c r="O105" s="4">
        <f t="shared" ref="O105:O106" si="187">ROUND(L105+M105+N105,0)</f>
        <v>7200</v>
      </c>
      <c r="P105" s="5">
        <f t="shared" ref="P105:P106" si="188">ROUND(Z105*12%,0)</f>
        <v>853</v>
      </c>
      <c r="Q105" s="5">
        <f t="shared" ref="Q105:Q106" si="189">ROUNDUP(AB105*1.75%,0)</f>
        <v>126</v>
      </c>
      <c r="R105" s="6">
        <f t="shared" ref="R105:R106" si="190">IF(O105&gt;40000,200,IF(O105&gt;25000,150,IF(O105&gt;15000,130,IF(O105&gt;10000,110,IF(O105&gt;8500,0,)))))</f>
        <v>0</v>
      </c>
      <c r="S105" s="1">
        <v>0</v>
      </c>
      <c r="T105" s="1">
        <v>0</v>
      </c>
      <c r="U105" s="7">
        <f t="shared" ref="U105:U106" si="191">SUM(P105:T105)</f>
        <v>979</v>
      </c>
      <c r="V105" s="117">
        <f t="shared" ref="V105:V106" si="192">O105-U105</f>
        <v>6221</v>
      </c>
      <c r="W105" s="3">
        <f t="shared" ref="W105:W106" si="193">ROUND((I105/12)/J105*(K105),0)</f>
        <v>600</v>
      </c>
      <c r="X105" s="26">
        <f t="shared" ref="X105:X106" si="194">V105+W105</f>
        <v>6821</v>
      </c>
      <c r="Y105" s="5"/>
      <c r="Z105" s="5">
        <f t="shared" ref="Z105:Z106" si="195">ROUND(IF(($L105)&gt;15000,15000,IF(($L105)&lt;=15000,($L105))),0)</f>
        <v>7108</v>
      </c>
      <c r="AA105" s="5">
        <f t="shared" ref="AA105:AA106" si="196">ROUND(Z105*13.36%,0)</f>
        <v>950</v>
      </c>
      <c r="AB105" s="5">
        <f t="shared" ref="AB105:AB106" si="197">ROUND($I105/$J105*($K105),0)</f>
        <v>7200</v>
      </c>
      <c r="AC105" s="5">
        <f t="shared" ref="AC105:AC106" si="198">ROUNDUP(AB105*4.75%,0)</f>
        <v>342</v>
      </c>
      <c r="AD105" s="35">
        <f t="shared" ref="AD105:AD106" si="199">O105+W105+AA105+AC105</f>
        <v>9092</v>
      </c>
    </row>
    <row r="106" spans="1:30">
      <c r="A106" s="33">
        <v>3</v>
      </c>
      <c r="B106" s="49" t="s">
        <v>181</v>
      </c>
      <c r="C106" s="112" t="s">
        <v>148</v>
      </c>
      <c r="D106" s="19" t="s">
        <v>240</v>
      </c>
      <c r="E106" s="34" t="s">
        <v>34</v>
      </c>
      <c r="F106" s="1">
        <v>7108</v>
      </c>
      <c r="G106" s="1">
        <v>0</v>
      </c>
      <c r="H106" s="1">
        <v>92</v>
      </c>
      <c r="I106" s="2">
        <f t="shared" si="185"/>
        <v>7200</v>
      </c>
      <c r="J106" s="3">
        <v>26</v>
      </c>
      <c r="K106" s="8">
        <v>28</v>
      </c>
      <c r="L106" s="1">
        <f t="shared" si="183"/>
        <v>7654.7692307692305</v>
      </c>
      <c r="M106" s="1">
        <f t="shared" si="184"/>
        <v>0</v>
      </c>
      <c r="N106" s="1">
        <f t="shared" si="186"/>
        <v>99.076923076923066</v>
      </c>
      <c r="O106" s="4">
        <f t="shared" si="187"/>
        <v>7754</v>
      </c>
      <c r="P106" s="5">
        <f t="shared" si="188"/>
        <v>919</v>
      </c>
      <c r="Q106" s="5">
        <f t="shared" si="189"/>
        <v>136</v>
      </c>
      <c r="R106" s="6">
        <f t="shared" si="190"/>
        <v>0</v>
      </c>
      <c r="S106" s="1">
        <v>0</v>
      </c>
      <c r="T106" s="1">
        <v>0</v>
      </c>
      <c r="U106" s="7">
        <f t="shared" si="191"/>
        <v>1055</v>
      </c>
      <c r="V106" s="117">
        <f t="shared" si="192"/>
        <v>6699</v>
      </c>
      <c r="W106" s="3">
        <f t="shared" si="193"/>
        <v>646</v>
      </c>
      <c r="X106" s="26">
        <f t="shared" si="194"/>
        <v>7345</v>
      </c>
      <c r="Y106" s="5"/>
      <c r="Z106" s="5">
        <f t="shared" si="195"/>
        <v>7655</v>
      </c>
      <c r="AA106" s="5">
        <f t="shared" si="196"/>
        <v>1023</v>
      </c>
      <c r="AB106" s="5">
        <f t="shared" si="197"/>
        <v>7754</v>
      </c>
      <c r="AC106" s="5">
        <f t="shared" si="198"/>
        <v>369</v>
      </c>
      <c r="AD106" s="35">
        <f t="shared" si="199"/>
        <v>9792</v>
      </c>
    </row>
    <row r="107" spans="1:30">
      <c r="A107" s="33"/>
      <c r="B107" s="49"/>
      <c r="C107" s="49"/>
      <c r="D107" s="19"/>
      <c r="E107" s="34"/>
      <c r="F107" s="1"/>
      <c r="G107" s="1"/>
      <c r="H107" s="1"/>
      <c r="I107" s="2"/>
      <c r="J107" s="3"/>
      <c r="K107" s="8"/>
      <c r="L107" s="1"/>
      <c r="M107" s="1"/>
      <c r="N107" s="1"/>
      <c r="O107" s="4"/>
      <c r="P107" s="5"/>
      <c r="Q107" s="5"/>
      <c r="R107" s="6"/>
      <c r="S107" s="1"/>
      <c r="T107" s="1"/>
      <c r="U107" s="7"/>
      <c r="V107" s="117"/>
      <c r="W107" s="3"/>
      <c r="X107" s="26"/>
      <c r="Y107" s="5"/>
      <c r="Z107" s="5"/>
      <c r="AA107" s="5"/>
      <c r="AB107" s="5"/>
      <c r="AC107" s="5"/>
      <c r="AD107" s="36"/>
    </row>
    <row r="108" spans="1:30">
      <c r="A108" s="25"/>
      <c r="B108" s="94"/>
      <c r="C108" s="94"/>
      <c r="D108" s="25"/>
      <c r="E108" s="9"/>
      <c r="F108" s="10"/>
      <c r="G108" s="10"/>
      <c r="H108" s="10"/>
      <c r="I108" s="10"/>
      <c r="J108" s="10"/>
      <c r="K108" s="8">
        <f>SUM(K104:K107)</f>
        <v>81</v>
      </c>
      <c r="L108" s="10">
        <f>SUM(L104:L107)</f>
        <v>22144.153846153844</v>
      </c>
      <c r="M108" s="10">
        <f>SUM(M104:M107)</f>
        <v>0</v>
      </c>
      <c r="N108" s="10"/>
      <c r="O108" s="10">
        <f t="shared" ref="O108:AD108" si="200">SUM(O104:O107)</f>
        <v>22431</v>
      </c>
      <c r="P108" s="10">
        <f t="shared" si="200"/>
        <v>2658</v>
      </c>
      <c r="Q108" s="10">
        <f t="shared" si="200"/>
        <v>393</v>
      </c>
      <c r="R108" s="10">
        <f t="shared" si="200"/>
        <v>0</v>
      </c>
      <c r="S108" s="10">
        <f t="shared" si="200"/>
        <v>0</v>
      </c>
      <c r="T108" s="10">
        <f t="shared" si="200"/>
        <v>0</v>
      </c>
      <c r="U108" s="10">
        <f t="shared" si="200"/>
        <v>3051</v>
      </c>
      <c r="V108" s="118">
        <f t="shared" si="200"/>
        <v>19380</v>
      </c>
      <c r="W108" s="10">
        <f t="shared" si="200"/>
        <v>1869</v>
      </c>
      <c r="X108" s="10">
        <f t="shared" si="200"/>
        <v>21249</v>
      </c>
      <c r="Y108" s="10">
        <f t="shared" si="200"/>
        <v>0</v>
      </c>
      <c r="Z108" s="10">
        <f t="shared" si="200"/>
        <v>22144</v>
      </c>
      <c r="AA108" s="10">
        <f t="shared" si="200"/>
        <v>2959</v>
      </c>
      <c r="AB108" s="10">
        <f t="shared" si="200"/>
        <v>22431</v>
      </c>
      <c r="AC108" s="10">
        <f t="shared" si="200"/>
        <v>1067</v>
      </c>
      <c r="AD108" s="10">
        <f t="shared" si="200"/>
        <v>28326</v>
      </c>
    </row>
    <row r="109" spans="1:30" ht="18.75">
      <c r="A109" s="119" t="s">
        <v>42</v>
      </c>
      <c r="B109" s="119"/>
      <c r="C109" s="114"/>
      <c r="D109" s="120" t="s">
        <v>71</v>
      </c>
      <c r="E109" s="120"/>
      <c r="F109" s="120"/>
      <c r="G109" s="120"/>
      <c r="H109" s="120"/>
      <c r="I109" s="120"/>
      <c r="J109" s="120"/>
      <c r="K109" s="120"/>
      <c r="L109" s="120"/>
      <c r="M109" s="120"/>
      <c r="N109" s="120"/>
      <c r="O109" s="120"/>
      <c r="P109" s="120"/>
      <c r="Q109" s="120"/>
      <c r="R109" s="120"/>
      <c r="S109" s="120"/>
      <c r="T109" s="120"/>
      <c r="U109" s="120"/>
      <c r="V109" s="120"/>
      <c r="W109" s="120"/>
      <c r="X109" s="120"/>
      <c r="Y109" s="120"/>
      <c r="Z109" s="120"/>
      <c r="AA109" s="120"/>
      <c r="AB109" s="120"/>
      <c r="AC109" s="120"/>
      <c r="AD109" s="120"/>
    </row>
    <row r="110" spans="1:30">
      <c r="A110" s="33">
        <v>1</v>
      </c>
      <c r="B110" s="49" t="s">
        <v>182</v>
      </c>
      <c r="C110" s="113" t="s">
        <v>149</v>
      </c>
      <c r="D110" s="19" t="s">
        <v>229</v>
      </c>
      <c r="E110" s="34" t="s">
        <v>34</v>
      </c>
      <c r="F110" s="1">
        <v>4420</v>
      </c>
      <c r="G110" s="1">
        <v>0</v>
      </c>
      <c r="H110" s="1">
        <v>780</v>
      </c>
      <c r="I110" s="2">
        <f>F110+G110+H110</f>
        <v>5200</v>
      </c>
      <c r="J110" s="3">
        <v>26</v>
      </c>
      <c r="K110" s="8">
        <v>28</v>
      </c>
      <c r="L110" s="1">
        <f t="shared" ref="L110" si="201">F110/J110*K110</f>
        <v>4760</v>
      </c>
      <c r="M110" s="1">
        <f t="shared" ref="M110" si="202">G110/J110*K110</f>
        <v>0</v>
      </c>
      <c r="N110" s="1">
        <f>H110/$J110*$K110</f>
        <v>840</v>
      </c>
      <c r="O110" s="4">
        <f>ROUND(L110+M110+N110,0)</f>
        <v>5600</v>
      </c>
      <c r="P110" s="5">
        <f>ROUND(Z110*12%,0)</f>
        <v>571</v>
      </c>
      <c r="Q110" s="5">
        <f>ROUNDUP(AB110*1.75%,0)</f>
        <v>98</v>
      </c>
      <c r="R110" s="6">
        <f>IF(O110&gt;40000,200,IF(O110&gt;25000,150,IF(O110&gt;15000,130,IF(O110&gt;10000,110,IF(O110&gt;8500,0,)))))</f>
        <v>0</v>
      </c>
      <c r="S110" s="1">
        <v>0</v>
      </c>
      <c r="T110" s="1">
        <v>0</v>
      </c>
      <c r="U110" s="7">
        <f>SUM(P110:T110)</f>
        <v>669</v>
      </c>
      <c r="V110" s="117">
        <f>O110-U110</f>
        <v>4931</v>
      </c>
      <c r="W110" s="3">
        <f>ROUND((I110/12)/J110*(K110),0)</f>
        <v>467</v>
      </c>
      <c r="X110" s="26">
        <f>V110+W110</f>
        <v>5398</v>
      </c>
      <c r="Y110" s="5"/>
      <c r="Z110" s="5">
        <f>ROUND(IF(($L110)&gt;15000,15000,IF(($L110)&lt;=15000,($L110))),0)</f>
        <v>4760</v>
      </c>
      <c r="AA110" s="5">
        <f>ROUND(Z110*13.36%,0)</f>
        <v>636</v>
      </c>
      <c r="AB110" s="5">
        <f>ROUND($I110/$J110*($K110),0)</f>
        <v>5600</v>
      </c>
      <c r="AC110" s="5">
        <f>ROUNDUP(AB110*4.75%,0)</f>
        <v>266</v>
      </c>
      <c r="AD110" s="35">
        <f>O110+W110+AA110+AC110</f>
        <v>6969</v>
      </c>
    </row>
    <row r="111" spans="1:30">
      <c r="A111" s="33"/>
      <c r="B111" s="49"/>
      <c r="C111" s="49"/>
      <c r="D111" s="19"/>
      <c r="E111" s="34"/>
      <c r="F111" s="1"/>
      <c r="G111" s="1"/>
      <c r="H111" s="1"/>
      <c r="I111" s="2"/>
      <c r="J111" s="3"/>
      <c r="K111" s="8"/>
      <c r="L111" s="1"/>
      <c r="M111" s="1"/>
      <c r="N111" s="1"/>
      <c r="O111" s="4"/>
      <c r="P111" s="5"/>
      <c r="Q111" s="5"/>
      <c r="R111" s="6"/>
      <c r="S111" s="1"/>
      <c r="T111" s="1"/>
      <c r="U111" s="7"/>
      <c r="V111" s="117"/>
      <c r="W111" s="3"/>
      <c r="X111" s="26"/>
      <c r="Y111" s="5"/>
      <c r="Z111" s="5"/>
      <c r="AA111" s="5"/>
      <c r="AB111" s="5"/>
      <c r="AC111" s="5"/>
      <c r="AD111" s="36"/>
    </row>
    <row r="112" spans="1:30">
      <c r="A112" s="25"/>
      <c r="B112" s="94"/>
      <c r="C112" s="94"/>
      <c r="D112" s="25"/>
      <c r="E112" s="9"/>
      <c r="F112" s="10"/>
      <c r="G112" s="10"/>
      <c r="H112" s="10"/>
      <c r="I112" s="10"/>
      <c r="J112" s="10"/>
      <c r="K112" s="8">
        <f>SUM(K110:K111)</f>
        <v>28</v>
      </c>
      <c r="L112" s="10">
        <f>SUM(L110:L111)</f>
        <v>4760</v>
      </c>
      <c r="M112" s="10">
        <f>SUM(M110:M111)</f>
        <v>0</v>
      </c>
      <c r="N112" s="10"/>
      <c r="O112" s="10">
        <f t="shared" ref="O112:AD112" si="203">SUM(O110:O111)</f>
        <v>5600</v>
      </c>
      <c r="P112" s="10">
        <f t="shared" si="203"/>
        <v>571</v>
      </c>
      <c r="Q112" s="10">
        <f t="shared" si="203"/>
        <v>98</v>
      </c>
      <c r="R112" s="10">
        <f t="shared" si="203"/>
        <v>0</v>
      </c>
      <c r="S112" s="10">
        <f t="shared" si="203"/>
        <v>0</v>
      </c>
      <c r="T112" s="10">
        <f t="shared" si="203"/>
        <v>0</v>
      </c>
      <c r="U112" s="10">
        <f t="shared" si="203"/>
        <v>669</v>
      </c>
      <c r="V112" s="118">
        <f t="shared" si="203"/>
        <v>4931</v>
      </c>
      <c r="W112" s="10">
        <f t="shared" si="203"/>
        <v>467</v>
      </c>
      <c r="X112" s="10">
        <f t="shared" si="203"/>
        <v>5398</v>
      </c>
      <c r="Y112" s="10">
        <f t="shared" si="203"/>
        <v>0</v>
      </c>
      <c r="Z112" s="10">
        <f t="shared" si="203"/>
        <v>4760</v>
      </c>
      <c r="AA112" s="10">
        <f t="shared" si="203"/>
        <v>636</v>
      </c>
      <c r="AB112" s="10">
        <f t="shared" si="203"/>
        <v>5600</v>
      </c>
      <c r="AC112" s="10">
        <f t="shared" si="203"/>
        <v>266</v>
      </c>
      <c r="AD112" s="10">
        <f t="shared" si="203"/>
        <v>6969</v>
      </c>
    </row>
    <row r="113" spans="1:30">
      <c r="A113" s="33">
        <v>1</v>
      </c>
      <c r="B113" s="49" t="s">
        <v>183</v>
      </c>
      <c r="C113" s="113" t="s">
        <v>149</v>
      </c>
      <c r="D113" s="19" t="s">
        <v>230</v>
      </c>
      <c r="E113" s="34" t="s">
        <v>24</v>
      </c>
      <c r="F113" s="1">
        <v>4420</v>
      </c>
      <c r="G113" s="1">
        <v>0</v>
      </c>
      <c r="H113" s="1">
        <v>1680</v>
      </c>
      <c r="I113" s="2">
        <f>F113+G113+H113</f>
        <v>6100</v>
      </c>
      <c r="J113" s="3">
        <v>26</v>
      </c>
      <c r="K113" s="8">
        <v>30</v>
      </c>
      <c r="L113" s="1">
        <f t="shared" ref="L113" si="204">F113/J113*K113</f>
        <v>5100</v>
      </c>
      <c r="M113" s="1">
        <f t="shared" ref="M113" si="205">G113/J113*K113</f>
        <v>0</v>
      </c>
      <c r="N113" s="1">
        <f>H113/$J113*$K113</f>
        <v>1938.4615384615383</v>
      </c>
      <c r="O113" s="4">
        <f>ROUND(L113+M113+N113,0)</f>
        <v>7038</v>
      </c>
      <c r="P113" s="5">
        <f>ROUND(Z113*12%,0)</f>
        <v>612</v>
      </c>
      <c r="Q113" s="5">
        <f>ROUNDUP(AB113*1.75%,0)</f>
        <v>124</v>
      </c>
      <c r="R113" s="6">
        <f>IF(O113&gt;40000,200,IF(O113&gt;25000,150,IF(O113&gt;15000,130,IF(O113&gt;10000,110,IF(O113&gt;8500,0,)))))</f>
        <v>0</v>
      </c>
      <c r="S113" s="1">
        <v>500</v>
      </c>
      <c r="T113" s="1">
        <v>0</v>
      </c>
      <c r="U113" s="7">
        <f>SUM(P113:T113)</f>
        <v>1236</v>
      </c>
      <c r="V113" s="117">
        <f>O113-U113</f>
        <v>5802</v>
      </c>
      <c r="W113" s="3">
        <f>ROUND((I113/12)/J113*(K113),0)</f>
        <v>587</v>
      </c>
      <c r="X113" s="26">
        <f>V113+W113</f>
        <v>6389</v>
      </c>
      <c r="Y113" s="5"/>
      <c r="Z113" s="5">
        <f>ROUND(IF(($L113)&gt;15000,15000,IF(($L113)&lt;=15000,($L113))),0)</f>
        <v>5100</v>
      </c>
      <c r="AA113" s="5">
        <f>ROUND(Z113*13.36%,0)</f>
        <v>681</v>
      </c>
      <c r="AB113" s="5">
        <f>ROUND($I113/$J113*($K113),0)</f>
        <v>7038</v>
      </c>
      <c r="AC113" s="5">
        <f>ROUNDUP(AB113*4.75%,0)</f>
        <v>335</v>
      </c>
      <c r="AD113" s="35">
        <f>O113+W113+AA113+AC113</f>
        <v>8641</v>
      </c>
    </row>
    <row r="114" spans="1:30">
      <c r="A114" s="33"/>
      <c r="B114" s="49"/>
      <c r="C114" s="49"/>
      <c r="D114" s="19"/>
      <c r="E114" s="34"/>
      <c r="F114" s="1"/>
      <c r="G114" s="1"/>
      <c r="H114" s="1"/>
      <c r="I114" s="2"/>
      <c r="J114" s="3"/>
      <c r="K114" s="8"/>
      <c r="L114" s="1"/>
      <c r="M114" s="1"/>
      <c r="N114" s="1"/>
      <c r="O114" s="4"/>
      <c r="P114" s="5"/>
      <c r="Q114" s="5"/>
      <c r="R114" s="6"/>
      <c r="S114" s="1"/>
      <c r="T114" s="1"/>
      <c r="U114" s="7"/>
      <c r="V114" s="117"/>
      <c r="W114" s="3"/>
      <c r="X114" s="26"/>
      <c r="Y114" s="5"/>
      <c r="Z114" s="5"/>
      <c r="AA114" s="5"/>
      <c r="AB114" s="5"/>
      <c r="AC114" s="5"/>
      <c r="AD114" s="36"/>
    </row>
    <row r="115" spans="1:30">
      <c r="A115" s="25"/>
      <c r="B115" s="94"/>
      <c r="C115" s="94"/>
      <c r="D115" s="25"/>
      <c r="E115" s="9"/>
      <c r="F115" s="10"/>
      <c r="G115" s="10"/>
      <c r="H115" s="10"/>
      <c r="I115" s="10"/>
      <c r="J115" s="10"/>
      <c r="K115" s="8">
        <f>SUM(K113:K114)</f>
        <v>30</v>
      </c>
      <c r="L115" s="10">
        <f>SUM(L113:L114)</f>
        <v>5100</v>
      </c>
      <c r="M115" s="10">
        <f>SUM(M113:M114)</f>
        <v>0</v>
      </c>
      <c r="N115" s="10"/>
      <c r="O115" s="10">
        <f t="shared" ref="O115:AD115" si="206">SUM(O113:O114)</f>
        <v>7038</v>
      </c>
      <c r="P115" s="10">
        <f t="shared" si="206"/>
        <v>612</v>
      </c>
      <c r="Q115" s="10">
        <f t="shared" si="206"/>
        <v>124</v>
      </c>
      <c r="R115" s="10">
        <f t="shared" si="206"/>
        <v>0</v>
      </c>
      <c r="S115" s="10">
        <f t="shared" si="206"/>
        <v>500</v>
      </c>
      <c r="T115" s="10">
        <f t="shared" si="206"/>
        <v>0</v>
      </c>
      <c r="U115" s="10">
        <f t="shared" si="206"/>
        <v>1236</v>
      </c>
      <c r="V115" s="118">
        <f t="shared" si="206"/>
        <v>5802</v>
      </c>
      <c r="W115" s="10">
        <f t="shared" si="206"/>
        <v>587</v>
      </c>
      <c r="X115" s="10">
        <f t="shared" si="206"/>
        <v>6389</v>
      </c>
      <c r="Y115" s="10">
        <f t="shared" si="206"/>
        <v>0</v>
      </c>
      <c r="Z115" s="10">
        <f t="shared" si="206"/>
        <v>5100</v>
      </c>
      <c r="AA115" s="10">
        <f t="shared" si="206"/>
        <v>681</v>
      </c>
      <c r="AB115" s="10">
        <f t="shared" si="206"/>
        <v>7038</v>
      </c>
      <c r="AC115" s="10">
        <f t="shared" si="206"/>
        <v>335</v>
      </c>
      <c r="AD115" s="10">
        <f t="shared" si="206"/>
        <v>8641</v>
      </c>
    </row>
    <row r="116" spans="1:30" ht="18.75">
      <c r="A116" s="119" t="s">
        <v>42</v>
      </c>
      <c r="B116" s="119"/>
      <c r="C116" s="114"/>
      <c r="D116" s="120" t="s">
        <v>77</v>
      </c>
      <c r="E116" s="120"/>
      <c r="F116" s="120"/>
      <c r="G116" s="120"/>
      <c r="H116" s="120"/>
      <c r="I116" s="120"/>
      <c r="J116" s="120"/>
      <c r="K116" s="120"/>
      <c r="L116" s="120"/>
      <c r="M116" s="120"/>
      <c r="N116" s="120"/>
      <c r="O116" s="120"/>
      <c r="P116" s="120"/>
      <c r="Q116" s="120"/>
      <c r="R116" s="120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  <c r="AC116" s="120"/>
      <c r="AD116" s="120"/>
    </row>
    <row r="117" spans="1:30">
      <c r="A117" s="33">
        <v>1</v>
      </c>
      <c r="B117" s="49" t="s">
        <v>184</v>
      </c>
      <c r="C117" s="113" t="s">
        <v>150</v>
      </c>
      <c r="D117" s="19" t="s">
        <v>247</v>
      </c>
      <c r="E117" s="34" t="s">
        <v>34</v>
      </c>
      <c r="F117" s="1">
        <v>4420</v>
      </c>
      <c r="G117" s="1">
        <v>0</v>
      </c>
      <c r="H117" s="1">
        <v>2250</v>
      </c>
      <c r="I117" s="2">
        <f>F117+G117+H117</f>
        <v>6670</v>
      </c>
      <c r="J117" s="3">
        <v>31</v>
      </c>
      <c r="K117" s="8">
        <v>31</v>
      </c>
      <c r="L117" s="1">
        <f t="shared" ref="L117:L118" si="207">F117/J117*K117</f>
        <v>4420</v>
      </c>
      <c r="M117" s="1">
        <f t="shared" ref="M117:M118" si="208">G117/J117*K117</f>
        <v>0</v>
      </c>
      <c r="N117" s="1">
        <f>H117/$J117*$K117</f>
        <v>2250</v>
      </c>
      <c r="O117" s="4">
        <f>ROUND(L117+M117+N117,0)</f>
        <v>6670</v>
      </c>
      <c r="P117" s="5">
        <f>ROUND(Z117*12%,0)</f>
        <v>530</v>
      </c>
      <c r="Q117" s="5">
        <f>ROUNDUP(AB117*1.75%,0)</f>
        <v>117</v>
      </c>
      <c r="R117" s="6">
        <f>IF(O117&gt;40000,200,IF(O117&gt;25000,150,IF(O117&gt;15000,130,IF(O117&gt;10000,110,IF(O117&gt;8500,0,)))))</f>
        <v>0</v>
      </c>
      <c r="S117" s="1">
        <v>0</v>
      </c>
      <c r="T117" s="1">
        <v>0</v>
      </c>
      <c r="U117" s="7">
        <f>SUM(P117:T117)</f>
        <v>647</v>
      </c>
      <c r="V117" s="117">
        <f>O117-U117</f>
        <v>6023</v>
      </c>
      <c r="W117" s="3">
        <v>0</v>
      </c>
      <c r="X117" s="26">
        <f>V117+W117</f>
        <v>6023</v>
      </c>
      <c r="Y117" s="5"/>
      <c r="Z117" s="5">
        <f>ROUND(IF(($L117)&gt;15000,15000,IF(($L117)&lt;=15000,($L117))),0)</f>
        <v>4420</v>
      </c>
      <c r="AA117" s="5">
        <f>ROUND(Z117*13.36%,0)</f>
        <v>591</v>
      </c>
      <c r="AB117" s="5">
        <f>ROUND($I117/$J117*($K117),0)</f>
        <v>6670</v>
      </c>
      <c r="AC117" s="5">
        <f>ROUNDUP(AB117*4.75%,0)</f>
        <v>317</v>
      </c>
      <c r="AD117" s="35">
        <f>O117+W117+AA117+AC117</f>
        <v>7578</v>
      </c>
    </row>
    <row r="118" spans="1:30">
      <c r="A118" s="33">
        <v>2</v>
      </c>
      <c r="B118" s="49" t="s">
        <v>185</v>
      </c>
      <c r="C118" s="113" t="s">
        <v>150</v>
      </c>
      <c r="D118" s="19" t="s">
        <v>246</v>
      </c>
      <c r="E118" s="34" t="s">
        <v>34</v>
      </c>
      <c r="F118" s="1">
        <v>4420</v>
      </c>
      <c r="G118" s="1">
        <v>0</v>
      </c>
      <c r="H118" s="1">
        <v>2250</v>
      </c>
      <c r="I118" s="2">
        <f t="shared" ref="I118" si="209">F118+G118+H118</f>
        <v>6670</v>
      </c>
      <c r="J118" s="3">
        <v>31</v>
      </c>
      <c r="K118" s="8">
        <v>31</v>
      </c>
      <c r="L118" s="1">
        <f t="shared" si="207"/>
        <v>4420</v>
      </c>
      <c r="M118" s="1">
        <f t="shared" si="208"/>
        <v>0</v>
      </c>
      <c r="N118" s="1">
        <f t="shared" ref="N118" si="210">H118/$J118*$K118</f>
        <v>2250</v>
      </c>
      <c r="O118" s="4">
        <f t="shared" ref="O118" si="211">ROUND(L118+M118+N118,0)</f>
        <v>6670</v>
      </c>
      <c r="P118" s="5">
        <f t="shared" ref="P118" si="212">ROUND(Z118*12%,0)</f>
        <v>530</v>
      </c>
      <c r="Q118" s="5">
        <f t="shared" ref="Q118" si="213">ROUNDUP(AB118*1.75%,0)</f>
        <v>117</v>
      </c>
      <c r="R118" s="6">
        <f t="shared" ref="R118" si="214">IF(O118&gt;40000,200,IF(O118&gt;25000,150,IF(O118&gt;15000,130,IF(O118&gt;10000,110,IF(O118&gt;8500,0,)))))</f>
        <v>0</v>
      </c>
      <c r="S118" s="1">
        <v>0</v>
      </c>
      <c r="T118" s="1">
        <v>0</v>
      </c>
      <c r="U118" s="7">
        <f t="shared" ref="U118" si="215">SUM(P118:T118)</f>
        <v>647</v>
      </c>
      <c r="V118" s="117">
        <f t="shared" ref="V118" si="216">O118-U118</f>
        <v>6023</v>
      </c>
      <c r="W118" s="3">
        <v>0</v>
      </c>
      <c r="X118" s="26">
        <f t="shared" ref="X118" si="217">V118+W118</f>
        <v>6023</v>
      </c>
      <c r="Y118" s="5"/>
      <c r="Z118" s="5">
        <f t="shared" ref="Z118" si="218">ROUND(IF(($L118)&gt;15000,15000,IF(($L118)&lt;=15000,($L118))),0)</f>
        <v>4420</v>
      </c>
      <c r="AA118" s="5">
        <f t="shared" ref="AA118" si="219">ROUND(Z118*13.36%,0)</f>
        <v>591</v>
      </c>
      <c r="AB118" s="5">
        <f t="shared" ref="AB118" si="220">ROUND($I118/$J118*($K118),0)</f>
        <v>6670</v>
      </c>
      <c r="AC118" s="5">
        <f t="shared" ref="AC118" si="221">ROUNDUP(AB118*4.75%,0)</f>
        <v>317</v>
      </c>
      <c r="AD118" s="35">
        <f t="shared" ref="AD118" si="222">O118+W118+AA118+AC118</f>
        <v>7578</v>
      </c>
    </row>
    <row r="119" spans="1:30">
      <c r="A119" s="33"/>
      <c r="B119" s="49"/>
      <c r="C119" s="49"/>
      <c r="D119" s="19"/>
      <c r="E119" s="34"/>
      <c r="F119" s="1"/>
      <c r="G119" s="1"/>
      <c r="H119" s="1"/>
      <c r="I119" s="2"/>
      <c r="J119" s="3"/>
      <c r="K119" s="8"/>
      <c r="L119" s="1"/>
      <c r="M119" s="1"/>
      <c r="N119" s="1"/>
      <c r="O119" s="4"/>
      <c r="P119" s="5"/>
      <c r="Q119" s="5"/>
      <c r="R119" s="6"/>
      <c r="S119" s="1"/>
      <c r="T119" s="1"/>
      <c r="U119" s="7"/>
      <c r="V119" s="117"/>
      <c r="W119" s="3"/>
      <c r="X119" s="26"/>
      <c r="Y119" s="5"/>
      <c r="Z119" s="5"/>
      <c r="AA119" s="5"/>
      <c r="AB119" s="5"/>
      <c r="AC119" s="5"/>
      <c r="AD119" s="36"/>
    </row>
    <row r="120" spans="1:30">
      <c r="A120" s="25"/>
      <c r="B120" s="94"/>
      <c r="C120" s="94"/>
      <c r="D120" s="25"/>
      <c r="E120" s="9"/>
      <c r="F120" s="10"/>
      <c r="G120" s="10"/>
      <c r="H120" s="10"/>
      <c r="I120" s="10"/>
      <c r="J120" s="10"/>
      <c r="K120" s="8">
        <f>SUM(K117:K119)</f>
        <v>62</v>
      </c>
      <c r="L120" s="10">
        <f>SUM(L117:L119)</f>
        <v>8840</v>
      </c>
      <c r="M120" s="10">
        <f>SUM(M117:M119)</f>
        <v>0</v>
      </c>
      <c r="N120" s="10"/>
      <c r="O120" s="10">
        <f t="shared" ref="O120:AD120" si="223">SUM(O117:O119)</f>
        <v>13340</v>
      </c>
      <c r="P120" s="10">
        <f t="shared" si="223"/>
        <v>1060</v>
      </c>
      <c r="Q120" s="10">
        <f t="shared" si="223"/>
        <v>234</v>
      </c>
      <c r="R120" s="10">
        <f t="shared" si="223"/>
        <v>0</v>
      </c>
      <c r="S120" s="10">
        <f t="shared" si="223"/>
        <v>0</v>
      </c>
      <c r="T120" s="10">
        <f t="shared" si="223"/>
        <v>0</v>
      </c>
      <c r="U120" s="10">
        <f t="shared" si="223"/>
        <v>1294</v>
      </c>
      <c r="V120" s="118">
        <f t="shared" si="223"/>
        <v>12046</v>
      </c>
      <c r="W120" s="10">
        <f t="shared" si="223"/>
        <v>0</v>
      </c>
      <c r="X120" s="10">
        <f t="shared" si="223"/>
        <v>12046</v>
      </c>
      <c r="Y120" s="10">
        <f t="shared" si="223"/>
        <v>0</v>
      </c>
      <c r="Z120" s="10">
        <f t="shared" si="223"/>
        <v>8840</v>
      </c>
      <c r="AA120" s="10">
        <f t="shared" si="223"/>
        <v>1182</v>
      </c>
      <c r="AB120" s="10">
        <f t="shared" si="223"/>
        <v>13340</v>
      </c>
      <c r="AC120" s="10">
        <f t="shared" si="223"/>
        <v>634</v>
      </c>
      <c r="AD120" s="10">
        <f t="shared" si="223"/>
        <v>15156</v>
      </c>
    </row>
    <row r="121" spans="1:30">
      <c r="A121" s="33">
        <v>1</v>
      </c>
      <c r="B121" s="49" t="s">
        <v>186</v>
      </c>
      <c r="C121" s="113" t="s">
        <v>150</v>
      </c>
      <c r="D121" s="19" t="s">
        <v>245</v>
      </c>
      <c r="E121" s="34" t="s">
        <v>24</v>
      </c>
      <c r="F121" s="1">
        <v>4420</v>
      </c>
      <c r="G121" s="1">
        <v>0</v>
      </c>
      <c r="H121" s="1">
        <v>2250</v>
      </c>
      <c r="I121" s="2">
        <f>F121+G121+H121</f>
        <v>6670</v>
      </c>
      <c r="J121" s="3">
        <v>31</v>
      </c>
      <c r="K121" s="8">
        <v>31</v>
      </c>
      <c r="L121" s="1">
        <f t="shared" ref="L121" si="224">F121/J121*K121</f>
        <v>4420</v>
      </c>
      <c r="M121" s="1">
        <f t="shared" ref="M121" si="225">G121/J121*K121</f>
        <v>0</v>
      </c>
      <c r="N121" s="1">
        <f>H121/$J121*$K121</f>
        <v>2250</v>
      </c>
      <c r="O121" s="4">
        <f>ROUND(L121+M121+N121,0)</f>
        <v>6670</v>
      </c>
      <c r="P121" s="5">
        <f>ROUND(Z121*12%,0)</f>
        <v>530</v>
      </c>
      <c r="Q121" s="5">
        <f>ROUNDUP(AB121*1.75%,0)</f>
        <v>117</v>
      </c>
      <c r="R121" s="6">
        <f>IF(O121&gt;40000,200,IF(O121&gt;25000,150,IF(O121&gt;15000,130,IF(O121&gt;10000,110,IF(O121&gt;8500,0,)))))</f>
        <v>0</v>
      </c>
      <c r="S121" s="1">
        <v>0</v>
      </c>
      <c r="T121" s="1">
        <v>0</v>
      </c>
      <c r="U121" s="7">
        <f>SUM(P121:T121)</f>
        <v>647</v>
      </c>
      <c r="V121" s="117">
        <f>O121-U121</f>
        <v>6023</v>
      </c>
      <c r="W121" s="3">
        <v>0</v>
      </c>
      <c r="X121" s="26">
        <f>V121+W121</f>
        <v>6023</v>
      </c>
      <c r="Y121" s="5"/>
      <c r="Z121" s="5">
        <f>ROUND(IF(($L121)&gt;15000,15000,IF(($L121)&lt;=15000,($L121))),0)</f>
        <v>4420</v>
      </c>
      <c r="AA121" s="5">
        <f>ROUND(Z121*13.36%,0)</f>
        <v>591</v>
      </c>
      <c r="AB121" s="5">
        <f>ROUND($I121/$J121*($K121),0)</f>
        <v>6670</v>
      </c>
      <c r="AC121" s="5">
        <f>ROUNDUP(AB121*4.75%,0)</f>
        <v>317</v>
      </c>
      <c r="AD121" s="35">
        <f>O121+W121+AA121+AC121</f>
        <v>7578</v>
      </c>
    </row>
    <row r="122" spans="1:30">
      <c r="A122" s="33"/>
      <c r="B122" s="49"/>
      <c r="C122" s="49"/>
      <c r="D122" s="19"/>
      <c r="E122" s="34"/>
      <c r="F122" s="1"/>
      <c r="G122" s="1"/>
      <c r="H122" s="1"/>
      <c r="I122" s="2"/>
      <c r="J122" s="3"/>
      <c r="K122" s="8"/>
      <c r="L122" s="1"/>
      <c r="M122" s="1"/>
      <c r="N122" s="1"/>
      <c r="O122" s="4"/>
      <c r="P122" s="5"/>
      <c r="Q122" s="5"/>
      <c r="R122" s="6"/>
      <c r="S122" s="1"/>
      <c r="T122" s="1"/>
      <c r="U122" s="7"/>
      <c r="V122" s="117"/>
      <c r="W122" s="3"/>
      <c r="X122" s="26"/>
      <c r="Y122" s="5"/>
      <c r="Z122" s="5"/>
      <c r="AA122" s="5"/>
      <c r="AB122" s="5"/>
      <c r="AC122" s="5"/>
      <c r="AD122" s="36"/>
    </row>
    <row r="123" spans="1:30">
      <c r="A123" s="25"/>
      <c r="B123" s="94"/>
      <c r="C123" s="94"/>
      <c r="D123" s="25"/>
      <c r="E123" s="9"/>
      <c r="F123" s="10"/>
      <c r="G123" s="10"/>
      <c r="H123" s="10"/>
      <c r="I123" s="10"/>
      <c r="J123" s="10"/>
      <c r="K123" s="8">
        <f>SUM(K121:K122)</f>
        <v>31</v>
      </c>
      <c r="L123" s="10">
        <f>SUM(L121:L122)</f>
        <v>4420</v>
      </c>
      <c r="M123" s="10">
        <f>SUM(M121:M122)</f>
        <v>0</v>
      </c>
      <c r="N123" s="10"/>
      <c r="O123" s="10">
        <f t="shared" ref="O123:AD123" si="226">SUM(O121:O122)</f>
        <v>6670</v>
      </c>
      <c r="P123" s="10">
        <f t="shared" si="226"/>
        <v>530</v>
      </c>
      <c r="Q123" s="10">
        <f t="shared" si="226"/>
        <v>117</v>
      </c>
      <c r="R123" s="10">
        <f t="shared" si="226"/>
        <v>0</v>
      </c>
      <c r="S123" s="10">
        <f t="shared" si="226"/>
        <v>0</v>
      </c>
      <c r="T123" s="10">
        <f t="shared" si="226"/>
        <v>0</v>
      </c>
      <c r="U123" s="10">
        <f t="shared" si="226"/>
        <v>647</v>
      </c>
      <c r="V123" s="118">
        <f t="shared" si="226"/>
        <v>6023</v>
      </c>
      <c r="W123" s="10">
        <f t="shared" si="226"/>
        <v>0</v>
      </c>
      <c r="X123" s="10">
        <f t="shared" si="226"/>
        <v>6023</v>
      </c>
      <c r="Y123" s="10">
        <f t="shared" si="226"/>
        <v>0</v>
      </c>
      <c r="Z123" s="10">
        <f t="shared" si="226"/>
        <v>4420</v>
      </c>
      <c r="AA123" s="10">
        <f t="shared" si="226"/>
        <v>591</v>
      </c>
      <c r="AB123" s="10">
        <f t="shared" si="226"/>
        <v>6670</v>
      </c>
      <c r="AC123" s="10">
        <f t="shared" si="226"/>
        <v>317</v>
      </c>
      <c r="AD123" s="10">
        <f t="shared" si="226"/>
        <v>7578</v>
      </c>
    </row>
    <row r="124" spans="1:30" ht="18.75">
      <c r="A124" s="119" t="s">
        <v>42</v>
      </c>
      <c r="B124" s="119"/>
      <c r="C124" s="114"/>
      <c r="D124" s="120" t="s">
        <v>78</v>
      </c>
      <c r="E124" s="120"/>
      <c r="F124" s="120"/>
      <c r="G124" s="120"/>
      <c r="H124" s="120"/>
      <c r="I124" s="120"/>
      <c r="J124" s="120"/>
      <c r="K124" s="120"/>
      <c r="L124" s="120"/>
      <c r="M124" s="120"/>
      <c r="N124" s="120"/>
      <c r="O124" s="120"/>
      <c r="P124" s="120"/>
      <c r="Q124" s="120"/>
      <c r="R124" s="120"/>
      <c r="S124" s="120"/>
      <c r="T124" s="120"/>
      <c r="U124" s="120"/>
      <c r="V124" s="120"/>
      <c r="W124" s="120"/>
      <c r="X124" s="120"/>
      <c r="Y124" s="120"/>
      <c r="Z124" s="120"/>
      <c r="AA124" s="120"/>
      <c r="AB124" s="120"/>
      <c r="AC124" s="120"/>
      <c r="AD124" s="120"/>
    </row>
    <row r="125" spans="1:30">
      <c r="A125" s="33">
        <v>1</v>
      </c>
      <c r="B125" s="49" t="s">
        <v>187</v>
      </c>
      <c r="C125" s="113" t="s">
        <v>151</v>
      </c>
      <c r="D125" s="19" t="s">
        <v>233</v>
      </c>
      <c r="E125" s="34" t="s">
        <v>34</v>
      </c>
      <c r="F125" s="1">
        <v>2500</v>
      </c>
      <c r="G125" s="1">
        <v>0</v>
      </c>
      <c r="H125" s="1">
        <v>1500</v>
      </c>
      <c r="I125" s="2">
        <f>F125+G125+H125</f>
        <v>4000</v>
      </c>
      <c r="J125" s="3">
        <v>31</v>
      </c>
      <c r="K125" s="8">
        <v>31</v>
      </c>
      <c r="L125" s="1">
        <f t="shared" ref="L125" si="227">F125/J125*K125</f>
        <v>2500</v>
      </c>
      <c r="M125" s="1">
        <f t="shared" ref="M125" si="228">G125/J125*K125</f>
        <v>0</v>
      </c>
      <c r="N125" s="1">
        <f>H125/$J125*$K125</f>
        <v>1500</v>
      </c>
      <c r="O125" s="4">
        <f>ROUND(L125+M125+N125,0)</f>
        <v>4000</v>
      </c>
      <c r="P125" s="5">
        <f>ROUND(Z125*12%,0)</f>
        <v>300</v>
      </c>
      <c r="Q125" s="5">
        <f>ROUNDUP(AB125*1.75%,0)</f>
        <v>70</v>
      </c>
      <c r="R125" s="6">
        <f>IF(O125&gt;40000,200,IF(O125&gt;25000,150,IF(O125&gt;15000,130,IF(O125&gt;10000,110,IF(O125&gt;8500,0,)))))</f>
        <v>0</v>
      </c>
      <c r="S125" s="1">
        <v>1000</v>
      </c>
      <c r="T125" s="1">
        <v>0</v>
      </c>
      <c r="U125" s="7">
        <f>SUM(P125:T125)</f>
        <v>1370</v>
      </c>
      <c r="V125" s="117">
        <f>O125-U125</f>
        <v>2630</v>
      </c>
      <c r="W125" s="3">
        <f>ROUND((I125/12)/J125*(K125),0)</f>
        <v>333</v>
      </c>
      <c r="X125" s="26">
        <f>V125+W125</f>
        <v>2963</v>
      </c>
      <c r="Y125" s="5"/>
      <c r="Z125" s="5">
        <f>ROUND(IF(($L125)&gt;15000,15000,IF(($L125)&lt;=15000,($L125))),0)</f>
        <v>2500</v>
      </c>
      <c r="AA125" s="5">
        <f>ROUND(Z125*13.36%,0)</f>
        <v>334</v>
      </c>
      <c r="AB125" s="5">
        <f>ROUND($I125/$J125*($K125),0)</f>
        <v>4000</v>
      </c>
      <c r="AC125" s="5">
        <f>ROUNDUP(AB125*4.75%,0)</f>
        <v>190</v>
      </c>
      <c r="AD125" s="35">
        <f>O125+W125+AA125+AC125</f>
        <v>4857</v>
      </c>
    </row>
    <row r="126" spans="1:30">
      <c r="A126" s="33"/>
      <c r="B126" s="49"/>
      <c r="C126" s="49"/>
      <c r="D126" s="19"/>
      <c r="E126" s="34"/>
      <c r="F126" s="1"/>
      <c r="G126" s="1"/>
      <c r="H126" s="1"/>
      <c r="I126" s="2"/>
      <c r="J126" s="3"/>
      <c r="K126" s="8"/>
      <c r="L126" s="1"/>
      <c r="M126" s="1"/>
      <c r="N126" s="1"/>
      <c r="O126" s="4"/>
      <c r="P126" s="5"/>
      <c r="Q126" s="5"/>
      <c r="R126" s="6"/>
      <c r="S126" s="1"/>
      <c r="T126" s="1"/>
      <c r="U126" s="7"/>
      <c r="V126" s="117"/>
      <c r="W126" s="3"/>
      <c r="X126" s="26"/>
      <c r="Y126" s="5"/>
      <c r="Z126" s="5"/>
      <c r="AA126" s="5"/>
      <c r="AB126" s="5"/>
      <c r="AC126" s="5"/>
      <c r="AD126" s="36"/>
    </row>
    <row r="127" spans="1:30">
      <c r="A127" s="25"/>
      <c r="B127" s="94"/>
      <c r="C127" s="94"/>
      <c r="D127" s="25"/>
      <c r="E127" s="9"/>
      <c r="F127" s="10"/>
      <c r="G127" s="10"/>
      <c r="H127" s="10"/>
      <c r="I127" s="10"/>
      <c r="J127" s="10"/>
      <c r="K127" s="8">
        <f>SUM(K125:K126)</f>
        <v>31</v>
      </c>
      <c r="L127" s="10">
        <f>SUM(L125:L126)</f>
        <v>2500</v>
      </c>
      <c r="M127" s="10">
        <f>SUM(M125:M126)</f>
        <v>0</v>
      </c>
      <c r="N127" s="10"/>
      <c r="O127" s="10">
        <f t="shared" ref="O127:AD127" si="229">SUM(O125:O126)</f>
        <v>4000</v>
      </c>
      <c r="P127" s="10">
        <f t="shared" si="229"/>
        <v>300</v>
      </c>
      <c r="Q127" s="10">
        <f t="shared" si="229"/>
        <v>70</v>
      </c>
      <c r="R127" s="10">
        <f t="shared" si="229"/>
        <v>0</v>
      </c>
      <c r="S127" s="10">
        <f t="shared" si="229"/>
        <v>1000</v>
      </c>
      <c r="T127" s="10">
        <f t="shared" si="229"/>
        <v>0</v>
      </c>
      <c r="U127" s="10">
        <f t="shared" si="229"/>
        <v>1370</v>
      </c>
      <c r="V127" s="118">
        <f t="shared" si="229"/>
        <v>2630</v>
      </c>
      <c r="W127" s="10">
        <f t="shared" si="229"/>
        <v>333</v>
      </c>
      <c r="X127" s="10">
        <f t="shared" si="229"/>
        <v>2963</v>
      </c>
      <c r="Y127" s="10">
        <f t="shared" si="229"/>
        <v>0</v>
      </c>
      <c r="Z127" s="10">
        <f t="shared" si="229"/>
        <v>2500</v>
      </c>
      <c r="AA127" s="10">
        <f t="shared" si="229"/>
        <v>334</v>
      </c>
      <c r="AB127" s="10">
        <f t="shared" si="229"/>
        <v>4000</v>
      </c>
      <c r="AC127" s="10">
        <f t="shared" si="229"/>
        <v>190</v>
      </c>
      <c r="AD127" s="10">
        <f t="shared" si="229"/>
        <v>4857</v>
      </c>
    </row>
    <row r="128" spans="1:30" ht="18.75">
      <c r="A128" s="119" t="s">
        <v>42</v>
      </c>
      <c r="B128" s="119"/>
      <c r="C128" s="114"/>
      <c r="D128" s="120" t="s">
        <v>79</v>
      </c>
      <c r="E128" s="120"/>
      <c r="F128" s="120"/>
      <c r="G128" s="120"/>
      <c r="H128" s="120"/>
      <c r="I128" s="120"/>
      <c r="J128" s="120"/>
      <c r="K128" s="120"/>
      <c r="L128" s="120"/>
      <c r="M128" s="120"/>
      <c r="N128" s="120"/>
      <c r="O128" s="120"/>
      <c r="P128" s="120"/>
      <c r="Q128" s="120"/>
      <c r="R128" s="120"/>
      <c r="S128" s="120"/>
      <c r="T128" s="120"/>
      <c r="U128" s="120"/>
      <c r="V128" s="120"/>
      <c r="W128" s="120"/>
      <c r="X128" s="120"/>
      <c r="Y128" s="120"/>
      <c r="Z128" s="120"/>
      <c r="AA128" s="120"/>
      <c r="AB128" s="120"/>
      <c r="AC128" s="120"/>
      <c r="AD128" s="120"/>
    </row>
    <row r="129" spans="1:30">
      <c r="A129" s="33">
        <v>1</v>
      </c>
      <c r="B129" s="49" t="s">
        <v>188</v>
      </c>
      <c r="C129" s="113" t="s">
        <v>152</v>
      </c>
      <c r="D129" s="19" t="s">
        <v>242</v>
      </c>
      <c r="E129" s="34" t="s">
        <v>34</v>
      </c>
      <c r="F129" s="1">
        <v>2450</v>
      </c>
      <c r="G129" s="1">
        <v>0</v>
      </c>
      <c r="H129" s="1">
        <v>2450</v>
      </c>
      <c r="I129" s="2">
        <f>F129+G129+H129</f>
        <v>4900</v>
      </c>
      <c r="J129" s="3">
        <v>26</v>
      </c>
      <c r="K129" s="8">
        <v>26</v>
      </c>
      <c r="L129" s="1">
        <f t="shared" ref="L129" si="230">F129/J129*K129</f>
        <v>2450</v>
      </c>
      <c r="M129" s="1">
        <f t="shared" ref="M129" si="231">G129/J129*K129</f>
        <v>0</v>
      </c>
      <c r="N129" s="1">
        <f>H129/$J129*$K129</f>
        <v>2450</v>
      </c>
      <c r="O129" s="4">
        <f>ROUND(L129+M129+N129,0)</f>
        <v>4900</v>
      </c>
      <c r="P129" s="5">
        <f>ROUND(Z129*12%,0)</f>
        <v>294</v>
      </c>
      <c r="Q129" s="5">
        <f>ROUNDUP(AB129*1.75%,0)</f>
        <v>86</v>
      </c>
      <c r="R129" s="6">
        <f>IF(O129&gt;40000,200,IF(O129&gt;25000,150,IF(O129&gt;15000,130,IF(O129&gt;10000,110,IF(O129&gt;8500,0,)))))</f>
        <v>0</v>
      </c>
      <c r="S129" s="1">
        <v>0</v>
      </c>
      <c r="T129" s="1">
        <v>0</v>
      </c>
      <c r="U129" s="7">
        <f>SUM(P129:T129)</f>
        <v>380</v>
      </c>
      <c r="V129" s="117">
        <f>O129-U129</f>
        <v>4520</v>
      </c>
      <c r="W129" s="3">
        <f>ROUND((I129/12)/J129*(K129),0)</f>
        <v>408</v>
      </c>
      <c r="X129" s="26">
        <f>V129+W129</f>
        <v>4928</v>
      </c>
      <c r="Y129" s="5"/>
      <c r="Z129" s="5">
        <f>ROUND(IF(($L129)&gt;15000,15000,IF(($L129)&lt;=15000,($L129))),0)</f>
        <v>2450</v>
      </c>
      <c r="AA129" s="5">
        <f>ROUND(Z129*13.36%,0)</f>
        <v>327</v>
      </c>
      <c r="AB129" s="5">
        <f>ROUND($I129/$J129*($K129),0)</f>
        <v>4900</v>
      </c>
      <c r="AC129" s="5">
        <f>ROUNDUP(AB129*4.75%,0)</f>
        <v>233</v>
      </c>
      <c r="AD129" s="35">
        <f>O129+W129+AA129+AC129</f>
        <v>5868</v>
      </c>
    </row>
    <row r="130" spans="1:30">
      <c r="A130" s="33"/>
      <c r="B130" s="49"/>
      <c r="C130" s="49"/>
      <c r="D130" s="19"/>
      <c r="E130" s="34"/>
      <c r="F130" s="1"/>
      <c r="G130" s="1"/>
      <c r="H130" s="1"/>
      <c r="I130" s="2"/>
      <c r="J130" s="3"/>
      <c r="K130" s="8"/>
      <c r="L130" s="1"/>
      <c r="M130" s="1"/>
      <c r="N130" s="1"/>
      <c r="O130" s="4"/>
      <c r="P130" s="5"/>
      <c r="Q130" s="5"/>
      <c r="R130" s="6"/>
      <c r="S130" s="1"/>
      <c r="T130" s="1"/>
      <c r="U130" s="7"/>
      <c r="V130" s="117"/>
      <c r="W130" s="3"/>
      <c r="X130" s="26"/>
      <c r="Y130" s="5"/>
      <c r="Z130" s="5"/>
      <c r="AA130" s="5"/>
      <c r="AB130" s="5"/>
      <c r="AC130" s="5"/>
      <c r="AD130" s="36"/>
    </row>
    <row r="131" spans="1:30">
      <c r="A131" s="25"/>
      <c r="B131" s="94"/>
      <c r="C131" s="94"/>
      <c r="D131" s="25"/>
      <c r="E131" s="9"/>
      <c r="F131" s="10"/>
      <c r="G131" s="10"/>
      <c r="H131" s="10"/>
      <c r="I131" s="10"/>
      <c r="J131" s="10"/>
      <c r="K131" s="8">
        <f>SUM(K129:K130)</f>
        <v>26</v>
      </c>
      <c r="L131" s="10">
        <f>SUM(L129:L130)</f>
        <v>2450</v>
      </c>
      <c r="M131" s="10">
        <f>SUM(M129:M130)</f>
        <v>0</v>
      </c>
      <c r="N131" s="10"/>
      <c r="O131" s="10">
        <f t="shared" ref="O131:AD131" si="232">SUM(O129:O130)</f>
        <v>4900</v>
      </c>
      <c r="P131" s="10">
        <f t="shared" si="232"/>
        <v>294</v>
      </c>
      <c r="Q131" s="10">
        <f t="shared" si="232"/>
        <v>86</v>
      </c>
      <c r="R131" s="10">
        <f t="shared" si="232"/>
        <v>0</v>
      </c>
      <c r="S131" s="10">
        <f t="shared" si="232"/>
        <v>0</v>
      </c>
      <c r="T131" s="10">
        <f t="shared" si="232"/>
        <v>0</v>
      </c>
      <c r="U131" s="10">
        <f t="shared" si="232"/>
        <v>380</v>
      </c>
      <c r="V131" s="118">
        <f t="shared" si="232"/>
        <v>4520</v>
      </c>
      <c r="W131" s="10">
        <f t="shared" si="232"/>
        <v>408</v>
      </c>
      <c r="X131" s="10">
        <f t="shared" si="232"/>
        <v>4928</v>
      </c>
      <c r="Y131" s="10">
        <f t="shared" si="232"/>
        <v>0</v>
      </c>
      <c r="Z131" s="10">
        <f t="shared" si="232"/>
        <v>2450</v>
      </c>
      <c r="AA131" s="10">
        <f t="shared" si="232"/>
        <v>327</v>
      </c>
      <c r="AB131" s="10">
        <f t="shared" si="232"/>
        <v>4900</v>
      </c>
      <c r="AC131" s="10">
        <f t="shared" si="232"/>
        <v>233</v>
      </c>
      <c r="AD131" s="10">
        <f t="shared" si="232"/>
        <v>5868</v>
      </c>
    </row>
    <row r="132" spans="1:30">
      <c r="A132" s="33">
        <v>1</v>
      </c>
      <c r="B132" s="49" t="s">
        <v>196</v>
      </c>
      <c r="C132" s="113" t="s">
        <v>152</v>
      </c>
      <c r="D132" s="19" t="s">
        <v>241</v>
      </c>
      <c r="E132" s="34" t="s">
        <v>24</v>
      </c>
      <c r="F132" s="1">
        <v>2713</v>
      </c>
      <c r="G132" s="1">
        <v>0</v>
      </c>
      <c r="H132" s="1">
        <v>2712</v>
      </c>
      <c r="I132" s="2">
        <f>F132+G132+H132</f>
        <v>5425</v>
      </c>
      <c r="J132" s="3">
        <v>26</v>
      </c>
      <c r="K132" s="8">
        <v>26</v>
      </c>
      <c r="L132" s="1">
        <f t="shared" ref="L132" si="233">F132/J132*K132</f>
        <v>2713</v>
      </c>
      <c r="M132" s="1">
        <f t="shared" ref="M132" si="234">G132/J132*K132</f>
        <v>0</v>
      </c>
      <c r="N132" s="1">
        <f>H132/$J132*$K132</f>
        <v>2712</v>
      </c>
      <c r="O132" s="4">
        <f>ROUND(L132+M132+N132,0)</f>
        <v>5425</v>
      </c>
      <c r="P132" s="5">
        <f>ROUND(Z132*12%,0)</f>
        <v>326</v>
      </c>
      <c r="Q132" s="5">
        <f>ROUNDUP(AB132*1.75%,0)</f>
        <v>95</v>
      </c>
      <c r="R132" s="6">
        <f>IF(O132&gt;40000,200,IF(O132&gt;25000,150,IF(O132&gt;15000,130,IF(O132&gt;10000,110,IF(O132&gt;8500,0,)))))</f>
        <v>0</v>
      </c>
      <c r="S132" s="1">
        <v>0</v>
      </c>
      <c r="T132" s="1">
        <v>0</v>
      </c>
      <c r="U132" s="7">
        <f>SUM(P132:T132)</f>
        <v>421</v>
      </c>
      <c r="V132" s="117">
        <f>O132-U132</f>
        <v>5004</v>
      </c>
      <c r="W132" s="3">
        <f>ROUND((I132/12)/J132*(K132),0)</f>
        <v>452</v>
      </c>
      <c r="X132" s="26">
        <f>V132+W132</f>
        <v>5456</v>
      </c>
      <c r="Y132" s="5"/>
      <c r="Z132" s="5">
        <f>ROUND(IF(($L132)&gt;15000,15000,IF(($L132)&lt;=15000,($L132))),0)</f>
        <v>2713</v>
      </c>
      <c r="AA132" s="5">
        <f>ROUND(Z132*13.36%,0)</f>
        <v>362</v>
      </c>
      <c r="AB132" s="5">
        <f>ROUND($I132/$J132*($K132),0)</f>
        <v>5425</v>
      </c>
      <c r="AC132" s="5">
        <f>ROUNDUP(AB132*4.75%,0)</f>
        <v>258</v>
      </c>
      <c r="AD132" s="35">
        <f>O132+W132+AA132+AC132</f>
        <v>6497</v>
      </c>
    </row>
    <row r="133" spans="1:30">
      <c r="A133" s="33"/>
      <c r="B133" s="49"/>
      <c r="C133" s="49"/>
      <c r="D133" s="19"/>
      <c r="E133" s="34"/>
      <c r="F133" s="1"/>
      <c r="G133" s="1"/>
      <c r="H133" s="1"/>
      <c r="I133" s="2"/>
      <c r="J133" s="3"/>
      <c r="K133" s="8"/>
      <c r="L133" s="1"/>
      <c r="M133" s="1"/>
      <c r="N133" s="1"/>
      <c r="O133" s="4"/>
      <c r="P133" s="5"/>
      <c r="Q133" s="5"/>
      <c r="R133" s="6"/>
      <c r="S133" s="1"/>
      <c r="T133" s="1"/>
      <c r="U133" s="7"/>
      <c r="V133" s="117"/>
      <c r="W133" s="3"/>
      <c r="X133" s="26"/>
      <c r="Y133" s="5"/>
      <c r="Z133" s="5"/>
      <c r="AA133" s="5"/>
      <c r="AB133" s="5"/>
      <c r="AC133" s="5"/>
      <c r="AD133" s="36"/>
    </row>
    <row r="134" spans="1:30">
      <c r="A134" s="25"/>
      <c r="B134" s="94"/>
      <c r="C134" s="94"/>
      <c r="D134" s="25"/>
      <c r="E134" s="9"/>
      <c r="F134" s="10"/>
      <c r="G134" s="10"/>
      <c r="H134" s="10"/>
      <c r="I134" s="10"/>
      <c r="J134" s="10"/>
      <c r="K134" s="8">
        <f>SUM(K132:K133)</f>
        <v>26</v>
      </c>
      <c r="L134" s="10">
        <f>SUM(L132:L133)</f>
        <v>2713</v>
      </c>
      <c r="M134" s="10">
        <f>SUM(M132:M133)</f>
        <v>0</v>
      </c>
      <c r="N134" s="10"/>
      <c r="O134" s="10">
        <f t="shared" ref="O134:AD134" si="235">SUM(O132:O133)</f>
        <v>5425</v>
      </c>
      <c r="P134" s="10">
        <f t="shared" si="235"/>
        <v>326</v>
      </c>
      <c r="Q134" s="10">
        <f t="shared" si="235"/>
        <v>95</v>
      </c>
      <c r="R134" s="10">
        <f t="shared" si="235"/>
        <v>0</v>
      </c>
      <c r="S134" s="10">
        <f t="shared" si="235"/>
        <v>0</v>
      </c>
      <c r="T134" s="10">
        <f t="shared" si="235"/>
        <v>0</v>
      </c>
      <c r="U134" s="10">
        <f t="shared" si="235"/>
        <v>421</v>
      </c>
      <c r="V134" s="118">
        <f t="shared" si="235"/>
        <v>5004</v>
      </c>
      <c r="W134" s="10">
        <f t="shared" si="235"/>
        <v>452</v>
      </c>
      <c r="X134" s="10">
        <f t="shared" si="235"/>
        <v>5456</v>
      </c>
      <c r="Y134" s="10">
        <f t="shared" si="235"/>
        <v>0</v>
      </c>
      <c r="Z134" s="10">
        <f t="shared" si="235"/>
        <v>2713</v>
      </c>
      <c r="AA134" s="10">
        <f t="shared" si="235"/>
        <v>362</v>
      </c>
      <c r="AB134" s="10">
        <f t="shared" si="235"/>
        <v>5425</v>
      </c>
      <c r="AC134" s="10">
        <f t="shared" si="235"/>
        <v>258</v>
      </c>
      <c r="AD134" s="10">
        <f t="shared" si="235"/>
        <v>6497</v>
      </c>
    </row>
    <row r="135" spans="1:30" ht="18.75">
      <c r="A135" s="119" t="s">
        <v>42</v>
      </c>
      <c r="B135" s="119"/>
      <c r="C135" s="114"/>
      <c r="D135" s="120" t="s">
        <v>80</v>
      </c>
      <c r="E135" s="120"/>
      <c r="F135" s="120"/>
      <c r="G135" s="120"/>
      <c r="H135" s="120"/>
      <c r="I135" s="120"/>
      <c r="J135" s="120"/>
      <c r="K135" s="120"/>
      <c r="L135" s="120"/>
      <c r="M135" s="120"/>
      <c r="N135" s="120"/>
      <c r="O135" s="120"/>
      <c r="P135" s="120"/>
      <c r="Q135" s="120"/>
      <c r="R135" s="120"/>
      <c r="S135" s="120"/>
      <c r="T135" s="120"/>
      <c r="U135" s="120"/>
      <c r="V135" s="120"/>
      <c r="W135" s="120"/>
      <c r="X135" s="120"/>
      <c r="Y135" s="120"/>
      <c r="Z135" s="120"/>
      <c r="AA135" s="120"/>
      <c r="AB135" s="120"/>
      <c r="AC135" s="120"/>
      <c r="AD135" s="120"/>
    </row>
    <row r="136" spans="1:30">
      <c r="A136" s="33">
        <v>1</v>
      </c>
      <c r="B136" s="49" t="s">
        <v>189</v>
      </c>
      <c r="C136" s="113" t="s">
        <v>166</v>
      </c>
      <c r="D136" s="19" t="s">
        <v>243</v>
      </c>
      <c r="E136" s="34" t="s">
        <v>24</v>
      </c>
      <c r="F136" s="1">
        <v>7546</v>
      </c>
      <c r="G136" s="1">
        <v>0</v>
      </c>
      <c r="H136" s="1">
        <v>2554</v>
      </c>
      <c r="I136" s="2">
        <f>F136+G136+H136</f>
        <v>10100</v>
      </c>
      <c r="J136" s="3">
        <v>26</v>
      </c>
      <c r="K136" s="8">
        <v>29</v>
      </c>
      <c r="L136" s="1">
        <f t="shared" ref="L136:L137" si="236">F136/J136*K136</f>
        <v>8416.6923076923067</v>
      </c>
      <c r="M136" s="1">
        <f t="shared" ref="M136:M137" si="237">G136/J136*K136</f>
        <v>0</v>
      </c>
      <c r="N136" s="1">
        <f>H136/$J136*$K136</f>
        <v>2848.6923076923076</v>
      </c>
      <c r="O136" s="4">
        <f>ROUND(L136+M136+N136,0)</f>
        <v>11265</v>
      </c>
      <c r="P136" s="5">
        <f>ROUND(Z136*12%,0)</f>
        <v>1010</v>
      </c>
      <c r="Q136" s="5">
        <f>ROUNDUP(AB136*1.75%,0)</f>
        <v>198</v>
      </c>
      <c r="R136" s="6">
        <f>IF(O136&gt;40000,200,IF(O136&gt;25000,150,IF(O136&gt;15000,130,IF(O136&gt;10000,110,IF(O136&gt;8500,0,)))))</f>
        <v>110</v>
      </c>
      <c r="S136" s="1">
        <v>0</v>
      </c>
      <c r="T136" s="1">
        <v>0</v>
      </c>
      <c r="U136" s="7">
        <f>SUM(P136:T136)</f>
        <v>1318</v>
      </c>
      <c r="V136" s="117">
        <f>O136-U136</f>
        <v>9947</v>
      </c>
      <c r="W136" s="3">
        <f>ROUND((F136/12)/J136*(K136),0)</f>
        <v>701</v>
      </c>
      <c r="X136" s="26">
        <f>V136+W136</f>
        <v>10648</v>
      </c>
      <c r="Y136" s="5"/>
      <c r="Z136" s="5">
        <f>ROUND(IF(($L136)&gt;15000,15000,IF(($L136)&lt;=15000,($L136))),0)</f>
        <v>8417</v>
      </c>
      <c r="AA136" s="5">
        <f>ROUND(Z136*13.36%,0)</f>
        <v>1125</v>
      </c>
      <c r="AB136" s="5">
        <f>ROUND($I136/$J136*($K136),0)</f>
        <v>11265</v>
      </c>
      <c r="AC136" s="5">
        <f>ROUNDUP(AB136*4.75%,0)</f>
        <v>536</v>
      </c>
      <c r="AD136" s="35">
        <f>O136+W136+AA136+AC136</f>
        <v>13627</v>
      </c>
    </row>
    <row r="137" spans="1:30">
      <c r="A137" s="33">
        <v>2</v>
      </c>
      <c r="B137" s="49" t="s">
        <v>195</v>
      </c>
      <c r="C137" s="113" t="s">
        <v>166</v>
      </c>
      <c r="D137" s="19" t="s">
        <v>244</v>
      </c>
      <c r="E137" s="34" t="s">
        <v>24</v>
      </c>
      <c r="F137" s="1">
        <v>7546</v>
      </c>
      <c r="G137" s="1">
        <v>0</v>
      </c>
      <c r="H137" s="1">
        <v>2554</v>
      </c>
      <c r="I137" s="2">
        <f t="shared" ref="I137" si="238">F137+G137+H137</f>
        <v>10100</v>
      </c>
      <c r="J137" s="3">
        <v>26</v>
      </c>
      <c r="K137" s="8">
        <v>2</v>
      </c>
      <c r="L137" s="1">
        <f t="shared" si="236"/>
        <v>580.46153846153845</v>
      </c>
      <c r="M137" s="1">
        <f t="shared" si="237"/>
        <v>0</v>
      </c>
      <c r="N137" s="1">
        <f t="shared" ref="N137" si="239">H137/$J137*$K137</f>
        <v>196.46153846153845</v>
      </c>
      <c r="O137" s="4">
        <f t="shared" ref="O137" si="240">ROUND(L137+M137+N137,0)</f>
        <v>777</v>
      </c>
      <c r="P137" s="5">
        <f t="shared" ref="P137" si="241">ROUND(Z137*12%,0)</f>
        <v>70</v>
      </c>
      <c r="Q137" s="5">
        <f t="shared" ref="Q137" si="242">ROUNDUP(AB137*1.75%,0)</f>
        <v>14</v>
      </c>
      <c r="R137" s="6">
        <f t="shared" ref="R137" si="243">IF(O137&gt;40000,200,IF(O137&gt;25000,150,IF(O137&gt;15000,130,IF(O137&gt;10000,110,IF(O137&gt;8500,0,)))))</f>
        <v>0</v>
      </c>
      <c r="S137" s="1">
        <v>0</v>
      </c>
      <c r="T137" s="1">
        <v>0</v>
      </c>
      <c r="U137" s="7">
        <f t="shared" ref="U137" si="244">SUM(P137:T137)</f>
        <v>84</v>
      </c>
      <c r="V137" s="117">
        <f t="shared" ref="V137" si="245">O137-U137</f>
        <v>693</v>
      </c>
      <c r="W137" s="3">
        <f t="shared" ref="W137" si="246">ROUND((I137/12)/J137*(K137),0)</f>
        <v>65</v>
      </c>
      <c r="X137" s="26">
        <f t="shared" ref="X137" si="247">V137+W137</f>
        <v>758</v>
      </c>
      <c r="Y137" s="5"/>
      <c r="Z137" s="5">
        <f t="shared" ref="Z137" si="248">ROUND(IF(($L137)&gt;15000,15000,IF(($L137)&lt;=15000,($L137))),0)</f>
        <v>580</v>
      </c>
      <c r="AA137" s="5">
        <f t="shared" ref="AA137" si="249">ROUND(Z137*13.36%,0)</f>
        <v>77</v>
      </c>
      <c r="AB137" s="5">
        <f t="shared" ref="AB137" si="250">ROUND($I137/$J137*($K137),0)</f>
        <v>777</v>
      </c>
      <c r="AC137" s="5">
        <f t="shared" ref="AC137" si="251">ROUNDUP(AB137*4.75%,0)</f>
        <v>37</v>
      </c>
      <c r="AD137" s="35">
        <f t="shared" ref="AD137" si="252">O137+W137+AA137+AC137</f>
        <v>956</v>
      </c>
    </row>
    <row r="138" spans="1:30">
      <c r="A138" s="33"/>
      <c r="B138" s="49"/>
      <c r="C138" s="49"/>
      <c r="D138" s="19"/>
      <c r="E138" s="34"/>
      <c r="F138" s="1"/>
      <c r="G138" s="1"/>
      <c r="H138" s="1"/>
      <c r="I138" s="2"/>
      <c r="J138" s="3"/>
      <c r="K138" s="8"/>
      <c r="L138" s="1"/>
      <c r="M138" s="1"/>
      <c r="N138" s="1"/>
      <c r="O138" s="4"/>
      <c r="P138" s="5"/>
      <c r="Q138" s="5"/>
      <c r="R138" s="6"/>
      <c r="S138" s="1"/>
      <c r="T138" s="1"/>
      <c r="U138" s="7"/>
      <c r="V138" s="117"/>
      <c r="W138" s="3"/>
      <c r="X138" s="26"/>
      <c r="Y138" s="5"/>
      <c r="Z138" s="5"/>
      <c r="AA138" s="5"/>
      <c r="AB138" s="5"/>
      <c r="AC138" s="5"/>
      <c r="AD138" s="36"/>
    </row>
    <row r="139" spans="1:30">
      <c r="A139" s="25"/>
      <c r="B139" s="94"/>
      <c r="C139" s="94"/>
      <c r="D139" s="25"/>
      <c r="E139" s="9"/>
      <c r="F139" s="10"/>
      <c r="G139" s="10"/>
      <c r="H139" s="10"/>
      <c r="I139" s="10"/>
      <c r="J139" s="10"/>
      <c r="K139" s="8">
        <f>SUM(K136:K138)</f>
        <v>31</v>
      </c>
      <c r="L139" s="10">
        <f>SUM(L136:L138)</f>
        <v>8997.1538461538457</v>
      </c>
      <c r="M139" s="10">
        <f>SUM(M136:M138)</f>
        <v>0</v>
      </c>
      <c r="N139" s="10"/>
      <c r="O139" s="10">
        <f t="shared" ref="O139:AD139" si="253">SUM(O136:O138)</f>
        <v>12042</v>
      </c>
      <c r="P139" s="10">
        <f t="shared" si="253"/>
        <v>1080</v>
      </c>
      <c r="Q139" s="10">
        <f t="shared" si="253"/>
        <v>212</v>
      </c>
      <c r="R139" s="10">
        <f t="shared" si="253"/>
        <v>110</v>
      </c>
      <c r="S139" s="10">
        <f t="shared" si="253"/>
        <v>0</v>
      </c>
      <c r="T139" s="10">
        <f t="shared" si="253"/>
        <v>0</v>
      </c>
      <c r="U139" s="10">
        <f t="shared" si="253"/>
        <v>1402</v>
      </c>
      <c r="V139" s="118">
        <f t="shared" si="253"/>
        <v>10640</v>
      </c>
      <c r="W139" s="10">
        <f t="shared" si="253"/>
        <v>766</v>
      </c>
      <c r="X139" s="10">
        <f t="shared" si="253"/>
        <v>11406</v>
      </c>
      <c r="Y139" s="10">
        <f t="shared" si="253"/>
        <v>0</v>
      </c>
      <c r="Z139" s="10">
        <f t="shared" si="253"/>
        <v>8997</v>
      </c>
      <c r="AA139" s="10">
        <f t="shared" si="253"/>
        <v>1202</v>
      </c>
      <c r="AB139" s="10">
        <f t="shared" si="253"/>
        <v>12042</v>
      </c>
      <c r="AC139" s="10">
        <f t="shared" si="253"/>
        <v>573</v>
      </c>
      <c r="AD139" s="10">
        <f t="shared" si="253"/>
        <v>14583</v>
      </c>
    </row>
    <row r="140" spans="1:30">
      <c r="A140" s="33">
        <v>1</v>
      </c>
      <c r="B140" s="49" t="s">
        <v>249</v>
      </c>
      <c r="C140" s="113" t="s">
        <v>166</v>
      </c>
      <c r="D140" s="19" t="s">
        <v>250</v>
      </c>
      <c r="E140" s="34" t="s">
        <v>34</v>
      </c>
      <c r="F140" s="1">
        <v>5509</v>
      </c>
      <c r="G140" s="1">
        <v>2361</v>
      </c>
      <c r="H140" s="1">
        <v>0</v>
      </c>
      <c r="I140" s="2">
        <f>F140+G140+H140</f>
        <v>7870</v>
      </c>
      <c r="J140" s="3">
        <v>26</v>
      </c>
      <c r="K140" s="8">
        <v>1</v>
      </c>
      <c r="L140" s="1">
        <f t="shared" ref="L140" si="254">F140/J140*K140</f>
        <v>211.88461538461539</v>
      </c>
      <c r="M140" s="1">
        <f t="shared" ref="M140" si="255">G140/J140*K140</f>
        <v>90.807692307692307</v>
      </c>
      <c r="N140" s="1">
        <f>H140/$J140*$K140</f>
        <v>0</v>
      </c>
      <c r="O140" s="4">
        <f>ROUND(L140+M140+N140,0)</f>
        <v>303</v>
      </c>
      <c r="P140" s="5">
        <f>ROUND(Z140*12%,0)</f>
        <v>25</v>
      </c>
      <c r="Q140" s="5">
        <f>ROUNDUP(AB140*1.75%,0)</f>
        <v>6</v>
      </c>
      <c r="R140" s="6">
        <f>IF(O140&gt;40000,200,IF(O140&gt;25000,150,IF(O140&gt;15000,130,IF(O140&gt;10000,110,IF(O140&gt;8500,0,)))))</f>
        <v>0</v>
      </c>
      <c r="S140" s="1">
        <v>0</v>
      </c>
      <c r="T140" s="1">
        <v>0</v>
      </c>
      <c r="U140" s="7">
        <f>SUM(P140:T140)</f>
        <v>31</v>
      </c>
      <c r="V140" s="117">
        <f>O140-U140</f>
        <v>272</v>
      </c>
      <c r="W140" s="3">
        <f>ROUND((F140/12)/J140*(K140),0)</f>
        <v>18</v>
      </c>
      <c r="X140" s="26">
        <f>V140+W140</f>
        <v>290</v>
      </c>
      <c r="Y140" s="5"/>
      <c r="Z140" s="5">
        <f>ROUND(IF(($L140)&gt;15000,15000,IF(($L140)&lt;=15000,($L140))),0)</f>
        <v>212</v>
      </c>
      <c r="AA140" s="5">
        <f>ROUND(Z140*13.36%,0)</f>
        <v>28</v>
      </c>
      <c r="AB140" s="5">
        <f>ROUND($I140/$J140*($K140),0)</f>
        <v>303</v>
      </c>
      <c r="AC140" s="5">
        <f>ROUNDUP(AB140*4.75%,0)</f>
        <v>15</v>
      </c>
      <c r="AD140" s="35">
        <f>O140+W140+AA140+AC140</f>
        <v>364</v>
      </c>
    </row>
    <row r="141" spans="1:30">
      <c r="A141" s="33"/>
      <c r="B141" s="49"/>
      <c r="C141" s="49"/>
      <c r="D141" s="19"/>
      <c r="E141" s="34"/>
      <c r="F141" s="1"/>
      <c r="G141" s="1"/>
      <c r="H141" s="1"/>
      <c r="I141" s="2"/>
      <c r="J141" s="3"/>
      <c r="K141" s="8"/>
      <c r="L141" s="1"/>
      <c r="M141" s="1"/>
      <c r="N141" s="1"/>
      <c r="O141" s="4"/>
      <c r="P141" s="5"/>
      <c r="Q141" s="5"/>
      <c r="R141" s="6"/>
      <c r="S141" s="1"/>
      <c r="T141" s="1"/>
      <c r="U141" s="7"/>
      <c r="V141" s="117"/>
      <c r="W141" s="3"/>
      <c r="X141" s="26"/>
      <c r="Y141" s="5"/>
      <c r="Z141" s="5"/>
      <c r="AA141" s="5"/>
      <c r="AB141" s="5"/>
      <c r="AC141" s="5"/>
      <c r="AD141" s="36"/>
    </row>
    <row r="142" spans="1:30">
      <c r="A142" s="25"/>
      <c r="B142" s="94"/>
      <c r="C142" s="94"/>
      <c r="D142" s="25"/>
      <c r="E142" s="9"/>
      <c r="F142" s="10"/>
      <c r="G142" s="10"/>
      <c r="H142" s="10"/>
      <c r="I142" s="10"/>
      <c r="J142" s="10"/>
      <c r="K142" s="8">
        <f>SUM(K140:K141)</f>
        <v>1</v>
      </c>
      <c r="L142" s="10">
        <f>SUM(L140:L141)</f>
        <v>211.88461538461539</v>
      </c>
      <c r="M142" s="10">
        <f>SUM(M140:M141)</f>
        <v>90.807692307692307</v>
      </c>
      <c r="N142" s="10"/>
      <c r="O142" s="10">
        <f t="shared" ref="O142:AD142" si="256">SUM(O140:O141)</f>
        <v>303</v>
      </c>
      <c r="P142" s="10">
        <f t="shared" si="256"/>
        <v>25</v>
      </c>
      <c r="Q142" s="10">
        <f t="shared" si="256"/>
        <v>6</v>
      </c>
      <c r="R142" s="10">
        <f t="shared" si="256"/>
        <v>0</v>
      </c>
      <c r="S142" s="10">
        <f t="shared" si="256"/>
        <v>0</v>
      </c>
      <c r="T142" s="10">
        <f t="shared" si="256"/>
        <v>0</v>
      </c>
      <c r="U142" s="10">
        <f t="shared" si="256"/>
        <v>31</v>
      </c>
      <c r="V142" s="118">
        <f t="shared" si="256"/>
        <v>272</v>
      </c>
      <c r="W142" s="10">
        <f t="shared" si="256"/>
        <v>18</v>
      </c>
      <c r="X142" s="10">
        <f t="shared" si="256"/>
        <v>290</v>
      </c>
      <c r="Y142" s="10">
        <f t="shared" si="256"/>
        <v>0</v>
      </c>
      <c r="Z142" s="10">
        <f t="shared" si="256"/>
        <v>212</v>
      </c>
      <c r="AA142" s="10">
        <f t="shared" si="256"/>
        <v>28</v>
      </c>
      <c r="AB142" s="10">
        <f t="shared" si="256"/>
        <v>303</v>
      </c>
      <c r="AC142" s="10">
        <f t="shared" si="256"/>
        <v>15</v>
      </c>
      <c r="AD142" s="10">
        <f t="shared" si="256"/>
        <v>364</v>
      </c>
    </row>
    <row r="143" spans="1:30" ht="18.75">
      <c r="A143" s="119" t="s">
        <v>42</v>
      </c>
      <c r="B143" s="119"/>
      <c r="C143" s="114"/>
      <c r="D143" s="120" t="s">
        <v>168</v>
      </c>
      <c r="E143" s="120"/>
      <c r="F143" s="120"/>
      <c r="G143" s="120"/>
      <c r="H143" s="120"/>
      <c r="I143" s="120"/>
      <c r="J143" s="120"/>
      <c r="K143" s="120"/>
      <c r="L143" s="120"/>
      <c r="M143" s="120"/>
      <c r="N143" s="120"/>
      <c r="O143" s="120"/>
      <c r="P143" s="120"/>
      <c r="Q143" s="120"/>
      <c r="R143" s="120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20"/>
      <c r="AC143" s="120"/>
      <c r="AD143" s="120"/>
    </row>
    <row r="144" spans="1:30">
      <c r="A144" s="33">
        <v>1</v>
      </c>
      <c r="B144" s="49" t="s">
        <v>191</v>
      </c>
      <c r="C144" s="113" t="s">
        <v>167</v>
      </c>
      <c r="D144" s="19" t="s">
        <v>251</v>
      </c>
      <c r="E144" s="34" t="s">
        <v>24</v>
      </c>
      <c r="F144" s="1">
        <v>2800</v>
      </c>
      <c r="G144" s="1">
        <v>0</v>
      </c>
      <c r="H144" s="1">
        <v>2700</v>
      </c>
      <c r="I144" s="2">
        <f>F144+G144+H144</f>
        <v>5500</v>
      </c>
      <c r="J144" s="3">
        <v>26</v>
      </c>
      <c r="K144" s="8">
        <v>31</v>
      </c>
      <c r="L144" s="1">
        <f t="shared" ref="L144:L145" si="257">F144/J144*K144</f>
        <v>3338.4615384615386</v>
      </c>
      <c r="M144" s="1">
        <f t="shared" ref="M144:M145" si="258">G144/J144*K144</f>
        <v>0</v>
      </c>
      <c r="N144" s="1">
        <f>H144/$J144*$K144</f>
        <v>3219.2307692307691</v>
      </c>
      <c r="O144" s="4">
        <f>ROUND(L144+M144+N144,0)</f>
        <v>6558</v>
      </c>
      <c r="P144" s="5">
        <f>ROUND(Z144*12%,0)</f>
        <v>401</v>
      </c>
      <c r="Q144" s="5">
        <f>ROUNDUP(AB144*1.75%,0)</f>
        <v>115</v>
      </c>
      <c r="R144" s="6">
        <f>IF(O144&gt;40000,200,IF(O144&gt;25000,150,IF(O144&gt;15000,130,IF(O144&gt;10000,110,IF(O144&gt;8500,0,)))))</f>
        <v>0</v>
      </c>
      <c r="S144" s="1">
        <v>0</v>
      </c>
      <c r="T144" s="1">
        <v>0</v>
      </c>
      <c r="U144" s="7">
        <f>SUM(P144:T144)</f>
        <v>516</v>
      </c>
      <c r="V144" s="117">
        <f>O144-U144</f>
        <v>6042</v>
      </c>
      <c r="W144" s="3">
        <f>ROUND((I144/12)/J144*(K144),0)</f>
        <v>546</v>
      </c>
      <c r="X144" s="26">
        <f>V144+W144</f>
        <v>6588</v>
      </c>
      <c r="Y144" s="5"/>
      <c r="Z144" s="5">
        <f>ROUND(IF(($L144)&gt;15000,15000,IF(($L144)&lt;=15000,($L144))),0)</f>
        <v>3338</v>
      </c>
      <c r="AA144" s="5">
        <f>ROUND(Z144*13.36%,0)</f>
        <v>446</v>
      </c>
      <c r="AB144" s="5">
        <f>ROUND($I144/$J144*($K144),0)</f>
        <v>6558</v>
      </c>
      <c r="AC144" s="5">
        <f>ROUNDUP(AB144*4.75%,0)</f>
        <v>312</v>
      </c>
      <c r="AD144" s="35">
        <f>O144+W144+AA144+AC144</f>
        <v>7862</v>
      </c>
    </row>
    <row r="145" spans="1:30">
      <c r="A145" s="33">
        <v>2</v>
      </c>
      <c r="B145" s="49" t="s">
        <v>192</v>
      </c>
      <c r="C145" s="113" t="s">
        <v>167</v>
      </c>
      <c r="D145" s="19" t="s">
        <v>252</v>
      </c>
      <c r="E145" s="34" t="s">
        <v>24</v>
      </c>
      <c r="F145" s="1">
        <v>2800</v>
      </c>
      <c r="G145" s="1">
        <v>0</v>
      </c>
      <c r="H145" s="1">
        <v>2700</v>
      </c>
      <c r="I145" s="2">
        <f t="shared" ref="I145" si="259">F145+G145+H145</f>
        <v>5500</v>
      </c>
      <c r="J145" s="3">
        <v>26</v>
      </c>
      <c r="K145" s="8">
        <v>30</v>
      </c>
      <c r="L145" s="1">
        <f t="shared" si="257"/>
        <v>3230.7692307692309</v>
      </c>
      <c r="M145" s="1">
        <f t="shared" si="258"/>
        <v>0</v>
      </c>
      <c r="N145" s="1">
        <f t="shared" ref="N145" si="260">H145/$J145*$K145</f>
        <v>3115.3846153846152</v>
      </c>
      <c r="O145" s="4">
        <f t="shared" ref="O145" si="261">ROUND(L145+M145+N145,0)</f>
        <v>6346</v>
      </c>
      <c r="P145" s="5">
        <f t="shared" ref="P145" si="262">ROUND(Z145*12%,0)</f>
        <v>388</v>
      </c>
      <c r="Q145" s="5">
        <f t="shared" ref="Q145" si="263">ROUNDUP(AB145*1.75%,0)</f>
        <v>112</v>
      </c>
      <c r="R145" s="6">
        <f t="shared" ref="R145" si="264">IF(O145&gt;40000,200,IF(O145&gt;25000,150,IF(O145&gt;15000,130,IF(O145&gt;10000,110,IF(O145&gt;8500,0,)))))</f>
        <v>0</v>
      </c>
      <c r="S145" s="1">
        <v>0</v>
      </c>
      <c r="T145" s="1">
        <v>0</v>
      </c>
      <c r="U145" s="7">
        <f t="shared" ref="U145" si="265">SUM(P145:T145)</f>
        <v>500</v>
      </c>
      <c r="V145" s="117">
        <f t="shared" ref="V145" si="266">O145-U145</f>
        <v>5846</v>
      </c>
      <c r="W145" s="3">
        <f t="shared" ref="W145" si="267">ROUND((I145/12)/J145*(K145),0)</f>
        <v>529</v>
      </c>
      <c r="X145" s="26">
        <f t="shared" ref="X145" si="268">V145+W145</f>
        <v>6375</v>
      </c>
      <c r="Y145" s="5"/>
      <c r="Z145" s="5">
        <f t="shared" ref="Z145" si="269">ROUND(IF(($L145)&gt;15000,15000,IF(($L145)&lt;=15000,($L145))),0)</f>
        <v>3231</v>
      </c>
      <c r="AA145" s="5">
        <f t="shared" ref="AA145" si="270">ROUND(Z145*13.36%,0)</f>
        <v>432</v>
      </c>
      <c r="AB145" s="5">
        <f t="shared" ref="AB145" si="271">ROUND($I145/$J145*($K145),0)</f>
        <v>6346</v>
      </c>
      <c r="AC145" s="5">
        <f t="shared" ref="AC145" si="272">ROUNDUP(AB145*4.75%,0)</f>
        <v>302</v>
      </c>
      <c r="AD145" s="35">
        <f t="shared" ref="AD145" si="273">O145+W145+AA145+AC145</f>
        <v>7609</v>
      </c>
    </row>
    <row r="146" spans="1:30">
      <c r="A146" s="33"/>
      <c r="B146" s="49"/>
      <c r="C146" s="49"/>
      <c r="D146" s="19"/>
      <c r="E146" s="34"/>
      <c r="F146" s="1"/>
      <c r="G146" s="1"/>
      <c r="H146" s="1"/>
      <c r="I146" s="2"/>
      <c r="J146" s="3"/>
      <c r="K146" s="8"/>
      <c r="L146" s="1"/>
      <c r="M146" s="1"/>
      <c r="N146" s="1"/>
      <c r="O146" s="4"/>
      <c r="P146" s="5"/>
      <c r="Q146" s="5"/>
      <c r="R146" s="6"/>
      <c r="S146" s="1"/>
      <c r="T146" s="1"/>
      <c r="U146" s="7"/>
      <c r="V146" s="117"/>
      <c r="W146" s="3"/>
      <c r="X146" s="26"/>
      <c r="Y146" s="5"/>
      <c r="Z146" s="5"/>
      <c r="AA146" s="5"/>
      <c r="AB146" s="5"/>
      <c r="AC146" s="5"/>
      <c r="AD146" s="36"/>
    </row>
    <row r="147" spans="1:30">
      <c r="A147" s="25"/>
      <c r="B147" s="94"/>
      <c r="C147" s="94"/>
      <c r="D147" s="25"/>
      <c r="E147" s="9"/>
      <c r="F147" s="10"/>
      <c r="G147" s="10"/>
      <c r="H147" s="10"/>
      <c r="I147" s="10"/>
      <c r="J147" s="10"/>
      <c r="K147" s="8">
        <f>SUM(K144:K146)</f>
        <v>61</v>
      </c>
      <c r="L147" s="10">
        <f>SUM(L144:L146)</f>
        <v>6569.2307692307695</v>
      </c>
      <c r="M147" s="10">
        <f>SUM(M144:M146)</f>
        <v>0</v>
      </c>
      <c r="N147" s="10"/>
      <c r="O147" s="10">
        <f t="shared" ref="O147:AD147" si="274">SUM(O144:O146)</f>
        <v>12904</v>
      </c>
      <c r="P147" s="10">
        <f t="shared" si="274"/>
        <v>789</v>
      </c>
      <c r="Q147" s="10">
        <f t="shared" si="274"/>
        <v>227</v>
      </c>
      <c r="R147" s="10">
        <f t="shared" si="274"/>
        <v>0</v>
      </c>
      <c r="S147" s="10">
        <f t="shared" si="274"/>
        <v>0</v>
      </c>
      <c r="T147" s="10">
        <f t="shared" si="274"/>
        <v>0</v>
      </c>
      <c r="U147" s="10">
        <f t="shared" si="274"/>
        <v>1016</v>
      </c>
      <c r="V147" s="118">
        <f t="shared" si="274"/>
        <v>11888</v>
      </c>
      <c r="W147" s="10">
        <f t="shared" si="274"/>
        <v>1075</v>
      </c>
      <c r="X147" s="10">
        <f t="shared" si="274"/>
        <v>12963</v>
      </c>
      <c r="Y147" s="10">
        <f t="shared" si="274"/>
        <v>0</v>
      </c>
      <c r="Z147" s="10">
        <f t="shared" si="274"/>
        <v>6569</v>
      </c>
      <c r="AA147" s="10">
        <f t="shared" si="274"/>
        <v>878</v>
      </c>
      <c r="AB147" s="10">
        <f t="shared" si="274"/>
        <v>12904</v>
      </c>
      <c r="AC147" s="10">
        <f t="shared" si="274"/>
        <v>614</v>
      </c>
      <c r="AD147" s="10">
        <f t="shared" si="274"/>
        <v>15471</v>
      </c>
    </row>
  </sheetData>
  <autoFilter ref="A7:AD147"/>
  <mergeCells count="53">
    <mergeCell ref="A67:B67"/>
    <mergeCell ref="D67:AD67"/>
    <mergeCell ref="A128:B128"/>
    <mergeCell ref="D128:AD128"/>
    <mergeCell ref="A135:B135"/>
    <mergeCell ref="D135:AD135"/>
    <mergeCell ref="A89:B89"/>
    <mergeCell ref="D89:AD89"/>
    <mergeCell ref="A93:B93"/>
    <mergeCell ref="D93:AD93"/>
    <mergeCell ref="A103:B103"/>
    <mergeCell ref="D103:AD103"/>
    <mergeCell ref="A71:B71"/>
    <mergeCell ref="D71:AD71"/>
    <mergeCell ref="A78:B78"/>
    <mergeCell ref="D78:AD78"/>
    <mergeCell ref="A143:B143"/>
    <mergeCell ref="D143:AD143"/>
    <mergeCell ref="A109:B109"/>
    <mergeCell ref="D109:AD109"/>
    <mergeCell ref="A116:B116"/>
    <mergeCell ref="D116:AD116"/>
    <mergeCell ref="A124:B124"/>
    <mergeCell ref="D124:AD124"/>
    <mergeCell ref="A85:B85"/>
    <mergeCell ref="D85:AD85"/>
    <mergeCell ref="A6:C6"/>
    <mergeCell ref="D6:J6"/>
    <mergeCell ref="A1:Y1"/>
    <mergeCell ref="A2:Y2"/>
    <mergeCell ref="A3:Y3"/>
    <mergeCell ref="A5:C5"/>
    <mergeCell ref="D5:J5"/>
    <mergeCell ref="A8:B8"/>
    <mergeCell ref="D8:AD8"/>
    <mergeCell ref="A19:B19"/>
    <mergeCell ref="D19:AD19"/>
    <mergeCell ref="A26:B26"/>
    <mergeCell ref="D26:AD26"/>
    <mergeCell ref="A32:B32"/>
    <mergeCell ref="D32:AD32"/>
    <mergeCell ref="A38:B38"/>
    <mergeCell ref="D38:AD38"/>
    <mergeCell ref="A44:B44"/>
    <mergeCell ref="D44:AD44"/>
    <mergeCell ref="A63:B63"/>
    <mergeCell ref="D63:AD63"/>
    <mergeCell ref="A49:B49"/>
    <mergeCell ref="D49:AD49"/>
    <mergeCell ref="A53:B53"/>
    <mergeCell ref="D53:AD53"/>
    <mergeCell ref="A57:B57"/>
    <mergeCell ref="D57:AD57"/>
  </mergeCells>
  <printOptions horizontalCentered="1"/>
  <pageMargins left="0" right="0" top="0.23" bottom="0" header="0" footer="0"/>
  <pageSetup paperSize="9" scale="81" orientation="landscape" copies="2" r:id="rId1"/>
  <rowBreaks count="3" manualBreakCount="3">
    <brk id="37" max="24" man="1"/>
    <brk id="70" max="24" man="1"/>
    <brk id="108" max="24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/>
  <dimension ref="A1:AC62"/>
  <sheetViews>
    <sheetView zoomScaleNormal="100" zoomScaleSheetLayoutView="100" workbookViewId="0">
      <pane xSplit="2" ySplit="7" topLeftCell="C8" activePane="bottomRight" state="frozen"/>
      <selection sqref="A1:F28"/>
      <selection pane="topRight" sqref="A1:F28"/>
      <selection pane="bottomLeft" sqref="A1:F28"/>
      <selection pane="bottomRight" activeCell="U21" sqref="U21"/>
    </sheetView>
  </sheetViews>
  <sheetFormatPr defaultRowHeight="15"/>
  <cols>
    <col min="1" max="1" width="3.7109375" style="27" customWidth="1"/>
    <col min="2" max="2" width="26.28515625" style="95" bestFit="1" customWidth="1"/>
    <col min="3" max="3" width="18.28515625" style="27" bestFit="1" customWidth="1"/>
    <col min="4" max="4" width="12.28515625" style="27" bestFit="1" customWidth="1"/>
    <col min="5" max="5" width="16.42578125" style="27" bestFit="1" customWidth="1"/>
    <col min="6" max="6" width="6.28515625" style="27" bestFit="1" customWidth="1"/>
    <col min="7" max="8" width="8" style="27" customWidth="1"/>
    <col min="9" max="9" width="7.28515625" style="27" bestFit="1" customWidth="1"/>
    <col min="10" max="10" width="6.42578125" style="27" bestFit="1" customWidth="1"/>
    <col min="11" max="12" width="7.28515625" style="27" bestFit="1" customWidth="1"/>
    <col min="13" max="13" width="8.42578125" style="27" bestFit="1" customWidth="1"/>
    <col min="14" max="14" width="8.42578125" style="27" customWidth="1"/>
    <col min="15" max="15" width="7.28515625" style="27" bestFit="1" customWidth="1"/>
    <col min="16" max="16" width="7.85546875" style="27" bestFit="1" customWidth="1"/>
    <col min="17" max="17" width="6.28515625" style="27" bestFit="1" customWidth="1"/>
    <col min="18" max="18" width="9.7109375" style="27" bestFit="1" customWidth="1"/>
    <col min="19" max="19" width="9.28515625" style="27" bestFit="1" customWidth="1"/>
    <col min="20" max="20" width="11.140625" style="27" bestFit="1" customWidth="1"/>
    <col min="21" max="21" width="8.28515625" style="27" bestFit="1" customWidth="1"/>
    <col min="22" max="22" width="8.5703125" style="38" bestFit="1" customWidth="1"/>
    <col min="23" max="23" width="6.28515625" style="27" bestFit="1" customWidth="1"/>
    <col min="24" max="24" width="7.28515625" style="38" bestFit="1" customWidth="1"/>
    <col min="25" max="25" width="8.5703125" style="27" bestFit="1" customWidth="1"/>
    <col min="26" max="26" width="11.140625" style="27" bestFit="1" customWidth="1"/>
    <col min="27" max="27" width="9" style="27" bestFit="1" customWidth="1"/>
    <col min="28" max="28" width="11.42578125" style="27" customWidth="1"/>
    <col min="29" max="29" width="10.7109375" style="27" bestFit="1" customWidth="1"/>
    <col min="30" max="16384" width="9.140625" style="27"/>
  </cols>
  <sheetData>
    <row r="1" spans="1:29" ht="28.5">
      <c r="A1" s="123" t="s">
        <v>30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</row>
    <row r="2" spans="1:29" ht="18">
      <c r="A2" s="124" t="s">
        <v>39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</row>
    <row r="3" spans="1:29" ht="18.75">
      <c r="A3" s="125" t="str">
        <f>"Wage Sheet for the month of"&amp;" "&amp;TEXT(Payslip!$I$10,"mmmm yyyyy")&amp;""</f>
        <v>Wage Sheet for the month of March 2017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</row>
    <row r="5" spans="1:29">
      <c r="A5" s="121" t="s">
        <v>40</v>
      </c>
      <c r="B5" s="121"/>
      <c r="C5" s="122" t="s">
        <v>84</v>
      </c>
      <c r="D5" s="122"/>
      <c r="E5" s="122"/>
      <c r="F5" s="122"/>
      <c r="G5" s="122"/>
      <c r="H5" s="122"/>
      <c r="I5" s="122"/>
      <c r="J5" s="122"/>
    </row>
    <row r="6" spans="1:29">
      <c r="A6" s="121" t="s">
        <v>41</v>
      </c>
      <c r="B6" s="121"/>
      <c r="C6" s="122" t="s">
        <v>85</v>
      </c>
      <c r="D6" s="122"/>
      <c r="E6" s="122"/>
      <c r="F6" s="122"/>
      <c r="G6" s="122"/>
      <c r="H6" s="122"/>
      <c r="I6" s="122"/>
      <c r="J6" s="122"/>
    </row>
    <row r="7" spans="1:29" ht="36">
      <c r="A7" s="28" t="s">
        <v>0</v>
      </c>
      <c r="B7" s="28" t="s">
        <v>29</v>
      </c>
      <c r="C7" s="28" t="s">
        <v>1</v>
      </c>
      <c r="D7" s="29" t="s">
        <v>2</v>
      </c>
      <c r="E7" s="28" t="s">
        <v>38</v>
      </c>
      <c r="F7" s="30" t="s">
        <v>3</v>
      </c>
      <c r="G7" s="30" t="s">
        <v>48</v>
      </c>
      <c r="H7" s="30" t="s">
        <v>4</v>
      </c>
      <c r="I7" s="30" t="s">
        <v>5</v>
      </c>
      <c r="J7" s="31" t="s">
        <v>6</v>
      </c>
      <c r="K7" s="31" t="s">
        <v>7</v>
      </c>
      <c r="L7" s="31" t="s">
        <v>8</v>
      </c>
      <c r="M7" s="31" t="s">
        <v>134</v>
      </c>
      <c r="N7" s="31" t="s">
        <v>197</v>
      </c>
      <c r="O7" s="30" t="s">
        <v>9</v>
      </c>
      <c r="P7" s="30" t="s">
        <v>14</v>
      </c>
      <c r="Q7" s="30" t="s">
        <v>15</v>
      </c>
      <c r="R7" s="30" t="s">
        <v>16</v>
      </c>
      <c r="S7" s="30" t="s">
        <v>17</v>
      </c>
      <c r="T7" s="30" t="s">
        <v>18</v>
      </c>
      <c r="U7" s="30" t="s">
        <v>19</v>
      </c>
      <c r="V7" s="30" t="s">
        <v>20</v>
      </c>
      <c r="W7" s="30" t="s">
        <v>21</v>
      </c>
      <c r="X7" s="30" t="s">
        <v>22</v>
      </c>
      <c r="Y7" s="32" t="s">
        <v>10</v>
      </c>
      <c r="Z7" s="30" t="s">
        <v>11</v>
      </c>
      <c r="AA7" s="32" t="s">
        <v>12</v>
      </c>
      <c r="AB7" s="30" t="s">
        <v>13</v>
      </c>
      <c r="AC7" s="30" t="s">
        <v>37</v>
      </c>
    </row>
    <row r="8" spans="1:29">
      <c r="A8" s="33">
        <v>1</v>
      </c>
      <c r="B8" s="49" t="str">
        <f>'Wage Sheet'!B9</f>
        <v>PRS/Godown/HK/001</v>
      </c>
      <c r="C8" s="49" t="str">
        <f>VLOOKUP($B8,'Wage Sheet'!$B$7:$AD$148,MATCH('Master Sheet'!C$7,'Wage Sheet'!$B$7:$AD$7,0),0)</f>
        <v>Santanu Mitra</v>
      </c>
      <c r="D8" s="49" t="str">
        <f>VLOOKUP($B8,'Wage Sheet'!$B$7:$AD$148,MATCH('Master Sheet'!D$7,'Wage Sheet'!$B$7:$AD$7,0),0)</f>
        <v>Housekeeping</v>
      </c>
      <c r="E8" s="49" t="str">
        <f>VLOOKUP($B8,'Wage Sheet'!$B$7:$AD$148,MATCH('Master Sheet'!E$7,'Wage Sheet'!$B$7:$AD$7,0),0)</f>
        <v>Godown</v>
      </c>
      <c r="F8" s="1">
        <f>VLOOKUP($B8,'Wage Sheet'!$B$7:$AD$148,MATCH('Master Sheet'!F$7,'Wage Sheet'!$B$7:$AD$7,0),0)</f>
        <v>5509</v>
      </c>
      <c r="G8" s="1">
        <f>VLOOKUP($B8,'Wage Sheet'!$B$7:$AD$148,MATCH('Master Sheet'!G$7,'Wage Sheet'!$B$7:$AD$7,0),0)</f>
        <v>2361</v>
      </c>
      <c r="H8" s="1">
        <f>VLOOKUP($B8,'Wage Sheet'!$B$7:$AD$148,MATCH('Master Sheet'!H$7,'Wage Sheet'!$B$7:$AD$7,0),0)</f>
        <v>0</v>
      </c>
      <c r="I8" s="2">
        <f>F8+G8+H8</f>
        <v>7870</v>
      </c>
      <c r="J8" s="1">
        <f>VLOOKUP($B8,'Wage Sheet'!$B$7:$AD$148,MATCH('Master Sheet'!J$7,'Wage Sheet'!$B$7:$AD$7,0),0)</f>
        <v>26</v>
      </c>
      <c r="K8" s="8">
        <f>VLOOKUP($B8,'Wage Sheet'!$B$7:$AD$148,MATCH('Master Sheet'!K$7,'Wage Sheet'!$B$7:$AD$7,0),0)</f>
        <v>27</v>
      </c>
      <c r="L8" s="1">
        <f>F8/$J8*$K8</f>
        <v>5720.8846153846152</v>
      </c>
      <c r="M8" s="1">
        <f t="shared" ref="M8:N13" si="0">G8/$J8*$K8</f>
        <v>2451.8076923076924</v>
      </c>
      <c r="N8" s="1">
        <f t="shared" si="0"/>
        <v>0</v>
      </c>
      <c r="O8" s="4">
        <f>ROUND(L8+M8+N8,0)</f>
        <v>8173</v>
      </c>
      <c r="P8" s="5">
        <f>ROUND(Y8*12%,0)</f>
        <v>687</v>
      </c>
      <c r="Q8" s="5">
        <f>ROUNDUP(AA8*1.75%,0)</f>
        <v>144</v>
      </c>
      <c r="R8" s="6">
        <f>IF(O8&gt;40000,200,IF(O8&gt;25000,150,IF(O8&gt;15000,130,IF(O8&gt;10000,110,IF(O8&gt;8500,0,)))))</f>
        <v>0</v>
      </c>
      <c r="S8" s="1">
        <v>0</v>
      </c>
      <c r="T8" s="1">
        <v>0</v>
      </c>
      <c r="U8" s="7">
        <f>SUM(P8:T8)</f>
        <v>831</v>
      </c>
      <c r="V8" s="26">
        <f>O8-U8</f>
        <v>7342</v>
      </c>
      <c r="W8" s="1">
        <f>VLOOKUP($B8,'Wage Sheet'!$B$7:$AD$148,MATCH('Master Sheet'!W$7,'Wage Sheet'!$B$7:$AD$7,0),0)</f>
        <v>681</v>
      </c>
      <c r="X8" s="26">
        <f>V8+W8</f>
        <v>8023</v>
      </c>
      <c r="Y8" s="5">
        <f>ROUND(IF(($L8)&gt;15000,15000,IF(($L8)&lt;=15000,($L8))),0)</f>
        <v>5721</v>
      </c>
      <c r="Z8" s="5">
        <f>ROUND(Y8*13.36%,0)</f>
        <v>764</v>
      </c>
      <c r="AA8" s="5">
        <f>ROUND($I8/$J8*($K8),0)</f>
        <v>8173</v>
      </c>
      <c r="AB8" s="5">
        <f>ROUNDUP(AA8*4.75%,0)</f>
        <v>389</v>
      </c>
      <c r="AC8" s="35">
        <f t="shared" ref="AC8:AC26" si="1">O8+W8+Z8+AB8</f>
        <v>10007</v>
      </c>
    </row>
    <row r="9" spans="1:29">
      <c r="A9" s="33">
        <v>2</v>
      </c>
      <c r="B9" s="49" t="str">
        <f>'Wage Sheet'!B10</f>
        <v>PRS/Godown/HK/002</v>
      </c>
      <c r="C9" s="49" t="str">
        <f>VLOOKUP($B9,'Wage Sheet'!$B$7:$AD$148,MATCH('Master Sheet'!C$7,'Wage Sheet'!$B$7:$AD$7,0),0)</f>
        <v>Dipu Shaw</v>
      </c>
      <c r="D9" s="49" t="str">
        <f>VLOOKUP($B9,'Wage Sheet'!$B$7:$AD$148,MATCH('Master Sheet'!D$7,'Wage Sheet'!$B$7:$AD$7,0),0)</f>
        <v>Housekeeping</v>
      </c>
      <c r="E9" s="49" t="str">
        <f>VLOOKUP($B9,'Wage Sheet'!$B$7:$AD$148,MATCH('Master Sheet'!E$7,'Wage Sheet'!$B$7:$AD$7,0),0)</f>
        <v>Godown</v>
      </c>
      <c r="F9" s="1">
        <f>VLOOKUP($B9,'Wage Sheet'!$B$7:$AD$148,MATCH('Master Sheet'!F$7,'Wage Sheet'!$B$7:$AD$7,0),0)</f>
        <v>5509</v>
      </c>
      <c r="G9" s="1">
        <f>VLOOKUP($B9,'Wage Sheet'!$B$7:$AD$148,MATCH('Master Sheet'!G$7,'Wage Sheet'!$B$7:$AD$7,0),0)</f>
        <v>2361</v>
      </c>
      <c r="H9" s="1">
        <f>VLOOKUP($B9,'Wage Sheet'!$B$7:$AD$148,MATCH('Master Sheet'!H$7,'Wage Sheet'!$B$7:$AD$7,0),0)</f>
        <v>0</v>
      </c>
      <c r="I9" s="2">
        <f t="shared" ref="I9:I26" si="2">F9+G9+H9</f>
        <v>7870</v>
      </c>
      <c r="J9" s="1">
        <f>VLOOKUP($B9,'Wage Sheet'!$B$7:$AD$148,MATCH('Master Sheet'!J$7,'Wage Sheet'!$B$7:$AD$7,0),0)</f>
        <v>26</v>
      </c>
      <c r="K9" s="8">
        <f>VLOOKUP($B9,'Wage Sheet'!$B$7:$AD$148,MATCH('Master Sheet'!K$7,'Wage Sheet'!$B$7:$AD$7,0),0)</f>
        <v>27</v>
      </c>
      <c r="L9" s="1">
        <f t="shared" ref="L9:L12" si="3">F9/J9*K9</f>
        <v>5720.8846153846152</v>
      </c>
      <c r="M9" s="1">
        <f t="shared" ref="M9:M12" si="4">G9/J9*K9</f>
        <v>2451.8076923076924</v>
      </c>
      <c r="N9" s="1">
        <f t="shared" si="0"/>
        <v>0</v>
      </c>
      <c r="O9" s="4">
        <f t="shared" ref="O9:O26" si="5">ROUND(L9+M9+N9,0)</f>
        <v>8173</v>
      </c>
      <c r="P9" s="5">
        <f t="shared" ref="P9:P12" si="6">ROUND(Y9*12%,0)</f>
        <v>687</v>
      </c>
      <c r="Q9" s="5">
        <f t="shared" ref="Q9:Q12" si="7">ROUNDUP(AA9*1.75%,0)</f>
        <v>144</v>
      </c>
      <c r="R9" s="6">
        <f t="shared" ref="R9:R12" si="8">IF(O9&gt;40000,200,IF(O9&gt;25000,150,IF(O9&gt;15000,130,IF(O9&gt;10000,110,IF(O9&gt;8500,0,)))))</f>
        <v>0</v>
      </c>
      <c r="S9" s="1">
        <v>0</v>
      </c>
      <c r="T9" s="1">
        <v>0</v>
      </c>
      <c r="U9" s="7">
        <f t="shared" ref="U9:U10" si="9">SUM(P9:T9)</f>
        <v>831</v>
      </c>
      <c r="V9" s="26">
        <f t="shared" ref="V9:V12" si="10">O9-U9</f>
        <v>7342</v>
      </c>
      <c r="W9" s="1">
        <f>VLOOKUP($B9,'Wage Sheet'!$B$7:$AD$148,MATCH('Master Sheet'!W$7,'Wage Sheet'!$B$7:$AD$7,0),0)</f>
        <v>681</v>
      </c>
      <c r="X9" s="26">
        <f t="shared" ref="X9:X12" si="11">V9+W9</f>
        <v>8023</v>
      </c>
      <c r="Y9" s="5">
        <f t="shared" ref="Y9:Y12" si="12">ROUND(IF(($L9)&gt;15000,15000,IF(($L9)&lt;=15000,($L9))),0)</f>
        <v>5721</v>
      </c>
      <c r="Z9" s="5">
        <f t="shared" ref="Z9:Z12" si="13">ROUND(Y9*13.36%,0)</f>
        <v>764</v>
      </c>
      <c r="AA9" s="5">
        <f t="shared" ref="AA9:AA26" si="14">ROUND($I9/$J9*($K9),0)</f>
        <v>8173</v>
      </c>
      <c r="AB9" s="5">
        <f t="shared" ref="AB9:AB12" si="15">ROUNDUP(AA9*4.75%,0)</f>
        <v>389</v>
      </c>
      <c r="AC9" s="35">
        <f t="shared" si="1"/>
        <v>10007</v>
      </c>
    </row>
    <row r="10" spans="1:29">
      <c r="A10" s="33">
        <v>3</v>
      </c>
      <c r="B10" s="49" t="str">
        <f>'Wage Sheet'!B11</f>
        <v>PRS/Godown/HK/003</v>
      </c>
      <c r="C10" s="49" t="str">
        <f>VLOOKUP($B10,'Wage Sheet'!$B$7:$AD$148,MATCH('Master Sheet'!C$7,'Wage Sheet'!$B$7:$AD$7,0),0)</f>
        <v>Arun Nath</v>
      </c>
      <c r="D10" s="49" t="str">
        <f>VLOOKUP($B10,'Wage Sheet'!$B$7:$AD$148,MATCH('Master Sheet'!D$7,'Wage Sheet'!$B$7:$AD$7,0),0)</f>
        <v>Housekeeping</v>
      </c>
      <c r="E10" s="49" t="str">
        <f>VLOOKUP($B10,'Wage Sheet'!$B$7:$AD$148,MATCH('Master Sheet'!E$7,'Wage Sheet'!$B$7:$AD$7,0),0)</f>
        <v>Godown</v>
      </c>
      <c r="F10" s="1">
        <f>VLOOKUP($B10,'Wage Sheet'!$B$7:$AD$148,MATCH('Master Sheet'!F$7,'Wage Sheet'!$B$7:$AD$7,0),0)</f>
        <v>5509</v>
      </c>
      <c r="G10" s="1">
        <f>VLOOKUP($B10,'Wage Sheet'!$B$7:$AD$148,MATCH('Master Sheet'!G$7,'Wage Sheet'!$B$7:$AD$7,0),0)</f>
        <v>2361</v>
      </c>
      <c r="H10" s="1">
        <f>VLOOKUP($B10,'Wage Sheet'!$B$7:$AD$148,MATCH('Master Sheet'!H$7,'Wage Sheet'!$B$7:$AD$7,0),0)</f>
        <v>0</v>
      </c>
      <c r="I10" s="2">
        <f t="shared" si="2"/>
        <v>7870</v>
      </c>
      <c r="J10" s="1">
        <f>VLOOKUP($B10,'Wage Sheet'!$B$7:$AD$148,MATCH('Master Sheet'!J$7,'Wage Sheet'!$B$7:$AD$7,0),0)</f>
        <v>26</v>
      </c>
      <c r="K10" s="8">
        <f>VLOOKUP($B10,'Wage Sheet'!$B$7:$AD$148,MATCH('Master Sheet'!K$7,'Wage Sheet'!$B$7:$AD$7,0),0)</f>
        <v>26</v>
      </c>
      <c r="L10" s="1">
        <f t="shared" si="3"/>
        <v>5509</v>
      </c>
      <c r="M10" s="1">
        <f t="shared" si="4"/>
        <v>2361</v>
      </c>
      <c r="N10" s="1">
        <f t="shared" si="0"/>
        <v>0</v>
      </c>
      <c r="O10" s="4">
        <f t="shared" si="5"/>
        <v>7870</v>
      </c>
      <c r="P10" s="5">
        <f t="shared" si="6"/>
        <v>661</v>
      </c>
      <c r="Q10" s="5">
        <f t="shared" si="7"/>
        <v>138</v>
      </c>
      <c r="R10" s="6">
        <f t="shared" si="8"/>
        <v>0</v>
      </c>
      <c r="S10" s="1">
        <v>0</v>
      </c>
      <c r="T10" s="1">
        <v>0</v>
      </c>
      <c r="U10" s="7">
        <f t="shared" si="9"/>
        <v>799</v>
      </c>
      <c r="V10" s="26">
        <f t="shared" si="10"/>
        <v>7071</v>
      </c>
      <c r="W10" s="1">
        <f>VLOOKUP($B10,'Wage Sheet'!$B$7:$AD$148,MATCH('Master Sheet'!W$7,'Wage Sheet'!$B$7:$AD$7,0),0)</f>
        <v>656</v>
      </c>
      <c r="X10" s="26">
        <f t="shared" si="11"/>
        <v>7727</v>
      </c>
      <c r="Y10" s="5">
        <f t="shared" si="12"/>
        <v>5509</v>
      </c>
      <c r="Z10" s="5">
        <f t="shared" si="13"/>
        <v>736</v>
      </c>
      <c r="AA10" s="5">
        <f t="shared" si="14"/>
        <v>7870</v>
      </c>
      <c r="AB10" s="5">
        <f t="shared" si="15"/>
        <v>374</v>
      </c>
      <c r="AC10" s="35">
        <f t="shared" si="1"/>
        <v>9636</v>
      </c>
    </row>
    <row r="11" spans="1:29">
      <c r="A11" s="33">
        <v>4</v>
      </c>
      <c r="B11" s="49" t="str">
        <f>'Wage Sheet'!B12</f>
        <v>PRS/Godown/HK/004</v>
      </c>
      <c r="C11" s="49" t="str">
        <f>VLOOKUP($B11,'Wage Sheet'!$B$7:$AD$148,MATCH('Master Sheet'!C$7,'Wage Sheet'!$B$7:$AD$7,0),0)</f>
        <v>Samir Saha</v>
      </c>
      <c r="D11" s="49" t="str">
        <f>VLOOKUP($B11,'Wage Sheet'!$B$7:$AD$148,MATCH('Master Sheet'!D$7,'Wage Sheet'!$B$7:$AD$7,0),0)</f>
        <v>Housekeeping</v>
      </c>
      <c r="E11" s="49" t="str">
        <f>VLOOKUP($B11,'Wage Sheet'!$B$7:$AD$148,MATCH('Master Sheet'!E$7,'Wage Sheet'!$B$7:$AD$7,0),0)</f>
        <v>Godown</v>
      </c>
      <c r="F11" s="1">
        <f>VLOOKUP($B11,'Wage Sheet'!$B$7:$AD$148,MATCH('Master Sheet'!F$7,'Wage Sheet'!$B$7:$AD$7,0),0)</f>
        <v>5509</v>
      </c>
      <c r="G11" s="1">
        <f>VLOOKUP($B11,'Wage Sheet'!$B$7:$AD$148,MATCH('Master Sheet'!G$7,'Wage Sheet'!$B$7:$AD$7,0),0)</f>
        <v>2361</v>
      </c>
      <c r="H11" s="1">
        <f>VLOOKUP($B11,'Wage Sheet'!$B$7:$AD$148,MATCH('Master Sheet'!H$7,'Wage Sheet'!$B$7:$AD$7,0),0)</f>
        <v>0</v>
      </c>
      <c r="I11" s="2">
        <f t="shared" si="2"/>
        <v>7870</v>
      </c>
      <c r="J11" s="1">
        <f>VLOOKUP($B11,'Wage Sheet'!$B$7:$AD$148,MATCH('Master Sheet'!J$7,'Wage Sheet'!$B$7:$AD$7,0),0)</f>
        <v>26</v>
      </c>
      <c r="K11" s="8">
        <f>VLOOKUP($B11,'Wage Sheet'!$B$7:$AD$148,MATCH('Master Sheet'!K$7,'Wage Sheet'!$B$7:$AD$7,0),0)</f>
        <v>23</v>
      </c>
      <c r="L11" s="1">
        <f t="shared" si="3"/>
        <v>4873.3461538461543</v>
      </c>
      <c r="M11" s="1">
        <f t="shared" si="4"/>
        <v>2088.5769230769229</v>
      </c>
      <c r="N11" s="1">
        <f t="shared" si="0"/>
        <v>0</v>
      </c>
      <c r="O11" s="4">
        <f t="shared" si="5"/>
        <v>6962</v>
      </c>
      <c r="P11" s="5">
        <f t="shared" si="6"/>
        <v>585</v>
      </c>
      <c r="Q11" s="5">
        <f t="shared" si="7"/>
        <v>122</v>
      </c>
      <c r="R11" s="6">
        <f t="shared" si="8"/>
        <v>0</v>
      </c>
      <c r="S11" s="1">
        <v>0</v>
      </c>
      <c r="T11" s="1">
        <v>0</v>
      </c>
      <c r="U11" s="7">
        <f t="shared" ref="U11:U12" si="16">SUM(P11:T11)</f>
        <v>707</v>
      </c>
      <c r="V11" s="26">
        <f t="shared" si="10"/>
        <v>6255</v>
      </c>
      <c r="W11" s="1">
        <f>VLOOKUP($B11,'Wage Sheet'!$B$7:$AD$148,MATCH('Master Sheet'!W$7,'Wage Sheet'!$B$7:$AD$7,0),0)</f>
        <v>580</v>
      </c>
      <c r="X11" s="26">
        <f t="shared" si="11"/>
        <v>6835</v>
      </c>
      <c r="Y11" s="5">
        <f t="shared" si="12"/>
        <v>4873</v>
      </c>
      <c r="Z11" s="5">
        <f t="shared" si="13"/>
        <v>651</v>
      </c>
      <c r="AA11" s="5">
        <f t="shared" si="14"/>
        <v>6962</v>
      </c>
      <c r="AB11" s="5">
        <f t="shared" si="15"/>
        <v>331</v>
      </c>
      <c r="AC11" s="35">
        <f t="shared" si="1"/>
        <v>8524</v>
      </c>
    </row>
    <row r="12" spans="1:29">
      <c r="A12" s="33">
        <v>5</v>
      </c>
      <c r="B12" s="49" t="str">
        <f>'Wage Sheet'!B13</f>
        <v>PRS/Godown/HK/005</v>
      </c>
      <c r="C12" s="49" t="str">
        <f>VLOOKUP($B12,'Wage Sheet'!$B$7:$AD$148,MATCH('Master Sheet'!C$7,'Wage Sheet'!$B$7:$AD$7,0),0)</f>
        <v>Amarjit Dey</v>
      </c>
      <c r="D12" s="49" t="str">
        <f>VLOOKUP($B12,'Wage Sheet'!$B$7:$AD$148,MATCH('Master Sheet'!D$7,'Wage Sheet'!$B$7:$AD$7,0),0)</f>
        <v>Housekeeping</v>
      </c>
      <c r="E12" s="49" t="str">
        <f>VLOOKUP($B12,'Wage Sheet'!$B$7:$AD$148,MATCH('Master Sheet'!E$7,'Wage Sheet'!$B$7:$AD$7,0),0)</f>
        <v>Godown</v>
      </c>
      <c r="F12" s="1">
        <f>VLOOKUP($B12,'Wage Sheet'!$B$7:$AD$148,MATCH('Master Sheet'!F$7,'Wage Sheet'!$B$7:$AD$7,0),0)</f>
        <v>5509</v>
      </c>
      <c r="G12" s="1">
        <f>VLOOKUP($B12,'Wage Sheet'!$B$7:$AD$148,MATCH('Master Sheet'!G$7,'Wage Sheet'!$B$7:$AD$7,0),0)</f>
        <v>2361</v>
      </c>
      <c r="H12" s="1">
        <f>VLOOKUP($B12,'Wage Sheet'!$B$7:$AD$148,MATCH('Master Sheet'!H$7,'Wage Sheet'!$B$7:$AD$7,0),0)</f>
        <v>0</v>
      </c>
      <c r="I12" s="2">
        <f t="shared" si="2"/>
        <v>7870</v>
      </c>
      <c r="J12" s="1">
        <f>VLOOKUP($B12,'Wage Sheet'!$B$7:$AD$148,MATCH('Master Sheet'!J$7,'Wage Sheet'!$B$7:$AD$7,0),0)</f>
        <v>26</v>
      </c>
      <c r="K12" s="8">
        <f>VLOOKUP($B12,'Wage Sheet'!$B$7:$AD$148,MATCH('Master Sheet'!K$7,'Wage Sheet'!$B$7:$AD$7,0),0)</f>
        <v>4</v>
      </c>
      <c r="L12" s="1">
        <f t="shared" si="3"/>
        <v>847.53846153846155</v>
      </c>
      <c r="M12" s="1">
        <f t="shared" si="4"/>
        <v>363.23076923076923</v>
      </c>
      <c r="N12" s="1">
        <f t="shared" si="0"/>
        <v>0</v>
      </c>
      <c r="O12" s="4">
        <f t="shared" si="5"/>
        <v>1211</v>
      </c>
      <c r="P12" s="5">
        <f t="shared" si="6"/>
        <v>102</v>
      </c>
      <c r="Q12" s="5">
        <f t="shared" si="7"/>
        <v>22</v>
      </c>
      <c r="R12" s="6">
        <f t="shared" si="8"/>
        <v>0</v>
      </c>
      <c r="S12" s="1">
        <v>0</v>
      </c>
      <c r="T12" s="1">
        <v>0</v>
      </c>
      <c r="U12" s="7">
        <f t="shared" si="16"/>
        <v>124</v>
      </c>
      <c r="V12" s="26">
        <f t="shared" si="10"/>
        <v>1087</v>
      </c>
      <c r="W12" s="1">
        <f>VLOOKUP($B12,'Wage Sheet'!$B$7:$AD$148,MATCH('Master Sheet'!W$7,'Wage Sheet'!$B$7:$AD$7,0),0)</f>
        <v>101</v>
      </c>
      <c r="X12" s="26">
        <f t="shared" si="11"/>
        <v>1188</v>
      </c>
      <c r="Y12" s="5">
        <f t="shared" si="12"/>
        <v>848</v>
      </c>
      <c r="Z12" s="5">
        <f t="shared" si="13"/>
        <v>113</v>
      </c>
      <c r="AA12" s="5">
        <f t="shared" si="14"/>
        <v>1211</v>
      </c>
      <c r="AB12" s="5">
        <f t="shared" si="15"/>
        <v>58</v>
      </c>
      <c r="AC12" s="35">
        <f t="shared" si="1"/>
        <v>1483</v>
      </c>
    </row>
    <row r="13" spans="1:29">
      <c r="A13" s="33">
        <v>6</v>
      </c>
      <c r="B13" s="49" t="str">
        <f>'Wage Sheet'!B16</f>
        <v>PRS/Godown/SG/001</v>
      </c>
      <c r="C13" s="49" t="str">
        <f>VLOOKUP($B13,'Wage Sheet'!$B$7:$AD$148,MATCH('Master Sheet'!C$7,'Wage Sheet'!$B$7:$AD$7,0),0)</f>
        <v>Sazad Hosen</v>
      </c>
      <c r="D13" s="49" t="str">
        <f>VLOOKUP($B13,'Wage Sheet'!$B$7:$AD$148,MATCH('Master Sheet'!D$7,'Wage Sheet'!$B$7:$AD$7,0),0)</f>
        <v>Security Guard</v>
      </c>
      <c r="E13" s="49" t="str">
        <f>VLOOKUP($B13,'Wage Sheet'!$B$7:$AD$148,MATCH('Master Sheet'!E$7,'Wage Sheet'!$B$7:$AD$7,0),0)</f>
        <v>Godown</v>
      </c>
      <c r="F13" s="1">
        <f>VLOOKUP($B13,'Wage Sheet'!$B$7:$AD$148,MATCH('Master Sheet'!F$7,'Wage Sheet'!$B$7:$AD$7,0),0)</f>
        <v>5509</v>
      </c>
      <c r="G13" s="1">
        <f>VLOOKUP($B13,'Wage Sheet'!$B$7:$AD$148,MATCH('Master Sheet'!G$7,'Wage Sheet'!$B$7:$AD$7,0),0)</f>
        <v>2361</v>
      </c>
      <c r="H13" s="1">
        <f>VLOOKUP($B13,'Wage Sheet'!$B$7:$AD$148,MATCH('Master Sheet'!H$7,'Wage Sheet'!$B$7:$AD$7,0),0)</f>
        <v>0</v>
      </c>
      <c r="I13" s="2">
        <f t="shared" si="2"/>
        <v>7870</v>
      </c>
      <c r="J13" s="1">
        <f>VLOOKUP($B13,'Wage Sheet'!$B$7:$AD$148,MATCH('Master Sheet'!J$7,'Wage Sheet'!$B$7:$AD$7,0),0)</f>
        <v>26</v>
      </c>
      <c r="K13" s="8">
        <f>VLOOKUP($B13,'Wage Sheet'!$B$7:$AD$148,MATCH('Master Sheet'!K$7,'Wage Sheet'!$B$7:$AD$7,0),0)</f>
        <v>26</v>
      </c>
      <c r="L13" s="1">
        <f t="shared" ref="L13" si="17">F13/J13*K13</f>
        <v>5509</v>
      </c>
      <c r="M13" s="1">
        <f t="shared" ref="M13" si="18">G13/J13*K13</f>
        <v>2361</v>
      </c>
      <c r="N13" s="1">
        <f t="shared" si="0"/>
        <v>0</v>
      </c>
      <c r="O13" s="4">
        <f t="shared" si="5"/>
        <v>7870</v>
      </c>
      <c r="P13" s="5">
        <f>ROUND(Y13*12%,0)</f>
        <v>661</v>
      </c>
      <c r="Q13" s="5">
        <f>ROUNDUP(AA13*1.75%,0)</f>
        <v>138</v>
      </c>
      <c r="R13" s="6">
        <f>IF(O13&gt;40000,200,IF(O13&gt;25000,150,IF(O13&gt;15000,130,IF(O13&gt;10000,110,IF(O13&gt;8500,0,)))))</f>
        <v>0</v>
      </c>
      <c r="S13" s="1">
        <v>0</v>
      </c>
      <c r="T13" s="1">
        <v>0</v>
      </c>
      <c r="U13" s="7">
        <f>SUM(P13:T13)</f>
        <v>799</v>
      </c>
      <c r="V13" s="26">
        <f>O13-U13</f>
        <v>7071</v>
      </c>
      <c r="W13" s="1">
        <f>VLOOKUP($B13,'Wage Sheet'!$B$7:$AD$148,MATCH('Master Sheet'!W$7,'Wage Sheet'!$B$7:$AD$7,0),0)</f>
        <v>656</v>
      </c>
      <c r="X13" s="26">
        <f>V13+W13</f>
        <v>7727</v>
      </c>
      <c r="Y13" s="5">
        <f>ROUND(IF(($L13)&gt;15000,15000,IF(($L13)&lt;=15000,($L13))),0)</f>
        <v>5509</v>
      </c>
      <c r="Z13" s="5">
        <f>ROUND(Y13*13.36%,0)</f>
        <v>736</v>
      </c>
      <c r="AA13" s="5">
        <f t="shared" si="14"/>
        <v>7870</v>
      </c>
      <c r="AB13" s="5">
        <f>ROUNDUP(AA13*4.75%,0)</f>
        <v>374</v>
      </c>
      <c r="AC13" s="35">
        <f t="shared" si="1"/>
        <v>9636</v>
      </c>
    </row>
    <row r="14" spans="1:29">
      <c r="A14" s="33">
        <v>7</v>
      </c>
      <c r="B14" s="49" t="str">
        <f>'Wage Sheet'!B20</f>
        <v>PRS/Office/HK/001</v>
      </c>
      <c r="C14" s="49" t="str">
        <f>VLOOKUP($B14,'Wage Sheet'!$B$7:$AD$148,MATCH('Master Sheet'!C$7,'Wage Sheet'!$B$7:$AD$7,0),0)</f>
        <v>Bijendra Mallick</v>
      </c>
      <c r="D14" s="49" t="str">
        <f>VLOOKUP($B14,'Wage Sheet'!$B$7:$AD$148,MATCH('Master Sheet'!D$7,'Wage Sheet'!$B$7:$AD$7,0),0)</f>
        <v>Housekeeping</v>
      </c>
      <c r="E14" s="49" t="str">
        <f>VLOOKUP($B14,'Wage Sheet'!$B$7:$AD$148,MATCH('Master Sheet'!E$7,'Wage Sheet'!$B$7:$AD$7,0),0)</f>
        <v>PC Office</v>
      </c>
      <c r="F14" s="1">
        <f>VLOOKUP($B14,'Wage Sheet'!$B$7:$AD$148,MATCH('Master Sheet'!F$7,'Wage Sheet'!$B$7:$AD$7,0),0)</f>
        <v>5509</v>
      </c>
      <c r="G14" s="1">
        <f>VLOOKUP($B14,'Wage Sheet'!$B$7:$AD$148,MATCH('Master Sheet'!G$7,'Wage Sheet'!$B$7:$AD$7,0),0)</f>
        <v>2361</v>
      </c>
      <c r="H14" s="1">
        <f>VLOOKUP($B14,'Wage Sheet'!$B$7:$AD$148,MATCH('Master Sheet'!H$7,'Wage Sheet'!$B$7:$AD$7,0),0)</f>
        <v>0</v>
      </c>
      <c r="I14" s="2">
        <f t="shared" si="2"/>
        <v>7870</v>
      </c>
      <c r="J14" s="1">
        <f>VLOOKUP($B14,'Wage Sheet'!$B$7:$AD$148,MATCH('Master Sheet'!J$7,'Wage Sheet'!$B$7:$AD$7,0),0)</f>
        <v>26</v>
      </c>
      <c r="K14" s="8">
        <f>VLOOKUP($B14,'Wage Sheet'!$B$7:$AD$148,MATCH('Master Sheet'!K$7,'Wage Sheet'!$B$7:$AD$7,0),0)</f>
        <v>26</v>
      </c>
      <c r="L14" s="1">
        <f t="shared" ref="L14:L17" si="19">F14/J14*K14</f>
        <v>5509</v>
      </c>
      <c r="M14" s="1">
        <f t="shared" ref="M14:M17" si="20">G14/J14*K14</f>
        <v>2361</v>
      </c>
      <c r="N14" s="1">
        <f t="shared" ref="N14:N28" si="21">H14/$J14*$K14</f>
        <v>0</v>
      </c>
      <c r="O14" s="4">
        <f t="shared" si="5"/>
        <v>7870</v>
      </c>
      <c r="P14" s="5">
        <f>ROUND(Y14*12%,0)</f>
        <v>661</v>
      </c>
      <c r="Q14" s="5">
        <f>ROUNDUP(AA14*1.75%,0)</f>
        <v>138</v>
      </c>
      <c r="R14" s="6">
        <f>IF(O14&gt;40000,200,IF(O14&gt;25000,150,IF(O14&gt;15000,130,IF(O14&gt;10000,110,IF(O14&gt;8500,0,)))))</f>
        <v>0</v>
      </c>
      <c r="S14" s="1">
        <v>0</v>
      </c>
      <c r="T14" s="1">
        <v>0</v>
      </c>
      <c r="U14" s="7">
        <f>SUM(P14:T14)</f>
        <v>799</v>
      </c>
      <c r="V14" s="26">
        <f>O14-U14</f>
        <v>7071</v>
      </c>
      <c r="W14" s="1">
        <f>VLOOKUP($B14,'Wage Sheet'!$B$7:$AD$148,MATCH('Master Sheet'!W$7,'Wage Sheet'!$B$7:$AD$7,0),0)</f>
        <v>656</v>
      </c>
      <c r="X14" s="26">
        <f>V14+W14</f>
        <v>7727</v>
      </c>
      <c r="Y14" s="5">
        <f>ROUND(IF(($L14)&gt;15000,15000,IF(($L14)&lt;=15000,($L14))),0)</f>
        <v>5509</v>
      </c>
      <c r="Z14" s="5">
        <f>ROUND(Y14*13.36%,0)</f>
        <v>736</v>
      </c>
      <c r="AA14" s="5">
        <f t="shared" si="14"/>
        <v>7870</v>
      </c>
      <c r="AB14" s="5">
        <f>ROUNDUP(AA14*4.75%,0)</f>
        <v>374</v>
      </c>
      <c r="AC14" s="35">
        <f t="shared" si="1"/>
        <v>9636</v>
      </c>
    </row>
    <row r="15" spans="1:29">
      <c r="A15" s="33">
        <v>8</v>
      </c>
      <c r="B15" s="49" t="str">
        <f>'Wage Sheet'!B21</f>
        <v>PRS/Office/HK/002</v>
      </c>
      <c r="C15" s="49" t="str">
        <f>VLOOKUP($B15,'Wage Sheet'!$B$7:$AD$148,MATCH('Master Sheet'!C$7,'Wage Sheet'!$B$7:$AD$7,0),0)</f>
        <v>Ajay Biswas</v>
      </c>
      <c r="D15" s="49" t="str">
        <f>VLOOKUP($B15,'Wage Sheet'!$B$7:$AD$148,MATCH('Master Sheet'!D$7,'Wage Sheet'!$B$7:$AD$7,0),0)</f>
        <v>Housekeeping</v>
      </c>
      <c r="E15" s="49" t="str">
        <f>VLOOKUP($B15,'Wage Sheet'!$B$7:$AD$148,MATCH('Master Sheet'!E$7,'Wage Sheet'!$B$7:$AD$7,0),0)</f>
        <v>PC Office</v>
      </c>
      <c r="F15" s="1">
        <f>VLOOKUP($B15,'Wage Sheet'!$B$7:$AD$148,MATCH('Master Sheet'!F$7,'Wage Sheet'!$B$7:$AD$7,0),0)</f>
        <v>5509</v>
      </c>
      <c r="G15" s="1">
        <f>VLOOKUP($B15,'Wage Sheet'!$B$7:$AD$148,MATCH('Master Sheet'!G$7,'Wage Sheet'!$B$7:$AD$7,0),0)</f>
        <v>2361</v>
      </c>
      <c r="H15" s="1">
        <f>VLOOKUP($B15,'Wage Sheet'!$B$7:$AD$148,MATCH('Master Sheet'!H$7,'Wage Sheet'!$B$7:$AD$7,0),0)</f>
        <v>0</v>
      </c>
      <c r="I15" s="2">
        <f t="shared" si="2"/>
        <v>7870</v>
      </c>
      <c r="J15" s="1">
        <f>VLOOKUP($B15,'Wage Sheet'!$B$7:$AD$148,MATCH('Master Sheet'!J$7,'Wage Sheet'!$B$7:$AD$7,0),0)</f>
        <v>26</v>
      </c>
      <c r="K15" s="8">
        <f>VLOOKUP($B15,'Wage Sheet'!$B$7:$AD$148,MATCH('Master Sheet'!K$7,'Wage Sheet'!$B$7:$AD$7,0),0)</f>
        <v>26</v>
      </c>
      <c r="L15" s="1">
        <f t="shared" si="19"/>
        <v>5509</v>
      </c>
      <c r="M15" s="1">
        <f t="shared" si="20"/>
        <v>2361</v>
      </c>
      <c r="N15" s="1">
        <f t="shared" si="21"/>
        <v>0</v>
      </c>
      <c r="O15" s="4">
        <f t="shared" si="5"/>
        <v>7870</v>
      </c>
      <c r="P15" s="5">
        <f t="shared" ref="P15:P17" si="22">ROUND(Y15*12%,0)</f>
        <v>661</v>
      </c>
      <c r="Q15" s="5">
        <f t="shared" ref="Q15:Q17" si="23">ROUNDUP(AA15*1.75%,0)</f>
        <v>138</v>
      </c>
      <c r="R15" s="6">
        <f t="shared" ref="R15:R17" si="24">IF(O15&gt;40000,200,IF(O15&gt;25000,150,IF(O15&gt;15000,130,IF(O15&gt;10000,110,IF(O15&gt;8500,0,)))))</f>
        <v>0</v>
      </c>
      <c r="S15" s="1">
        <v>0</v>
      </c>
      <c r="T15" s="1">
        <v>0</v>
      </c>
      <c r="U15" s="7">
        <f t="shared" ref="U15:U17" si="25">SUM(P15:T15)</f>
        <v>799</v>
      </c>
      <c r="V15" s="26">
        <f t="shared" ref="V15:V17" si="26">O15-U15</f>
        <v>7071</v>
      </c>
      <c r="W15" s="1">
        <f>VLOOKUP($B15,'Wage Sheet'!$B$7:$AD$148,MATCH('Master Sheet'!W$7,'Wage Sheet'!$B$7:$AD$7,0),0)</f>
        <v>656</v>
      </c>
      <c r="X15" s="26">
        <f t="shared" ref="X15:X17" si="27">V15+W15</f>
        <v>7727</v>
      </c>
      <c r="Y15" s="5">
        <f t="shared" ref="Y15:Y17" si="28">ROUND(IF(($L15)&gt;15000,15000,IF(($L15)&lt;=15000,($L15))),0)</f>
        <v>5509</v>
      </c>
      <c r="Z15" s="5">
        <f t="shared" ref="Z15:Z17" si="29">ROUND(Y15*13.36%,0)</f>
        <v>736</v>
      </c>
      <c r="AA15" s="5">
        <f t="shared" si="14"/>
        <v>7870</v>
      </c>
      <c r="AB15" s="5">
        <f t="shared" ref="AB15:AB17" si="30">ROUNDUP(AA15*4.75%,0)</f>
        <v>374</v>
      </c>
      <c r="AC15" s="35">
        <f t="shared" si="1"/>
        <v>9636</v>
      </c>
    </row>
    <row r="16" spans="1:29">
      <c r="A16" s="33">
        <v>9</v>
      </c>
      <c r="B16" s="49" t="str">
        <f>'Wage Sheet'!B22</f>
        <v>PRS/Office/HK/003</v>
      </c>
      <c r="C16" s="49" t="str">
        <f>VLOOKUP($B16,'Wage Sheet'!$B$7:$AD$148,MATCH('Master Sheet'!C$7,'Wage Sheet'!$B$7:$AD$7,0),0)</f>
        <v>Tapan Debnath</v>
      </c>
      <c r="D16" s="49" t="str">
        <f>VLOOKUP($B16,'Wage Sheet'!$B$7:$AD$148,MATCH('Master Sheet'!D$7,'Wage Sheet'!$B$7:$AD$7,0),0)</f>
        <v>Housekeeping</v>
      </c>
      <c r="E16" s="49" t="str">
        <f>VLOOKUP($B16,'Wage Sheet'!$B$7:$AD$148,MATCH('Master Sheet'!E$7,'Wage Sheet'!$B$7:$AD$7,0),0)</f>
        <v>PC Office</v>
      </c>
      <c r="F16" s="1">
        <f>VLOOKUP($B16,'Wage Sheet'!$B$7:$AD$148,MATCH('Master Sheet'!F$7,'Wage Sheet'!$B$7:$AD$7,0),0)</f>
        <v>5509</v>
      </c>
      <c r="G16" s="1">
        <f>VLOOKUP($B16,'Wage Sheet'!$B$7:$AD$148,MATCH('Master Sheet'!G$7,'Wage Sheet'!$B$7:$AD$7,0),0)</f>
        <v>2361</v>
      </c>
      <c r="H16" s="1">
        <f>VLOOKUP($B16,'Wage Sheet'!$B$7:$AD$148,MATCH('Master Sheet'!H$7,'Wage Sheet'!$B$7:$AD$7,0),0)</f>
        <v>0</v>
      </c>
      <c r="I16" s="2">
        <f t="shared" si="2"/>
        <v>7870</v>
      </c>
      <c r="J16" s="1">
        <f>VLOOKUP($B16,'Wage Sheet'!$B$7:$AD$148,MATCH('Master Sheet'!J$7,'Wage Sheet'!$B$7:$AD$7,0),0)</f>
        <v>26</v>
      </c>
      <c r="K16" s="8">
        <f>VLOOKUP($B16,'Wage Sheet'!$B$7:$AD$148,MATCH('Master Sheet'!K$7,'Wage Sheet'!$B$7:$AD$7,0),0)</f>
        <v>25</v>
      </c>
      <c r="L16" s="1">
        <f t="shared" si="19"/>
        <v>5297.1153846153848</v>
      </c>
      <c r="M16" s="1">
        <f t="shared" si="20"/>
        <v>2270.1923076923076</v>
      </c>
      <c r="N16" s="1">
        <f t="shared" si="21"/>
        <v>0</v>
      </c>
      <c r="O16" s="4">
        <f t="shared" si="5"/>
        <v>7567</v>
      </c>
      <c r="P16" s="5">
        <f t="shared" si="22"/>
        <v>636</v>
      </c>
      <c r="Q16" s="5">
        <f t="shared" si="23"/>
        <v>133</v>
      </c>
      <c r="R16" s="6">
        <f t="shared" si="24"/>
        <v>0</v>
      </c>
      <c r="S16" s="1">
        <v>0</v>
      </c>
      <c r="T16" s="1">
        <v>0</v>
      </c>
      <c r="U16" s="7">
        <f t="shared" si="25"/>
        <v>769</v>
      </c>
      <c r="V16" s="26">
        <f t="shared" si="26"/>
        <v>6798</v>
      </c>
      <c r="W16" s="1">
        <f>VLOOKUP($B16,'Wage Sheet'!$B$7:$AD$148,MATCH('Master Sheet'!W$7,'Wage Sheet'!$B$7:$AD$7,0),0)</f>
        <v>631</v>
      </c>
      <c r="X16" s="26">
        <f t="shared" si="27"/>
        <v>7429</v>
      </c>
      <c r="Y16" s="5">
        <f t="shared" si="28"/>
        <v>5297</v>
      </c>
      <c r="Z16" s="5">
        <f t="shared" si="29"/>
        <v>708</v>
      </c>
      <c r="AA16" s="5">
        <f t="shared" si="14"/>
        <v>7567</v>
      </c>
      <c r="AB16" s="5">
        <f t="shared" si="30"/>
        <v>360</v>
      </c>
      <c r="AC16" s="35">
        <f t="shared" si="1"/>
        <v>9266</v>
      </c>
    </row>
    <row r="17" spans="1:29">
      <c r="A17" s="33">
        <v>10</v>
      </c>
      <c r="B17" s="49" t="str">
        <f>'Wage Sheet'!B23</f>
        <v>PRS/Office/HK/004</v>
      </c>
      <c r="C17" s="49" t="str">
        <f>VLOOKUP($B17,'Wage Sheet'!$B$7:$AD$148,MATCH('Master Sheet'!C$7,'Wage Sheet'!$B$7:$AD$7,0),0)</f>
        <v>Sumanta Dutta</v>
      </c>
      <c r="D17" s="49" t="str">
        <f>VLOOKUP($B17,'Wage Sheet'!$B$7:$AD$148,MATCH('Master Sheet'!D$7,'Wage Sheet'!$B$7:$AD$7,0),0)</f>
        <v>Housekeeping</v>
      </c>
      <c r="E17" s="49" t="str">
        <f>VLOOKUP($B17,'Wage Sheet'!$B$7:$AD$148,MATCH('Master Sheet'!E$7,'Wage Sheet'!$B$7:$AD$7,0),0)</f>
        <v>PC Office</v>
      </c>
      <c r="F17" s="1">
        <f>VLOOKUP($B17,'Wage Sheet'!$B$7:$AD$148,MATCH('Master Sheet'!F$7,'Wage Sheet'!$B$7:$AD$7,0),0)</f>
        <v>5509</v>
      </c>
      <c r="G17" s="1">
        <f>VLOOKUP($B17,'Wage Sheet'!$B$7:$AD$148,MATCH('Master Sheet'!G$7,'Wage Sheet'!$B$7:$AD$7,0),0)</f>
        <v>2361</v>
      </c>
      <c r="H17" s="1">
        <f>VLOOKUP($B17,'Wage Sheet'!$B$7:$AD$148,MATCH('Master Sheet'!H$7,'Wage Sheet'!$B$7:$AD$7,0),0)</f>
        <v>0</v>
      </c>
      <c r="I17" s="2">
        <f t="shared" si="2"/>
        <v>7870</v>
      </c>
      <c r="J17" s="1">
        <f>VLOOKUP($B17,'Wage Sheet'!$B$7:$AD$148,MATCH('Master Sheet'!J$7,'Wage Sheet'!$B$7:$AD$7,0),0)</f>
        <v>26</v>
      </c>
      <c r="K17" s="8">
        <f>VLOOKUP($B17,'Wage Sheet'!$B$7:$AD$148,MATCH('Master Sheet'!K$7,'Wage Sheet'!$B$7:$AD$7,0),0)</f>
        <v>1</v>
      </c>
      <c r="L17" s="1">
        <f t="shared" si="19"/>
        <v>211.88461538461539</v>
      </c>
      <c r="M17" s="1">
        <f t="shared" si="20"/>
        <v>90.807692307692307</v>
      </c>
      <c r="N17" s="1">
        <f t="shared" si="21"/>
        <v>0</v>
      </c>
      <c r="O17" s="4">
        <f t="shared" si="5"/>
        <v>303</v>
      </c>
      <c r="P17" s="5">
        <f t="shared" si="22"/>
        <v>25</v>
      </c>
      <c r="Q17" s="5">
        <f t="shared" si="23"/>
        <v>6</v>
      </c>
      <c r="R17" s="6">
        <f t="shared" si="24"/>
        <v>0</v>
      </c>
      <c r="S17" s="1">
        <v>0</v>
      </c>
      <c r="T17" s="1">
        <v>0</v>
      </c>
      <c r="U17" s="7">
        <f t="shared" si="25"/>
        <v>31</v>
      </c>
      <c r="V17" s="26">
        <f t="shared" si="26"/>
        <v>272</v>
      </c>
      <c r="W17" s="1">
        <f>VLOOKUP($B17,'Wage Sheet'!$B$7:$AD$148,MATCH('Master Sheet'!W$7,'Wage Sheet'!$B$7:$AD$7,0),0)</f>
        <v>25</v>
      </c>
      <c r="X17" s="26">
        <f t="shared" si="27"/>
        <v>297</v>
      </c>
      <c r="Y17" s="5">
        <f t="shared" si="28"/>
        <v>212</v>
      </c>
      <c r="Z17" s="5">
        <f t="shared" si="29"/>
        <v>28</v>
      </c>
      <c r="AA17" s="5">
        <f t="shared" si="14"/>
        <v>303</v>
      </c>
      <c r="AB17" s="5">
        <f t="shared" si="30"/>
        <v>15</v>
      </c>
      <c r="AC17" s="35">
        <f t="shared" si="1"/>
        <v>371</v>
      </c>
    </row>
    <row r="18" spans="1:29">
      <c r="A18" s="33">
        <v>11</v>
      </c>
      <c r="B18" s="49" t="str">
        <f>'Wage Sheet'!B27</f>
        <v>PRS/RS-Hiland Park/HK/001</v>
      </c>
      <c r="C18" s="49" t="str">
        <f>VLOOKUP($B18,'Wage Sheet'!$B$7:$AD$148,MATCH('Master Sheet'!C$7,'Wage Sheet'!$B$7:$AD$7,0),0)</f>
        <v>Dipankar Naskar</v>
      </c>
      <c r="D18" s="49" t="str">
        <f>VLOOKUP($B18,'Wage Sheet'!$B$7:$AD$148,MATCH('Master Sheet'!D$7,'Wage Sheet'!$B$7:$AD$7,0),0)</f>
        <v>Housekeeping</v>
      </c>
      <c r="E18" s="49" t="str">
        <f>VLOOKUP($B18,'Wage Sheet'!$B$7:$AD$148,MATCH('Master Sheet'!E$7,'Wage Sheet'!$B$7:$AD$7,0),0)</f>
        <v>RS-Hiland Park</v>
      </c>
      <c r="F18" s="1">
        <f>VLOOKUP($B18,'Wage Sheet'!$B$7:$AD$148,MATCH('Master Sheet'!F$7,'Wage Sheet'!$B$7:$AD$7,0),0)</f>
        <v>5509</v>
      </c>
      <c r="G18" s="1">
        <f>VLOOKUP($B18,'Wage Sheet'!$B$7:$AD$148,MATCH('Master Sheet'!G$7,'Wage Sheet'!$B$7:$AD$7,0),0)</f>
        <v>2361</v>
      </c>
      <c r="H18" s="1">
        <f>VLOOKUP($B18,'Wage Sheet'!$B$7:$AD$148,MATCH('Master Sheet'!H$7,'Wage Sheet'!$B$7:$AD$7,0),0)</f>
        <v>0</v>
      </c>
      <c r="I18" s="2">
        <f t="shared" si="2"/>
        <v>7870</v>
      </c>
      <c r="J18" s="1">
        <f>VLOOKUP($B18,'Wage Sheet'!$B$7:$AD$148,MATCH('Master Sheet'!J$7,'Wage Sheet'!$B$7:$AD$7,0),0)</f>
        <v>26</v>
      </c>
      <c r="K18" s="8">
        <f>VLOOKUP($B18,'Wage Sheet'!$B$7:$AD$148,MATCH('Master Sheet'!K$7,'Wage Sheet'!$B$7:$AD$7,0),0)</f>
        <v>24</v>
      </c>
      <c r="L18" s="1">
        <f t="shared" ref="L18:L20" si="31">F18/J18*K18</f>
        <v>5085.2307692307695</v>
      </c>
      <c r="M18" s="1">
        <f t="shared" ref="M18:M20" si="32">G18/J18*K18</f>
        <v>2179.3846153846152</v>
      </c>
      <c r="N18" s="1">
        <f t="shared" si="21"/>
        <v>0</v>
      </c>
      <c r="O18" s="4">
        <f t="shared" si="5"/>
        <v>7265</v>
      </c>
      <c r="P18" s="5">
        <f>ROUND(Y18*12%,0)</f>
        <v>610</v>
      </c>
      <c r="Q18" s="5">
        <f>ROUNDUP(AA18*1.75%,0)</f>
        <v>128</v>
      </c>
      <c r="R18" s="6">
        <f>IF(O18&gt;40000,200,IF(O18&gt;25000,150,IF(O18&gt;15000,130,IF(O18&gt;10000,110,IF(O18&gt;8500,0,)))))</f>
        <v>0</v>
      </c>
      <c r="S18" s="1">
        <v>0</v>
      </c>
      <c r="T18" s="1">
        <v>0</v>
      </c>
      <c r="U18" s="7">
        <f>SUM(P18:T18)</f>
        <v>738</v>
      </c>
      <c r="V18" s="26">
        <f>O18-U18</f>
        <v>6527</v>
      </c>
      <c r="W18" s="1">
        <f>VLOOKUP($B18,'Wage Sheet'!$B$7:$AD$148,MATCH('Master Sheet'!W$7,'Wage Sheet'!$B$7:$AD$7,0),0)</f>
        <v>605</v>
      </c>
      <c r="X18" s="26">
        <f>V18+W18</f>
        <v>7132</v>
      </c>
      <c r="Y18" s="5">
        <f>ROUND(IF(($L18)&gt;15000,15000,IF(($L18)&lt;=15000,($L18))),0)</f>
        <v>5085</v>
      </c>
      <c r="Z18" s="5">
        <f>ROUND(Y18*13.36%,0)</f>
        <v>679</v>
      </c>
      <c r="AA18" s="5">
        <f t="shared" si="14"/>
        <v>7265</v>
      </c>
      <c r="AB18" s="5">
        <f>ROUNDUP(AA18*4.75%,0)</f>
        <v>346</v>
      </c>
      <c r="AC18" s="35">
        <f t="shared" si="1"/>
        <v>8895</v>
      </c>
    </row>
    <row r="19" spans="1:29">
      <c r="A19" s="33">
        <v>12</v>
      </c>
      <c r="B19" s="49" t="str">
        <f>'Wage Sheet'!B28</f>
        <v>PRS/RS-Hiland Park/HK/002</v>
      </c>
      <c r="C19" s="49" t="str">
        <f>VLOOKUP($B19,'Wage Sheet'!$B$7:$AD$148,MATCH('Master Sheet'!C$7,'Wage Sheet'!$B$7:$AD$7,0),0)</f>
        <v>Prosanta Chowdhury</v>
      </c>
      <c r="D19" s="49" t="str">
        <f>VLOOKUP($B19,'Wage Sheet'!$B$7:$AD$148,MATCH('Master Sheet'!D$7,'Wage Sheet'!$B$7:$AD$7,0),0)</f>
        <v>Housekeeping</v>
      </c>
      <c r="E19" s="49" t="str">
        <f>VLOOKUP($B19,'Wage Sheet'!$B$7:$AD$148,MATCH('Master Sheet'!E$7,'Wage Sheet'!$B$7:$AD$7,0),0)</f>
        <v>RS-Hiland Park</v>
      </c>
      <c r="F19" s="1">
        <f>VLOOKUP($B19,'Wage Sheet'!$B$7:$AD$148,MATCH('Master Sheet'!F$7,'Wage Sheet'!$B$7:$AD$7,0),0)</f>
        <v>5509</v>
      </c>
      <c r="G19" s="1">
        <f>VLOOKUP($B19,'Wage Sheet'!$B$7:$AD$148,MATCH('Master Sheet'!G$7,'Wage Sheet'!$B$7:$AD$7,0),0)</f>
        <v>2361</v>
      </c>
      <c r="H19" s="1">
        <f>VLOOKUP($B19,'Wage Sheet'!$B$7:$AD$148,MATCH('Master Sheet'!H$7,'Wage Sheet'!$B$7:$AD$7,0),0)</f>
        <v>0</v>
      </c>
      <c r="I19" s="2">
        <f t="shared" si="2"/>
        <v>7870</v>
      </c>
      <c r="J19" s="1">
        <f>VLOOKUP($B19,'Wage Sheet'!$B$7:$AD$148,MATCH('Master Sheet'!J$7,'Wage Sheet'!$B$7:$AD$7,0),0)</f>
        <v>26</v>
      </c>
      <c r="K19" s="8">
        <f>VLOOKUP($B19,'Wage Sheet'!$B$7:$AD$148,MATCH('Master Sheet'!K$7,'Wage Sheet'!$B$7:$AD$7,0),0)</f>
        <v>4</v>
      </c>
      <c r="L19" s="1">
        <f t="shared" si="31"/>
        <v>847.53846153846155</v>
      </c>
      <c r="M19" s="1">
        <f t="shared" si="32"/>
        <v>363.23076923076923</v>
      </c>
      <c r="N19" s="1">
        <f t="shared" si="21"/>
        <v>0</v>
      </c>
      <c r="O19" s="4">
        <f t="shared" si="5"/>
        <v>1211</v>
      </c>
      <c r="P19" s="5">
        <f t="shared" ref="P19:P20" si="33">ROUND(Y19*12%,0)</f>
        <v>102</v>
      </c>
      <c r="Q19" s="5">
        <f t="shared" ref="Q19:Q20" si="34">ROUNDUP(AA19*1.75%,0)</f>
        <v>22</v>
      </c>
      <c r="R19" s="6">
        <f t="shared" ref="R19:R20" si="35">IF(O19&gt;40000,200,IF(O19&gt;25000,150,IF(O19&gt;15000,130,IF(O19&gt;10000,110,IF(O19&gt;8500,0,)))))</f>
        <v>0</v>
      </c>
      <c r="S19" s="1">
        <v>0</v>
      </c>
      <c r="T19" s="1">
        <v>0</v>
      </c>
      <c r="U19" s="7">
        <f t="shared" ref="U19:U20" si="36">SUM(P19:T19)</f>
        <v>124</v>
      </c>
      <c r="V19" s="26">
        <f t="shared" ref="V19:V20" si="37">O19-U19</f>
        <v>1087</v>
      </c>
      <c r="W19" s="1">
        <f>VLOOKUP($B19,'Wage Sheet'!$B$7:$AD$148,MATCH('Master Sheet'!W$7,'Wage Sheet'!$B$7:$AD$7,0),0)</f>
        <v>101</v>
      </c>
      <c r="X19" s="26">
        <f t="shared" ref="X19:X20" si="38">V19+W19</f>
        <v>1188</v>
      </c>
      <c r="Y19" s="5">
        <f t="shared" ref="Y19:Y20" si="39">ROUND(IF(($L19)&gt;15000,15000,IF(($L19)&lt;=15000,($L19))),0)</f>
        <v>848</v>
      </c>
      <c r="Z19" s="5">
        <f t="shared" ref="Z19:Z20" si="40">ROUND(Y19*13.36%,0)</f>
        <v>113</v>
      </c>
      <c r="AA19" s="5">
        <f t="shared" si="14"/>
        <v>1211</v>
      </c>
      <c r="AB19" s="5">
        <f t="shared" ref="AB19:AB20" si="41">ROUNDUP(AA19*4.75%,0)</f>
        <v>58</v>
      </c>
      <c r="AC19" s="35">
        <f t="shared" si="1"/>
        <v>1483</v>
      </c>
    </row>
    <row r="20" spans="1:29">
      <c r="A20" s="33">
        <v>13</v>
      </c>
      <c r="B20" s="49" t="str">
        <f>'Wage Sheet'!B29</f>
        <v>PRS/RS-Hiland Park/HK/003</v>
      </c>
      <c r="C20" s="49" t="str">
        <f>VLOOKUP($B20,'Wage Sheet'!$B$7:$AD$148,MATCH('Master Sheet'!C$7,'Wage Sheet'!$B$7:$AD$7,0),0)</f>
        <v>Shankar Sardder</v>
      </c>
      <c r="D20" s="49" t="str">
        <f>VLOOKUP($B20,'Wage Sheet'!$B$7:$AD$148,MATCH('Master Sheet'!D$7,'Wage Sheet'!$B$7:$AD$7,0),0)</f>
        <v>Housekeeping</v>
      </c>
      <c r="E20" s="49" t="str">
        <f>VLOOKUP($B20,'Wage Sheet'!$B$7:$AD$148,MATCH('Master Sheet'!E$7,'Wage Sheet'!$B$7:$AD$7,0),0)</f>
        <v>RS-Hiland Park</v>
      </c>
      <c r="F20" s="1">
        <f>VLOOKUP($B20,'Wage Sheet'!$B$7:$AD$148,MATCH('Master Sheet'!F$7,'Wage Sheet'!$B$7:$AD$7,0),0)</f>
        <v>5509</v>
      </c>
      <c r="G20" s="1">
        <f>VLOOKUP($B20,'Wage Sheet'!$B$7:$AD$148,MATCH('Master Sheet'!G$7,'Wage Sheet'!$B$7:$AD$7,0),0)</f>
        <v>2361</v>
      </c>
      <c r="H20" s="1">
        <f>VLOOKUP($B20,'Wage Sheet'!$B$7:$AD$148,MATCH('Master Sheet'!H$7,'Wage Sheet'!$B$7:$AD$7,0),0)</f>
        <v>0</v>
      </c>
      <c r="I20" s="2">
        <f t="shared" si="2"/>
        <v>7870</v>
      </c>
      <c r="J20" s="1">
        <f>VLOOKUP($B20,'Wage Sheet'!$B$7:$AD$148,MATCH('Master Sheet'!J$7,'Wage Sheet'!$B$7:$AD$7,0),0)</f>
        <v>26</v>
      </c>
      <c r="K20" s="8">
        <f>VLOOKUP($B20,'Wage Sheet'!$B$7:$AD$148,MATCH('Master Sheet'!K$7,'Wage Sheet'!$B$7:$AD$7,0),0)</f>
        <v>28</v>
      </c>
      <c r="L20" s="1">
        <f t="shared" si="31"/>
        <v>5932.7692307692305</v>
      </c>
      <c r="M20" s="1">
        <f t="shared" si="32"/>
        <v>2542.6153846153848</v>
      </c>
      <c r="N20" s="1">
        <f t="shared" si="21"/>
        <v>0</v>
      </c>
      <c r="O20" s="4">
        <f t="shared" si="5"/>
        <v>8475</v>
      </c>
      <c r="P20" s="5">
        <f t="shared" si="33"/>
        <v>712</v>
      </c>
      <c r="Q20" s="5">
        <f t="shared" si="34"/>
        <v>149</v>
      </c>
      <c r="R20" s="6">
        <f t="shared" si="35"/>
        <v>0</v>
      </c>
      <c r="S20" s="1">
        <v>0</v>
      </c>
      <c r="T20" s="1">
        <v>0</v>
      </c>
      <c r="U20" s="7">
        <f t="shared" si="36"/>
        <v>861</v>
      </c>
      <c r="V20" s="26">
        <f t="shared" si="37"/>
        <v>7614</v>
      </c>
      <c r="W20" s="1">
        <f>VLOOKUP($B20,'Wage Sheet'!$B$7:$AD$148,MATCH('Master Sheet'!W$7,'Wage Sheet'!$B$7:$AD$7,0),0)</f>
        <v>706</v>
      </c>
      <c r="X20" s="26">
        <f t="shared" si="38"/>
        <v>8320</v>
      </c>
      <c r="Y20" s="5">
        <f t="shared" si="39"/>
        <v>5933</v>
      </c>
      <c r="Z20" s="5">
        <f t="shared" si="40"/>
        <v>793</v>
      </c>
      <c r="AA20" s="5">
        <f t="shared" si="14"/>
        <v>8475</v>
      </c>
      <c r="AB20" s="5">
        <f t="shared" si="41"/>
        <v>403</v>
      </c>
      <c r="AC20" s="35">
        <f t="shared" si="1"/>
        <v>10377</v>
      </c>
    </row>
    <row r="21" spans="1:29">
      <c r="A21" s="33">
        <v>14</v>
      </c>
      <c r="B21" s="49" t="str">
        <f>'Wage Sheet'!B33</f>
        <v>PRS/RS-Forum Mall/HK/001</v>
      </c>
      <c r="C21" s="49" t="str">
        <f>VLOOKUP($B21,'Wage Sheet'!$B$7:$AD$148,MATCH('Master Sheet'!C$7,'Wage Sheet'!$B$7:$AD$7,0),0)</f>
        <v>Sudip Bose</v>
      </c>
      <c r="D21" s="49" t="str">
        <f>VLOOKUP($B21,'Wage Sheet'!$B$7:$AD$148,MATCH('Master Sheet'!D$7,'Wage Sheet'!$B$7:$AD$7,0),0)</f>
        <v>Housekeeping</v>
      </c>
      <c r="E21" s="49" t="str">
        <f>VLOOKUP($B21,'Wage Sheet'!$B$7:$AD$148,MATCH('Master Sheet'!E$7,'Wage Sheet'!$B$7:$AD$7,0),0)</f>
        <v>RS-Forum Mall</v>
      </c>
      <c r="F21" s="1">
        <f>VLOOKUP($B21,'Wage Sheet'!$B$7:$AD$148,MATCH('Master Sheet'!F$7,'Wage Sheet'!$B$7:$AD$7,0),0)</f>
        <v>5509</v>
      </c>
      <c r="G21" s="1">
        <f>VLOOKUP($B21,'Wage Sheet'!$B$7:$AD$148,MATCH('Master Sheet'!G$7,'Wage Sheet'!$B$7:$AD$7,0),0)</f>
        <v>2361</v>
      </c>
      <c r="H21" s="1">
        <f>VLOOKUP($B21,'Wage Sheet'!$B$7:$AD$148,MATCH('Master Sheet'!H$7,'Wage Sheet'!$B$7:$AD$7,0),0)</f>
        <v>0</v>
      </c>
      <c r="I21" s="2">
        <f t="shared" si="2"/>
        <v>7870</v>
      </c>
      <c r="J21" s="1">
        <f>VLOOKUP($B21,'Wage Sheet'!$B$7:$AD$148,MATCH('Master Sheet'!J$7,'Wage Sheet'!$B$7:$AD$7,0),0)</f>
        <v>26</v>
      </c>
      <c r="K21" s="8">
        <f>VLOOKUP($B21,'Wage Sheet'!$B$7:$AD$148,MATCH('Master Sheet'!K$7,'Wage Sheet'!$B$7:$AD$7,0),0)</f>
        <v>29</v>
      </c>
      <c r="L21" s="1">
        <f t="shared" ref="L21:L23" si="42">F21/J21*K21</f>
        <v>6144.6538461538466</v>
      </c>
      <c r="M21" s="1">
        <f t="shared" ref="M21:M23" si="43">G21/J21*K21</f>
        <v>2633.4230769230767</v>
      </c>
      <c r="N21" s="1">
        <f t="shared" si="21"/>
        <v>0</v>
      </c>
      <c r="O21" s="4">
        <f t="shared" si="5"/>
        <v>8778</v>
      </c>
      <c r="P21" s="5">
        <f>ROUND(Y21*12%,0)</f>
        <v>737</v>
      </c>
      <c r="Q21" s="5">
        <f>ROUNDUP(AA21*1.75%,0)</f>
        <v>154</v>
      </c>
      <c r="R21" s="6">
        <f>IF(O21&gt;40000,200,IF(O21&gt;25000,150,IF(O21&gt;15000,130,IF(O21&gt;10000,110,IF(O21&gt;8500,0,)))))</f>
        <v>0</v>
      </c>
      <c r="S21" s="1">
        <v>0</v>
      </c>
      <c r="T21" s="1">
        <v>0</v>
      </c>
      <c r="U21" s="7">
        <f>SUM(P21:T21)</f>
        <v>891</v>
      </c>
      <c r="V21" s="26">
        <f>O21-U21</f>
        <v>7887</v>
      </c>
      <c r="W21" s="1">
        <f>VLOOKUP($B21,'Wage Sheet'!$B$7:$AD$148,MATCH('Master Sheet'!W$7,'Wage Sheet'!$B$7:$AD$7,0),0)</f>
        <v>732</v>
      </c>
      <c r="X21" s="26">
        <f>V21+W21</f>
        <v>8619</v>
      </c>
      <c r="Y21" s="5">
        <f>ROUND(IF(($L21)&gt;15000,15000,IF(($L21)&lt;=15000,($L21))),0)</f>
        <v>6145</v>
      </c>
      <c r="Z21" s="5">
        <f>ROUND(Y21*13.36%,0)</f>
        <v>821</v>
      </c>
      <c r="AA21" s="5">
        <f t="shared" si="14"/>
        <v>8778</v>
      </c>
      <c r="AB21" s="5">
        <f>ROUNDUP(AA21*4.75%,0)</f>
        <v>417</v>
      </c>
      <c r="AC21" s="35">
        <f t="shared" si="1"/>
        <v>10748</v>
      </c>
    </row>
    <row r="22" spans="1:29">
      <c r="A22" s="33">
        <v>15</v>
      </c>
      <c r="B22" s="49" t="str">
        <f>'Wage Sheet'!B34</f>
        <v>PRS/RS-Forum Mall/HK/002</v>
      </c>
      <c r="C22" s="49" t="str">
        <f>VLOOKUP($B22,'Wage Sheet'!$B$7:$AD$148,MATCH('Master Sheet'!C$7,'Wage Sheet'!$B$7:$AD$7,0),0)</f>
        <v>Khokon Mal</v>
      </c>
      <c r="D22" s="49" t="str">
        <f>VLOOKUP($B22,'Wage Sheet'!$B$7:$AD$148,MATCH('Master Sheet'!D$7,'Wage Sheet'!$B$7:$AD$7,0),0)</f>
        <v>Housekeeping</v>
      </c>
      <c r="E22" s="49" t="str">
        <f>VLOOKUP($B22,'Wage Sheet'!$B$7:$AD$148,MATCH('Master Sheet'!E$7,'Wage Sheet'!$B$7:$AD$7,0),0)</f>
        <v>RS-Forum Mall</v>
      </c>
      <c r="F22" s="1">
        <f>VLOOKUP($B22,'Wage Sheet'!$B$7:$AD$148,MATCH('Master Sheet'!F$7,'Wage Sheet'!$B$7:$AD$7,0),0)</f>
        <v>5509</v>
      </c>
      <c r="G22" s="1">
        <f>VLOOKUP($B22,'Wage Sheet'!$B$7:$AD$148,MATCH('Master Sheet'!G$7,'Wage Sheet'!$B$7:$AD$7,0),0)</f>
        <v>2361</v>
      </c>
      <c r="H22" s="1">
        <f>VLOOKUP($B22,'Wage Sheet'!$B$7:$AD$148,MATCH('Master Sheet'!H$7,'Wage Sheet'!$B$7:$AD$7,0),0)</f>
        <v>0</v>
      </c>
      <c r="I22" s="2">
        <f t="shared" si="2"/>
        <v>7870</v>
      </c>
      <c r="J22" s="1">
        <f>VLOOKUP($B22,'Wage Sheet'!$B$7:$AD$148,MATCH('Master Sheet'!J$7,'Wage Sheet'!$B$7:$AD$7,0),0)</f>
        <v>26</v>
      </c>
      <c r="K22" s="8">
        <f>VLOOKUP($B22,'Wage Sheet'!$B$7:$AD$148,MATCH('Master Sheet'!K$7,'Wage Sheet'!$B$7:$AD$7,0),0)</f>
        <v>1</v>
      </c>
      <c r="L22" s="1">
        <f t="shared" si="42"/>
        <v>211.88461538461539</v>
      </c>
      <c r="M22" s="1">
        <f t="shared" si="43"/>
        <v>90.807692307692307</v>
      </c>
      <c r="N22" s="1">
        <f t="shared" si="21"/>
        <v>0</v>
      </c>
      <c r="O22" s="4">
        <f t="shared" si="5"/>
        <v>303</v>
      </c>
      <c r="P22" s="5">
        <f t="shared" ref="P22:P23" si="44">ROUND(Y22*12%,0)</f>
        <v>25</v>
      </c>
      <c r="Q22" s="5">
        <f t="shared" ref="Q22:Q23" si="45">ROUNDUP(AA22*1.75%,0)</f>
        <v>6</v>
      </c>
      <c r="R22" s="6">
        <f t="shared" ref="R22:R23" si="46">IF(O22&gt;40000,200,IF(O22&gt;25000,150,IF(O22&gt;15000,130,IF(O22&gt;10000,110,IF(O22&gt;8500,0,)))))</f>
        <v>0</v>
      </c>
      <c r="S22" s="1">
        <v>0</v>
      </c>
      <c r="T22" s="1">
        <v>0</v>
      </c>
      <c r="U22" s="7">
        <f t="shared" ref="U22:U23" si="47">SUM(P22:T22)</f>
        <v>31</v>
      </c>
      <c r="V22" s="26">
        <f t="shared" ref="V22:V23" si="48">O22-U22</f>
        <v>272</v>
      </c>
      <c r="W22" s="1">
        <f>VLOOKUP($B22,'Wage Sheet'!$B$7:$AD$148,MATCH('Master Sheet'!W$7,'Wage Sheet'!$B$7:$AD$7,0),0)</f>
        <v>25</v>
      </c>
      <c r="X22" s="26">
        <f t="shared" ref="X22:X23" si="49">V22+W22</f>
        <v>297</v>
      </c>
      <c r="Y22" s="5">
        <f t="shared" ref="Y22:Y23" si="50">ROUND(IF(($L22)&gt;15000,15000,IF(($L22)&lt;=15000,($L22))),0)</f>
        <v>212</v>
      </c>
      <c r="Z22" s="5">
        <f t="shared" ref="Z22:Z23" si="51">ROUND(Y22*13.36%,0)</f>
        <v>28</v>
      </c>
      <c r="AA22" s="5">
        <f t="shared" si="14"/>
        <v>303</v>
      </c>
      <c r="AB22" s="5">
        <f t="shared" ref="AB22:AB23" si="52">ROUNDUP(AA22*4.75%,0)</f>
        <v>15</v>
      </c>
      <c r="AC22" s="35">
        <f t="shared" si="1"/>
        <v>371</v>
      </c>
    </row>
    <row r="23" spans="1:29">
      <c r="A23" s="33">
        <v>16</v>
      </c>
      <c r="B23" s="49" t="str">
        <f>'Wage Sheet'!B35</f>
        <v>PRS/RS-Forum Mall/HK/003</v>
      </c>
      <c r="C23" s="49" t="str">
        <f>VLOOKUP($B23,'Wage Sheet'!$B$7:$AD$148,MATCH('Master Sheet'!C$7,'Wage Sheet'!$B$7:$AD$7,0),0)</f>
        <v>Ajay Shadhukan</v>
      </c>
      <c r="D23" s="49" t="str">
        <f>VLOOKUP($B23,'Wage Sheet'!$B$7:$AD$148,MATCH('Master Sheet'!D$7,'Wage Sheet'!$B$7:$AD$7,0),0)</f>
        <v>Housekeeping</v>
      </c>
      <c r="E23" s="49" t="str">
        <f>VLOOKUP($B23,'Wage Sheet'!$B$7:$AD$148,MATCH('Master Sheet'!E$7,'Wage Sheet'!$B$7:$AD$7,0),0)</f>
        <v>RS-Forum Mall</v>
      </c>
      <c r="F23" s="1">
        <f>VLOOKUP($B23,'Wage Sheet'!$B$7:$AD$148,MATCH('Master Sheet'!F$7,'Wage Sheet'!$B$7:$AD$7,0),0)</f>
        <v>5509</v>
      </c>
      <c r="G23" s="1">
        <f>VLOOKUP($B23,'Wage Sheet'!$B$7:$AD$148,MATCH('Master Sheet'!G$7,'Wage Sheet'!$B$7:$AD$7,0),0)</f>
        <v>2361</v>
      </c>
      <c r="H23" s="1">
        <f>VLOOKUP($B23,'Wage Sheet'!$B$7:$AD$148,MATCH('Master Sheet'!H$7,'Wage Sheet'!$B$7:$AD$7,0),0)</f>
        <v>0</v>
      </c>
      <c r="I23" s="2">
        <f t="shared" si="2"/>
        <v>7870</v>
      </c>
      <c r="J23" s="1">
        <f>VLOOKUP($B23,'Wage Sheet'!$B$7:$AD$148,MATCH('Master Sheet'!J$7,'Wage Sheet'!$B$7:$AD$7,0),0)</f>
        <v>26</v>
      </c>
      <c r="K23" s="8">
        <f>VLOOKUP($B23,'Wage Sheet'!$B$7:$AD$148,MATCH('Master Sheet'!K$7,'Wage Sheet'!$B$7:$AD$7,0),0)</f>
        <v>1</v>
      </c>
      <c r="L23" s="1">
        <f t="shared" si="42"/>
        <v>211.88461538461539</v>
      </c>
      <c r="M23" s="1">
        <f t="shared" si="43"/>
        <v>90.807692307692307</v>
      </c>
      <c r="N23" s="1">
        <f t="shared" si="21"/>
        <v>0</v>
      </c>
      <c r="O23" s="4">
        <f t="shared" si="5"/>
        <v>303</v>
      </c>
      <c r="P23" s="5">
        <f t="shared" si="44"/>
        <v>25</v>
      </c>
      <c r="Q23" s="5">
        <f t="shared" si="45"/>
        <v>6</v>
      </c>
      <c r="R23" s="6">
        <f t="shared" si="46"/>
        <v>0</v>
      </c>
      <c r="S23" s="1">
        <v>0</v>
      </c>
      <c r="T23" s="1">
        <v>0</v>
      </c>
      <c r="U23" s="7">
        <f t="shared" si="47"/>
        <v>31</v>
      </c>
      <c r="V23" s="26">
        <f t="shared" si="48"/>
        <v>272</v>
      </c>
      <c r="W23" s="1">
        <f>VLOOKUP($B23,'Wage Sheet'!$B$7:$AD$148,MATCH('Master Sheet'!W$7,'Wage Sheet'!$B$7:$AD$7,0),0)</f>
        <v>25</v>
      </c>
      <c r="X23" s="26">
        <f t="shared" si="49"/>
        <v>297</v>
      </c>
      <c r="Y23" s="5">
        <f t="shared" si="50"/>
        <v>212</v>
      </c>
      <c r="Z23" s="5">
        <f t="shared" si="51"/>
        <v>28</v>
      </c>
      <c r="AA23" s="5">
        <f t="shared" si="14"/>
        <v>303</v>
      </c>
      <c r="AB23" s="5">
        <f t="shared" si="52"/>
        <v>15</v>
      </c>
      <c r="AC23" s="35">
        <f t="shared" si="1"/>
        <v>371</v>
      </c>
    </row>
    <row r="24" spans="1:29">
      <c r="A24" s="33">
        <v>17</v>
      </c>
      <c r="B24" s="49" t="str">
        <f>'Wage Sheet'!B39</f>
        <v>PRS/Shyagugst St./HK/001</v>
      </c>
      <c r="C24" s="49" t="str">
        <f>VLOOKUP($B24,'Wage Sheet'!$B$7:$AD$148,MATCH('Master Sheet'!C$7,'Wage Sheet'!$B$7:$AD$7,0),0)</f>
        <v>Sakti Shadan Dey</v>
      </c>
      <c r="D24" s="49" t="str">
        <f>VLOOKUP($B24,'Wage Sheet'!$B$7:$AD$148,MATCH('Master Sheet'!D$7,'Wage Sheet'!$B$7:$AD$7,0),0)</f>
        <v>Housekeeping</v>
      </c>
      <c r="E24" s="49" t="str">
        <f>VLOOKUP($B24,'Wage Sheet'!$B$7:$AD$148,MATCH('Master Sheet'!E$7,'Wage Sheet'!$B$7:$AD$7,0),0)</f>
        <v>Shyagugst St.</v>
      </c>
      <c r="F24" s="1">
        <f>VLOOKUP($B24,'Wage Sheet'!$B$7:$AD$148,MATCH('Master Sheet'!F$7,'Wage Sheet'!$B$7:$AD$7,0),0)</f>
        <v>5509</v>
      </c>
      <c r="G24" s="1">
        <f>VLOOKUP($B24,'Wage Sheet'!$B$7:$AD$148,MATCH('Master Sheet'!G$7,'Wage Sheet'!$B$7:$AD$7,0),0)</f>
        <v>2361</v>
      </c>
      <c r="H24" s="1">
        <f>VLOOKUP($B24,'Wage Sheet'!$B$7:$AD$148,MATCH('Master Sheet'!H$7,'Wage Sheet'!$B$7:$AD$7,0),0)</f>
        <v>0</v>
      </c>
      <c r="I24" s="2">
        <f t="shared" si="2"/>
        <v>7870</v>
      </c>
      <c r="J24" s="1">
        <f>VLOOKUP($B24,'Wage Sheet'!$B$7:$AD$148,MATCH('Master Sheet'!J$7,'Wage Sheet'!$B$7:$AD$7,0),0)</f>
        <v>26</v>
      </c>
      <c r="K24" s="8">
        <f>VLOOKUP($B24,'Wage Sheet'!$B$7:$AD$148,MATCH('Master Sheet'!K$7,'Wage Sheet'!$B$7:$AD$7,0),0)</f>
        <v>26</v>
      </c>
      <c r="L24" s="1">
        <f t="shared" ref="L24:L26" si="53">F24/J24*K24</f>
        <v>5509</v>
      </c>
      <c r="M24" s="1">
        <f t="shared" ref="M24:M26" si="54">G24/J24*K24</f>
        <v>2361</v>
      </c>
      <c r="N24" s="1">
        <f t="shared" si="21"/>
        <v>0</v>
      </c>
      <c r="O24" s="4">
        <f t="shared" si="5"/>
        <v>7870</v>
      </c>
      <c r="P24" s="5">
        <f>ROUND(Y24*12%,0)</f>
        <v>661</v>
      </c>
      <c r="Q24" s="5">
        <f>ROUNDUP(AA24*1.75%,0)</f>
        <v>138</v>
      </c>
      <c r="R24" s="6">
        <f>IF(O24&gt;40000,200,IF(O24&gt;25000,150,IF(O24&gt;15000,130,IF(O24&gt;10000,110,IF(O24&gt;8500,0,)))))</f>
        <v>0</v>
      </c>
      <c r="S24" s="1">
        <v>0</v>
      </c>
      <c r="T24" s="1">
        <v>0</v>
      </c>
      <c r="U24" s="7">
        <f>SUM(P24:T24)</f>
        <v>799</v>
      </c>
      <c r="V24" s="26">
        <f>O24-U24</f>
        <v>7071</v>
      </c>
      <c r="W24" s="1">
        <f>VLOOKUP($B24,'Wage Sheet'!$B$7:$AD$148,MATCH('Master Sheet'!W$7,'Wage Sheet'!$B$7:$AD$7,0),0)</f>
        <v>656</v>
      </c>
      <c r="X24" s="26">
        <f>V24+W24</f>
        <v>7727</v>
      </c>
      <c r="Y24" s="5">
        <f>ROUND(IF(($L24)&gt;15000,15000,IF(($L24)&lt;=15000,($L24))),0)</f>
        <v>5509</v>
      </c>
      <c r="Z24" s="5">
        <f>ROUND(Y24*13.36%,0)</f>
        <v>736</v>
      </c>
      <c r="AA24" s="5">
        <f t="shared" si="14"/>
        <v>7870</v>
      </c>
      <c r="AB24" s="5">
        <f>ROUNDUP(AA24*4.75%,0)</f>
        <v>374</v>
      </c>
      <c r="AC24" s="35">
        <f t="shared" si="1"/>
        <v>9636</v>
      </c>
    </row>
    <row r="25" spans="1:29">
      <c r="A25" s="33">
        <v>18</v>
      </c>
      <c r="B25" s="49" t="str">
        <f>'Wage Sheet'!B40</f>
        <v>PRS/Shyagugst St./HK/002</v>
      </c>
      <c r="C25" s="49" t="str">
        <f>VLOOKUP($B25,'Wage Sheet'!$B$7:$AD$148,MATCH('Master Sheet'!C$7,'Wage Sheet'!$B$7:$AD$7,0),0)</f>
        <v>Tushar Dutta</v>
      </c>
      <c r="D25" s="49" t="str">
        <f>VLOOKUP($B25,'Wage Sheet'!$B$7:$AD$148,MATCH('Master Sheet'!D$7,'Wage Sheet'!$B$7:$AD$7,0),0)</f>
        <v>Housekeeping</v>
      </c>
      <c r="E25" s="49" t="str">
        <f>VLOOKUP($B25,'Wage Sheet'!$B$7:$AD$148,MATCH('Master Sheet'!E$7,'Wage Sheet'!$B$7:$AD$7,0),0)</f>
        <v>Shyagugst St.</v>
      </c>
      <c r="F25" s="1">
        <f>VLOOKUP($B25,'Wage Sheet'!$B$7:$AD$148,MATCH('Master Sheet'!F$7,'Wage Sheet'!$B$7:$AD$7,0),0)</f>
        <v>5509</v>
      </c>
      <c r="G25" s="1">
        <f>VLOOKUP($B25,'Wage Sheet'!$B$7:$AD$148,MATCH('Master Sheet'!G$7,'Wage Sheet'!$B$7:$AD$7,0),0)</f>
        <v>2361</v>
      </c>
      <c r="H25" s="1">
        <f>VLOOKUP($B25,'Wage Sheet'!$B$7:$AD$148,MATCH('Master Sheet'!H$7,'Wage Sheet'!$B$7:$AD$7,0),0)</f>
        <v>0</v>
      </c>
      <c r="I25" s="2">
        <f t="shared" si="2"/>
        <v>7870</v>
      </c>
      <c r="J25" s="1">
        <f>VLOOKUP($B25,'Wage Sheet'!$B$7:$AD$148,MATCH('Master Sheet'!J$7,'Wage Sheet'!$B$7:$AD$7,0),0)</f>
        <v>26</v>
      </c>
      <c r="K25" s="8">
        <f>VLOOKUP($B25,'Wage Sheet'!$B$7:$AD$148,MATCH('Master Sheet'!K$7,'Wage Sheet'!$B$7:$AD$7,0),0)</f>
        <v>25</v>
      </c>
      <c r="L25" s="1">
        <f t="shared" si="53"/>
        <v>5297.1153846153848</v>
      </c>
      <c r="M25" s="1">
        <f t="shared" si="54"/>
        <v>2270.1923076923076</v>
      </c>
      <c r="N25" s="1">
        <f t="shared" si="21"/>
        <v>0</v>
      </c>
      <c r="O25" s="4">
        <f t="shared" si="5"/>
        <v>7567</v>
      </c>
      <c r="P25" s="5">
        <f t="shared" ref="P25:P26" si="55">ROUND(Y25*12%,0)</f>
        <v>636</v>
      </c>
      <c r="Q25" s="5">
        <f t="shared" ref="Q25:Q26" si="56">ROUNDUP(AA25*1.75%,0)</f>
        <v>133</v>
      </c>
      <c r="R25" s="6">
        <f t="shared" ref="R25:R26" si="57">IF(O25&gt;40000,200,IF(O25&gt;25000,150,IF(O25&gt;15000,130,IF(O25&gt;10000,110,IF(O25&gt;8500,0,)))))</f>
        <v>0</v>
      </c>
      <c r="S25" s="1">
        <v>0</v>
      </c>
      <c r="T25" s="1">
        <v>0</v>
      </c>
      <c r="U25" s="7">
        <f t="shared" ref="U25:U26" si="58">SUM(P25:T25)</f>
        <v>769</v>
      </c>
      <c r="V25" s="26">
        <f t="shared" ref="V25:V26" si="59">O25-U25</f>
        <v>6798</v>
      </c>
      <c r="W25" s="1">
        <f>VLOOKUP($B25,'Wage Sheet'!$B$7:$AD$148,MATCH('Master Sheet'!W$7,'Wage Sheet'!$B$7:$AD$7,0),0)</f>
        <v>631</v>
      </c>
      <c r="X25" s="26">
        <f t="shared" ref="X25:X26" si="60">V25+W25</f>
        <v>7429</v>
      </c>
      <c r="Y25" s="5">
        <f t="shared" ref="Y25:Y26" si="61">ROUND(IF(($L25)&gt;15000,15000,IF(($L25)&lt;=15000,($L25))),0)</f>
        <v>5297</v>
      </c>
      <c r="Z25" s="5">
        <f t="shared" ref="Z25:Z26" si="62">ROUND(Y25*13.36%,0)</f>
        <v>708</v>
      </c>
      <c r="AA25" s="5">
        <f t="shared" si="14"/>
        <v>7567</v>
      </c>
      <c r="AB25" s="5">
        <f t="shared" ref="AB25:AB26" si="63">ROUNDUP(AA25*4.75%,0)</f>
        <v>360</v>
      </c>
      <c r="AC25" s="35">
        <f t="shared" si="1"/>
        <v>9266</v>
      </c>
    </row>
    <row r="26" spans="1:29">
      <c r="A26" s="33">
        <v>19</v>
      </c>
      <c r="B26" s="49" t="str">
        <f>'Wage Sheet'!B41</f>
        <v>PRS/Shyagugst St./HK/003</v>
      </c>
      <c r="C26" s="49" t="str">
        <f>VLOOKUP($B26,'Wage Sheet'!$B$7:$AD$148,MATCH('Master Sheet'!C$7,'Wage Sheet'!$B$7:$AD$7,0),0)</f>
        <v>Golak Das</v>
      </c>
      <c r="D26" s="49" t="str">
        <f>VLOOKUP($B26,'Wage Sheet'!$B$7:$AD$148,MATCH('Master Sheet'!D$7,'Wage Sheet'!$B$7:$AD$7,0),0)</f>
        <v>Housekeeping</v>
      </c>
      <c r="E26" s="49" t="str">
        <f>VLOOKUP($B26,'Wage Sheet'!$B$7:$AD$148,MATCH('Master Sheet'!E$7,'Wage Sheet'!$B$7:$AD$7,0),0)</f>
        <v>Shyagugst St.</v>
      </c>
      <c r="F26" s="1">
        <f>VLOOKUP($B26,'Wage Sheet'!$B$7:$AD$148,MATCH('Master Sheet'!F$7,'Wage Sheet'!$B$7:$AD$7,0),0)</f>
        <v>5509</v>
      </c>
      <c r="G26" s="1">
        <f>VLOOKUP($B26,'Wage Sheet'!$B$7:$AD$148,MATCH('Master Sheet'!G$7,'Wage Sheet'!$B$7:$AD$7,0),0)</f>
        <v>2361</v>
      </c>
      <c r="H26" s="1">
        <f>VLOOKUP($B26,'Wage Sheet'!$B$7:$AD$148,MATCH('Master Sheet'!H$7,'Wage Sheet'!$B$7:$AD$7,0),0)</f>
        <v>0</v>
      </c>
      <c r="I26" s="2">
        <f t="shared" si="2"/>
        <v>7870</v>
      </c>
      <c r="J26" s="1">
        <f>VLOOKUP($B26,'Wage Sheet'!$B$7:$AD$148,MATCH('Master Sheet'!J$7,'Wage Sheet'!$B$7:$AD$7,0),0)</f>
        <v>26</v>
      </c>
      <c r="K26" s="8">
        <f>VLOOKUP($B26,'Wage Sheet'!$B$7:$AD$148,MATCH('Master Sheet'!K$7,'Wage Sheet'!$B$7:$AD$7,0),0)</f>
        <v>24</v>
      </c>
      <c r="L26" s="1">
        <f t="shared" si="53"/>
        <v>5085.2307692307695</v>
      </c>
      <c r="M26" s="1">
        <f t="shared" si="54"/>
        <v>2179.3846153846152</v>
      </c>
      <c r="N26" s="1">
        <f t="shared" si="21"/>
        <v>0</v>
      </c>
      <c r="O26" s="4">
        <f t="shared" si="5"/>
        <v>7265</v>
      </c>
      <c r="P26" s="5">
        <f t="shared" si="55"/>
        <v>610</v>
      </c>
      <c r="Q26" s="5">
        <f t="shared" si="56"/>
        <v>128</v>
      </c>
      <c r="R26" s="6">
        <f t="shared" si="57"/>
        <v>0</v>
      </c>
      <c r="S26" s="1">
        <v>0</v>
      </c>
      <c r="T26" s="1">
        <v>0</v>
      </c>
      <c r="U26" s="7">
        <f t="shared" si="58"/>
        <v>738</v>
      </c>
      <c r="V26" s="26">
        <f t="shared" si="59"/>
        <v>6527</v>
      </c>
      <c r="W26" s="1">
        <f>VLOOKUP($B26,'Wage Sheet'!$B$7:$AD$148,MATCH('Master Sheet'!W$7,'Wage Sheet'!$B$7:$AD$7,0),0)</f>
        <v>605</v>
      </c>
      <c r="X26" s="26">
        <f t="shared" si="60"/>
        <v>7132</v>
      </c>
      <c r="Y26" s="5">
        <f t="shared" si="61"/>
        <v>5085</v>
      </c>
      <c r="Z26" s="5">
        <f t="shared" si="62"/>
        <v>679</v>
      </c>
      <c r="AA26" s="5">
        <f t="shared" si="14"/>
        <v>7265</v>
      </c>
      <c r="AB26" s="5">
        <f t="shared" si="63"/>
        <v>346</v>
      </c>
      <c r="AC26" s="35">
        <f t="shared" si="1"/>
        <v>8895</v>
      </c>
    </row>
    <row r="27" spans="1:29">
      <c r="A27" s="33">
        <v>20</v>
      </c>
      <c r="B27" s="49" t="str">
        <f>'Wage Sheet'!B45</f>
        <v>PRS/RS-Quest Mall/HK/001</v>
      </c>
      <c r="C27" s="49" t="str">
        <f>VLOOKUP($B27,'Wage Sheet'!$B$7:$AD$148,MATCH('Master Sheet'!C$7,'Wage Sheet'!$B$7:$AD$7,0),0)</f>
        <v>Bhaskar Naskar</v>
      </c>
      <c r="D27" s="49" t="str">
        <f>VLOOKUP($B27,'Wage Sheet'!$B$7:$AD$148,MATCH('Master Sheet'!D$7,'Wage Sheet'!$B$7:$AD$7,0),0)</f>
        <v>Housekeeping</v>
      </c>
      <c r="E27" s="49" t="str">
        <f>VLOOKUP($B27,'Wage Sheet'!$B$7:$AD$148,MATCH('Master Sheet'!E$7,'Wage Sheet'!$B$7:$AD$7,0),0)</f>
        <v>RS-Quest Mall</v>
      </c>
      <c r="F27" s="1">
        <f>VLOOKUP($B27,'Wage Sheet'!$B$7:$AD$148,MATCH('Master Sheet'!F$7,'Wage Sheet'!$B$7:$AD$7,0),0)</f>
        <v>5509</v>
      </c>
      <c r="G27" s="1">
        <f>VLOOKUP($B27,'Wage Sheet'!$B$7:$AD$148,MATCH('Master Sheet'!G$7,'Wage Sheet'!$B$7:$AD$7,0),0)</f>
        <v>2361</v>
      </c>
      <c r="H27" s="1">
        <f>VLOOKUP($B27,'Wage Sheet'!$B$7:$AD$148,MATCH('Master Sheet'!H$7,'Wage Sheet'!$B$7:$AD$7,0),0)</f>
        <v>0</v>
      </c>
      <c r="I27" s="2">
        <f t="shared" ref="I27:I34" si="64">F27+G27+H27</f>
        <v>7870</v>
      </c>
      <c r="J27" s="1">
        <f>VLOOKUP($B27,'Wage Sheet'!$B$7:$AD$148,MATCH('Master Sheet'!J$7,'Wage Sheet'!$B$7:$AD$7,0),0)</f>
        <v>26</v>
      </c>
      <c r="K27" s="8">
        <f>VLOOKUP($B27,'Wage Sheet'!$B$7:$AD$148,MATCH('Master Sheet'!K$7,'Wage Sheet'!$B$7:$AD$7,0),0)</f>
        <v>30</v>
      </c>
      <c r="L27" s="1">
        <f t="shared" ref="L27:L28" si="65">F27/J27*K27</f>
        <v>6356.5384615384619</v>
      </c>
      <c r="M27" s="1">
        <f t="shared" ref="M27:M28" si="66">G27/J27*K27</f>
        <v>2724.2307692307691</v>
      </c>
      <c r="N27" s="1">
        <f t="shared" si="21"/>
        <v>0</v>
      </c>
      <c r="O27" s="4">
        <f t="shared" ref="O27:O34" si="67">ROUND(L27+M27+N27,0)</f>
        <v>9081</v>
      </c>
      <c r="P27" s="5">
        <f>ROUND(Y27*12%,0)</f>
        <v>763</v>
      </c>
      <c r="Q27" s="5">
        <f>ROUNDUP(AA27*1.75%,0)</f>
        <v>159</v>
      </c>
      <c r="R27" s="6">
        <f>IF(O27&gt;40000,200,IF(O27&gt;25000,150,IF(O27&gt;15000,130,IF(O27&gt;10000,110,IF(O27&gt;8500,0,)))))</f>
        <v>0</v>
      </c>
      <c r="S27" s="1">
        <v>0</v>
      </c>
      <c r="T27" s="1">
        <v>0</v>
      </c>
      <c r="U27" s="7">
        <f>SUM(P27:T27)</f>
        <v>922</v>
      </c>
      <c r="V27" s="26">
        <f>O27-U27</f>
        <v>8159</v>
      </c>
      <c r="W27" s="1">
        <f>VLOOKUP($B27,'Wage Sheet'!$B$7:$AD$148,MATCH('Master Sheet'!W$7,'Wage Sheet'!$B$7:$AD$7,0),0)</f>
        <v>757</v>
      </c>
      <c r="X27" s="26">
        <f>V27+W27</f>
        <v>8916</v>
      </c>
      <c r="Y27" s="5">
        <f>ROUND(IF(($L27)&gt;15000,15000,IF(($L27)&lt;=15000,($L27))),0)</f>
        <v>6357</v>
      </c>
      <c r="Z27" s="5">
        <f>ROUND(Y27*13.36%,0)</f>
        <v>849</v>
      </c>
      <c r="AA27" s="5">
        <f t="shared" ref="AA27:AA34" si="68">ROUND($I27/$J27*($K27),0)</f>
        <v>9081</v>
      </c>
      <c r="AB27" s="5">
        <f>ROUNDUP(AA27*4.75%,0)</f>
        <v>432</v>
      </c>
      <c r="AC27" s="35">
        <f t="shared" ref="AC27:AC34" si="69">O27+W27+Z27+AB27</f>
        <v>11119</v>
      </c>
    </row>
    <row r="28" spans="1:29">
      <c r="A28" s="33">
        <v>21</v>
      </c>
      <c r="B28" s="49" t="str">
        <f>'Wage Sheet'!B46</f>
        <v>PRS/RS-Quest Mall/HK/002</v>
      </c>
      <c r="C28" s="49" t="str">
        <f>VLOOKUP($B28,'Wage Sheet'!$B$7:$AD$148,MATCH('Master Sheet'!C$7,'Wage Sheet'!$B$7:$AD$7,0),0)</f>
        <v>Prosanta Chowdhury</v>
      </c>
      <c r="D28" s="49" t="str">
        <f>VLOOKUP($B28,'Wage Sheet'!$B$7:$AD$148,MATCH('Master Sheet'!D$7,'Wage Sheet'!$B$7:$AD$7,0),0)</f>
        <v>Housekeeping</v>
      </c>
      <c r="E28" s="49" t="str">
        <f>VLOOKUP($B28,'Wage Sheet'!$B$7:$AD$148,MATCH('Master Sheet'!E$7,'Wage Sheet'!$B$7:$AD$7,0),0)</f>
        <v>RS-Quest Mall</v>
      </c>
      <c r="F28" s="1">
        <f>VLOOKUP($B28,'Wage Sheet'!$B$7:$AD$148,MATCH('Master Sheet'!F$7,'Wage Sheet'!$B$7:$AD$7,0),0)</f>
        <v>5509</v>
      </c>
      <c r="G28" s="1">
        <f>VLOOKUP($B28,'Wage Sheet'!$B$7:$AD$148,MATCH('Master Sheet'!G$7,'Wage Sheet'!$B$7:$AD$7,0),0)</f>
        <v>2361</v>
      </c>
      <c r="H28" s="1">
        <f>VLOOKUP($B28,'Wage Sheet'!$B$7:$AD$148,MATCH('Master Sheet'!H$7,'Wage Sheet'!$B$7:$AD$7,0),0)</f>
        <v>0</v>
      </c>
      <c r="I28" s="2">
        <f t="shared" si="64"/>
        <v>7870</v>
      </c>
      <c r="J28" s="1">
        <f>VLOOKUP($B28,'Wage Sheet'!$B$7:$AD$148,MATCH('Master Sheet'!J$7,'Wage Sheet'!$B$7:$AD$7,0),0)</f>
        <v>26</v>
      </c>
      <c r="K28" s="8">
        <f>VLOOKUP($B28,'Wage Sheet'!$B$7:$AD$148,MATCH('Master Sheet'!K$7,'Wage Sheet'!$B$7:$AD$7,0),0)</f>
        <v>1</v>
      </c>
      <c r="L28" s="1">
        <f t="shared" si="65"/>
        <v>211.88461538461539</v>
      </c>
      <c r="M28" s="1">
        <f t="shared" si="66"/>
        <v>90.807692307692307</v>
      </c>
      <c r="N28" s="1">
        <f t="shared" si="21"/>
        <v>0</v>
      </c>
      <c r="O28" s="4">
        <f t="shared" si="67"/>
        <v>303</v>
      </c>
      <c r="P28" s="5">
        <f t="shared" ref="P28" si="70">ROUND(Y28*12%,0)</f>
        <v>25</v>
      </c>
      <c r="Q28" s="5">
        <f t="shared" ref="Q28" si="71">ROUNDUP(AA28*1.75%,0)</f>
        <v>6</v>
      </c>
      <c r="R28" s="6">
        <f t="shared" ref="R28" si="72">IF(O28&gt;40000,200,IF(O28&gt;25000,150,IF(O28&gt;15000,130,IF(O28&gt;10000,110,IF(O28&gt;8500,0,)))))</f>
        <v>0</v>
      </c>
      <c r="S28" s="1">
        <v>0</v>
      </c>
      <c r="T28" s="1">
        <v>0</v>
      </c>
      <c r="U28" s="7">
        <f t="shared" ref="U28" si="73">SUM(P28:T28)</f>
        <v>31</v>
      </c>
      <c r="V28" s="26">
        <f t="shared" ref="V28" si="74">O28-U28</f>
        <v>272</v>
      </c>
      <c r="W28" s="1">
        <f>VLOOKUP($B28,'Wage Sheet'!$B$7:$AD$148,MATCH('Master Sheet'!W$7,'Wage Sheet'!$B$7:$AD$7,0),0)</f>
        <v>25</v>
      </c>
      <c r="X28" s="26">
        <f t="shared" ref="X28" si="75">V28+W28</f>
        <v>297</v>
      </c>
      <c r="Y28" s="5">
        <f t="shared" ref="Y28" si="76">ROUND(IF(($L28)&gt;15000,15000,IF(($L28)&lt;=15000,($L28))),0)</f>
        <v>212</v>
      </c>
      <c r="Z28" s="5">
        <f t="shared" ref="Z28" si="77">ROUND(Y28*13.36%,0)</f>
        <v>28</v>
      </c>
      <c r="AA28" s="5">
        <f t="shared" si="68"/>
        <v>303</v>
      </c>
      <c r="AB28" s="5">
        <f t="shared" ref="AB28" si="78">ROUNDUP(AA28*4.75%,0)</f>
        <v>15</v>
      </c>
      <c r="AC28" s="35">
        <f t="shared" si="69"/>
        <v>371</v>
      </c>
    </row>
    <row r="29" spans="1:29">
      <c r="A29" s="33">
        <v>22</v>
      </c>
      <c r="B29" s="49" t="str">
        <f>'Wage Sheet'!B50</f>
        <v>PRS/RS-Jossar Road/SG/001</v>
      </c>
      <c r="C29" s="49" t="str">
        <f>VLOOKUP($B29,'Wage Sheet'!$B$7:$AD$148,MATCH('Master Sheet'!C$7,'Wage Sheet'!$B$7:$AD$7,0),0)</f>
        <v>Ravi Sikdar</v>
      </c>
      <c r="D29" s="49" t="str">
        <f>VLOOKUP($B29,'Wage Sheet'!$B$7:$AD$148,MATCH('Master Sheet'!D$7,'Wage Sheet'!$B$7:$AD$7,0),0)</f>
        <v>Security Guard</v>
      </c>
      <c r="E29" s="49" t="str">
        <f>VLOOKUP($B29,'Wage Sheet'!$B$7:$AD$148,MATCH('Master Sheet'!E$7,'Wage Sheet'!$B$7:$AD$7,0),0)</f>
        <v>RS-Jossar Road</v>
      </c>
      <c r="F29" s="1">
        <f>VLOOKUP($B29,'Wage Sheet'!$B$7:$AD$148,MATCH('Master Sheet'!F$7,'Wage Sheet'!$B$7:$AD$7,0),0)</f>
        <v>5509</v>
      </c>
      <c r="G29" s="1">
        <f>VLOOKUP($B29,'Wage Sheet'!$B$7:$AD$148,MATCH('Master Sheet'!G$7,'Wage Sheet'!$B$7:$AD$7,0),0)</f>
        <v>2361</v>
      </c>
      <c r="H29" s="1">
        <f>VLOOKUP($B29,'Wage Sheet'!$B$7:$AD$148,MATCH('Master Sheet'!H$7,'Wage Sheet'!$B$7:$AD$7,0),0)</f>
        <v>0</v>
      </c>
      <c r="I29" s="2">
        <f t="shared" si="64"/>
        <v>7870</v>
      </c>
      <c r="J29" s="1">
        <f>VLOOKUP($B29,'Wage Sheet'!$B$7:$AD$148,MATCH('Master Sheet'!J$7,'Wage Sheet'!$B$7:$AD$7,0),0)</f>
        <v>26</v>
      </c>
      <c r="K29" s="8">
        <f>VLOOKUP($B29,'Wage Sheet'!$B$7:$AD$148,MATCH('Master Sheet'!K$7,'Wage Sheet'!$B$7:$AD$7,0),0)</f>
        <v>31</v>
      </c>
      <c r="L29" s="1">
        <f t="shared" ref="L29" si="79">F29/J29*K29</f>
        <v>6568.4230769230771</v>
      </c>
      <c r="M29" s="1">
        <f t="shared" ref="M29" si="80">G29/J29*K29</f>
        <v>2815.0384615384614</v>
      </c>
      <c r="N29" s="1">
        <f t="shared" ref="N29:N36" si="81">H29/$J29*$K29</f>
        <v>0</v>
      </c>
      <c r="O29" s="4">
        <f t="shared" si="67"/>
        <v>9383</v>
      </c>
      <c r="P29" s="5">
        <f>ROUND(Y29*12%,0)</f>
        <v>788</v>
      </c>
      <c r="Q29" s="5">
        <f>ROUNDUP(AA29*1.75%,0)</f>
        <v>165</v>
      </c>
      <c r="R29" s="6">
        <f>IF(O29&gt;40000,200,IF(O29&gt;25000,150,IF(O29&gt;15000,130,IF(O29&gt;10000,110,IF(O29&gt;8500,0,)))))</f>
        <v>0</v>
      </c>
      <c r="S29" s="1">
        <v>0</v>
      </c>
      <c r="T29" s="1">
        <v>0</v>
      </c>
      <c r="U29" s="7">
        <f>SUM(P29:T29)</f>
        <v>953</v>
      </c>
      <c r="V29" s="26">
        <f>O29-U29</f>
        <v>8430</v>
      </c>
      <c r="W29" s="1">
        <f>VLOOKUP($B29,'Wage Sheet'!$B$7:$AD$148,MATCH('Master Sheet'!W$7,'Wage Sheet'!$B$7:$AD$7,0),0)</f>
        <v>782</v>
      </c>
      <c r="X29" s="26">
        <f>V29+W29</f>
        <v>9212</v>
      </c>
      <c r="Y29" s="5">
        <f>ROUND(IF(($L29)&gt;15000,15000,IF(($L29)&lt;=15000,($L29))),0)</f>
        <v>6568</v>
      </c>
      <c r="Z29" s="5">
        <f>ROUND(Y29*13.36%,0)</f>
        <v>877</v>
      </c>
      <c r="AA29" s="5">
        <f t="shared" si="68"/>
        <v>9383</v>
      </c>
      <c r="AB29" s="5">
        <f>ROUNDUP(AA29*4.75%,0)</f>
        <v>446</v>
      </c>
      <c r="AC29" s="35">
        <f t="shared" si="69"/>
        <v>11488</v>
      </c>
    </row>
    <row r="30" spans="1:29">
      <c r="A30" s="33">
        <v>23</v>
      </c>
      <c r="B30" s="49" t="str">
        <f>'Wage Sheet'!B54</f>
        <v>PRS/RS-N L Lane/HK/001</v>
      </c>
      <c r="C30" s="49" t="str">
        <f>VLOOKUP($B30,'Wage Sheet'!$B$7:$AD$148,MATCH('Master Sheet'!C$7,'Wage Sheet'!$B$7:$AD$7,0),0)</f>
        <v>Avinandan Pal</v>
      </c>
      <c r="D30" s="49" t="str">
        <f>VLOOKUP($B30,'Wage Sheet'!$B$7:$AD$148,MATCH('Master Sheet'!D$7,'Wage Sheet'!$B$7:$AD$7,0),0)</f>
        <v>Housekeeping</v>
      </c>
      <c r="E30" s="49" t="str">
        <f>VLOOKUP($B30,'Wage Sheet'!$B$7:$AD$148,MATCH('Master Sheet'!E$7,'Wage Sheet'!$B$7:$AD$7,0),0)</f>
        <v>RS-N L Lane</v>
      </c>
      <c r="F30" s="1">
        <f>VLOOKUP($B30,'Wage Sheet'!$B$7:$AD$148,MATCH('Master Sheet'!F$7,'Wage Sheet'!$B$7:$AD$7,0),0)</f>
        <v>5509</v>
      </c>
      <c r="G30" s="1">
        <f>VLOOKUP($B30,'Wage Sheet'!$B$7:$AD$148,MATCH('Master Sheet'!G$7,'Wage Sheet'!$B$7:$AD$7,0),0)</f>
        <v>2361</v>
      </c>
      <c r="H30" s="1">
        <f>VLOOKUP($B30,'Wage Sheet'!$B$7:$AD$148,MATCH('Master Sheet'!H$7,'Wage Sheet'!$B$7:$AD$7,0),0)</f>
        <v>0</v>
      </c>
      <c r="I30" s="2">
        <f t="shared" si="64"/>
        <v>7870</v>
      </c>
      <c r="J30" s="1">
        <f>VLOOKUP($B30,'Wage Sheet'!$B$7:$AD$148,MATCH('Master Sheet'!J$7,'Wage Sheet'!$B$7:$AD$7,0),0)</f>
        <v>26</v>
      </c>
      <c r="K30" s="8">
        <f>VLOOKUP($B30,'Wage Sheet'!$B$7:$AD$148,MATCH('Master Sheet'!K$7,'Wage Sheet'!$B$7:$AD$7,0),0)</f>
        <v>24</v>
      </c>
      <c r="L30" s="1">
        <f t="shared" ref="L30" si="82">F30/J30*K30</f>
        <v>5085.2307692307695</v>
      </c>
      <c r="M30" s="1">
        <f t="shared" ref="M30" si="83">G30/J30*K30</f>
        <v>2179.3846153846152</v>
      </c>
      <c r="N30" s="1">
        <f t="shared" si="81"/>
        <v>0</v>
      </c>
      <c r="O30" s="4">
        <f t="shared" si="67"/>
        <v>7265</v>
      </c>
      <c r="P30" s="5">
        <f>ROUND(Y30*12%,0)</f>
        <v>610</v>
      </c>
      <c r="Q30" s="5">
        <f>ROUNDUP(AA30*1.75%,0)</f>
        <v>128</v>
      </c>
      <c r="R30" s="6">
        <f>IF(O30&gt;40000,200,IF(O30&gt;25000,150,IF(O30&gt;15000,130,IF(O30&gt;10000,110,IF(O30&gt;8500,0,)))))</f>
        <v>0</v>
      </c>
      <c r="S30" s="1">
        <v>0</v>
      </c>
      <c r="T30" s="1">
        <v>0</v>
      </c>
      <c r="U30" s="7">
        <f>SUM(P30:T30)</f>
        <v>738</v>
      </c>
      <c r="V30" s="26">
        <f>O30-U30</f>
        <v>6527</v>
      </c>
      <c r="W30" s="1">
        <f>VLOOKUP($B30,'Wage Sheet'!$B$7:$AD$148,MATCH('Master Sheet'!W$7,'Wage Sheet'!$B$7:$AD$7,0),0)</f>
        <v>605</v>
      </c>
      <c r="X30" s="26">
        <f>V30+W30</f>
        <v>7132</v>
      </c>
      <c r="Y30" s="5">
        <f>ROUND(IF(($L30)&gt;15000,15000,IF(($L30)&lt;=15000,($L30))),0)</f>
        <v>5085</v>
      </c>
      <c r="Z30" s="5">
        <f>ROUND(Y30*13.36%,0)</f>
        <v>679</v>
      </c>
      <c r="AA30" s="5">
        <f t="shared" si="68"/>
        <v>7265</v>
      </c>
      <c r="AB30" s="5">
        <f>ROUNDUP(AA30*4.75%,0)</f>
        <v>346</v>
      </c>
      <c r="AC30" s="35">
        <f t="shared" si="69"/>
        <v>8895</v>
      </c>
    </row>
    <row r="31" spans="1:29">
      <c r="A31" s="33">
        <v>24</v>
      </c>
      <c r="B31" s="49" t="str">
        <f>'Wage Sheet'!B58</f>
        <v>PRS/Essence-Kakurgachi/HK/001</v>
      </c>
      <c r="C31" s="49" t="str">
        <f>VLOOKUP($B31,'Wage Sheet'!$B$7:$AD$148,MATCH('Master Sheet'!C$7,'Wage Sheet'!$B$7:$AD$7,0),0)</f>
        <v>Amarjit Dey</v>
      </c>
      <c r="D31" s="49" t="str">
        <f>VLOOKUP($B31,'Wage Sheet'!$B$7:$AD$148,MATCH('Master Sheet'!D$7,'Wage Sheet'!$B$7:$AD$7,0),0)</f>
        <v>Housekeeping</v>
      </c>
      <c r="E31" s="49" t="str">
        <f>VLOOKUP($B31,'Wage Sheet'!$B$7:$AD$148,MATCH('Master Sheet'!E$7,'Wage Sheet'!$B$7:$AD$7,0),0)</f>
        <v>Essence-Kakurgachi</v>
      </c>
      <c r="F31" s="1">
        <f>VLOOKUP($B31,'Wage Sheet'!$B$7:$AD$148,MATCH('Master Sheet'!F$7,'Wage Sheet'!$B$7:$AD$7,0),0)</f>
        <v>5509</v>
      </c>
      <c r="G31" s="1">
        <f>VLOOKUP($B31,'Wage Sheet'!$B$7:$AD$148,MATCH('Master Sheet'!G$7,'Wage Sheet'!$B$7:$AD$7,0),0)</f>
        <v>2361</v>
      </c>
      <c r="H31" s="1">
        <f>VLOOKUP($B31,'Wage Sheet'!$B$7:$AD$148,MATCH('Master Sheet'!H$7,'Wage Sheet'!$B$7:$AD$7,0),0)</f>
        <v>0</v>
      </c>
      <c r="I31" s="2">
        <f t="shared" si="64"/>
        <v>7870</v>
      </c>
      <c r="J31" s="1">
        <f>VLOOKUP($B31,'Wage Sheet'!$B$7:$AD$148,MATCH('Master Sheet'!J$7,'Wage Sheet'!$B$7:$AD$7,0),0)</f>
        <v>26</v>
      </c>
      <c r="K31" s="8">
        <f>VLOOKUP($B31,'Wage Sheet'!$B$7:$AD$148,MATCH('Master Sheet'!K$7,'Wage Sheet'!$B$7:$AD$7,0),0)</f>
        <v>29</v>
      </c>
      <c r="L31" s="1">
        <f t="shared" ref="L31:L33" si="84">F31/J31*K31</f>
        <v>6144.6538461538466</v>
      </c>
      <c r="M31" s="1">
        <f t="shared" ref="M31:M33" si="85">G31/J31*K31</f>
        <v>2633.4230769230767</v>
      </c>
      <c r="N31" s="1">
        <f t="shared" si="81"/>
        <v>0</v>
      </c>
      <c r="O31" s="4">
        <f t="shared" si="67"/>
        <v>8778</v>
      </c>
      <c r="P31" s="5">
        <f>ROUND(Y31*12%,0)</f>
        <v>737</v>
      </c>
      <c r="Q31" s="5">
        <f>ROUNDUP(AA31*1.75%,0)</f>
        <v>154</v>
      </c>
      <c r="R31" s="6">
        <f>IF(O31&gt;40000,200,IF(O31&gt;25000,150,IF(O31&gt;15000,130,IF(O31&gt;10000,110,IF(O31&gt;8500,0,)))))</f>
        <v>0</v>
      </c>
      <c r="S31" s="1">
        <v>0</v>
      </c>
      <c r="T31" s="1">
        <v>0</v>
      </c>
      <c r="U31" s="7">
        <f>SUM(P31:T31)</f>
        <v>891</v>
      </c>
      <c r="V31" s="26">
        <f>O31-U31</f>
        <v>7887</v>
      </c>
      <c r="W31" s="1">
        <f>VLOOKUP($B31,'Wage Sheet'!$B$7:$AD$148,MATCH('Master Sheet'!W$7,'Wage Sheet'!$B$7:$AD$7,0),0)</f>
        <v>732</v>
      </c>
      <c r="X31" s="26">
        <f>V31+W31</f>
        <v>8619</v>
      </c>
      <c r="Y31" s="5">
        <f>ROUND(IF(($L31)&gt;15000,15000,IF(($L31)&lt;=15000,($L31))),0)</f>
        <v>6145</v>
      </c>
      <c r="Z31" s="5">
        <f>ROUND(Y31*13.36%,0)</f>
        <v>821</v>
      </c>
      <c r="AA31" s="5">
        <f t="shared" si="68"/>
        <v>8778</v>
      </c>
      <c r="AB31" s="5">
        <f>ROUNDUP(AA31*4.75%,0)</f>
        <v>417</v>
      </c>
      <c r="AC31" s="35">
        <f t="shared" si="69"/>
        <v>10748</v>
      </c>
    </row>
    <row r="32" spans="1:29">
      <c r="A32" s="33">
        <v>25</v>
      </c>
      <c r="B32" s="49" t="str">
        <f>'Wage Sheet'!B59</f>
        <v>PRS/Essence-Kakurgachi/HK/002</v>
      </c>
      <c r="C32" s="49" t="str">
        <f>VLOOKUP($B32,'Wage Sheet'!$B$7:$AD$148,MATCH('Master Sheet'!C$7,'Wage Sheet'!$B$7:$AD$7,0),0)</f>
        <v>Prosanto Chowdhury</v>
      </c>
      <c r="D32" s="49" t="str">
        <f>VLOOKUP($B32,'Wage Sheet'!$B$7:$AD$148,MATCH('Master Sheet'!D$7,'Wage Sheet'!$B$7:$AD$7,0),0)</f>
        <v>Housekeeping</v>
      </c>
      <c r="E32" s="49" t="str">
        <f>VLOOKUP($B32,'Wage Sheet'!$B$7:$AD$148,MATCH('Master Sheet'!E$7,'Wage Sheet'!$B$7:$AD$7,0),0)</f>
        <v>Essence-Kakurgachi</v>
      </c>
      <c r="F32" s="1">
        <f>VLOOKUP($B32,'Wage Sheet'!$B$7:$AD$148,MATCH('Master Sheet'!F$7,'Wage Sheet'!$B$7:$AD$7,0),0)</f>
        <v>5509</v>
      </c>
      <c r="G32" s="1">
        <f>VLOOKUP($B32,'Wage Sheet'!$B$7:$AD$148,MATCH('Master Sheet'!G$7,'Wage Sheet'!$B$7:$AD$7,0),0)</f>
        <v>2361</v>
      </c>
      <c r="H32" s="1">
        <f>VLOOKUP($B32,'Wage Sheet'!$B$7:$AD$148,MATCH('Master Sheet'!H$7,'Wage Sheet'!$B$7:$AD$7,0),0)</f>
        <v>0</v>
      </c>
      <c r="I32" s="2">
        <f t="shared" si="64"/>
        <v>7870</v>
      </c>
      <c r="J32" s="1">
        <f>VLOOKUP($B32,'Wage Sheet'!$B$7:$AD$148,MATCH('Master Sheet'!J$7,'Wage Sheet'!$B$7:$AD$7,0),0)</f>
        <v>26</v>
      </c>
      <c r="K32" s="8">
        <f>VLOOKUP($B32,'Wage Sheet'!$B$7:$AD$148,MATCH('Master Sheet'!K$7,'Wage Sheet'!$B$7:$AD$7,0),0)</f>
        <v>2</v>
      </c>
      <c r="L32" s="1">
        <f t="shared" si="84"/>
        <v>423.76923076923077</v>
      </c>
      <c r="M32" s="1">
        <f t="shared" si="85"/>
        <v>181.61538461538461</v>
      </c>
      <c r="N32" s="1">
        <f t="shared" si="81"/>
        <v>0</v>
      </c>
      <c r="O32" s="4">
        <f t="shared" si="67"/>
        <v>605</v>
      </c>
      <c r="P32" s="5">
        <f t="shared" ref="P32:P33" si="86">ROUND(Y32*12%,0)</f>
        <v>51</v>
      </c>
      <c r="Q32" s="5">
        <f t="shared" ref="Q32:Q33" si="87">ROUNDUP(AA32*1.75%,0)</f>
        <v>11</v>
      </c>
      <c r="R32" s="6">
        <f t="shared" ref="R32:R33" si="88">IF(O32&gt;40000,200,IF(O32&gt;25000,150,IF(O32&gt;15000,130,IF(O32&gt;10000,110,IF(O32&gt;8500,0,)))))</f>
        <v>0</v>
      </c>
      <c r="S32" s="1">
        <v>0</v>
      </c>
      <c r="T32" s="1">
        <v>0</v>
      </c>
      <c r="U32" s="7">
        <f t="shared" ref="U32:U33" si="89">SUM(P32:T32)</f>
        <v>62</v>
      </c>
      <c r="V32" s="26">
        <f t="shared" ref="V32:V33" si="90">O32-U32</f>
        <v>543</v>
      </c>
      <c r="W32" s="1">
        <f>VLOOKUP($B32,'Wage Sheet'!$B$7:$AD$148,MATCH('Master Sheet'!W$7,'Wage Sheet'!$B$7:$AD$7,0),0)</f>
        <v>50</v>
      </c>
      <c r="X32" s="26">
        <f t="shared" ref="X32:X33" si="91">V32+W32</f>
        <v>593</v>
      </c>
      <c r="Y32" s="5">
        <f t="shared" ref="Y32:Y33" si="92">ROUND(IF(($L32)&gt;15000,15000,IF(($L32)&lt;=15000,($L32))),0)</f>
        <v>424</v>
      </c>
      <c r="Z32" s="5">
        <f t="shared" ref="Z32:Z33" si="93">ROUND(Y32*13.36%,0)</f>
        <v>57</v>
      </c>
      <c r="AA32" s="5">
        <f t="shared" si="68"/>
        <v>605</v>
      </c>
      <c r="AB32" s="5">
        <f t="shared" ref="AB32:AB33" si="94">ROUNDUP(AA32*4.75%,0)</f>
        <v>29</v>
      </c>
      <c r="AC32" s="35">
        <f t="shared" si="69"/>
        <v>741</v>
      </c>
    </row>
    <row r="33" spans="1:29">
      <c r="A33" s="33">
        <v>26</v>
      </c>
      <c r="B33" s="49" t="str">
        <f>'Wage Sheet'!B60</f>
        <v>PRS/Essence-Kakurgachi/HK/003</v>
      </c>
      <c r="C33" s="49" t="str">
        <f>VLOOKUP($B33,'Wage Sheet'!$B$7:$AD$148,MATCH('Master Sheet'!C$7,'Wage Sheet'!$B$7:$AD$7,0),0)</f>
        <v>Dipak Debnath</v>
      </c>
      <c r="D33" s="49" t="str">
        <f>VLOOKUP($B33,'Wage Sheet'!$B$7:$AD$148,MATCH('Master Sheet'!D$7,'Wage Sheet'!$B$7:$AD$7,0),0)</f>
        <v>Housekeeping</v>
      </c>
      <c r="E33" s="49" t="str">
        <f>VLOOKUP($B33,'Wage Sheet'!$B$7:$AD$148,MATCH('Master Sheet'!E$7,'Wage Sheet'!$B$7:$AD$7,0),0)</f>
        <v>Essence-Kakurgachi</v>
      </c>
      <c r="F33" s="1">
        <f>VLOOKUP($B33,'Wage Sheet'!$B$7:$AD$148,MATCH('Master Sheet'!F$7,'Wage Sheet'!$B$7:$AD$7,0),0)</f>
        <v>5509</v>
      </c>
      <c r="G33" s="1">
        <f>VLOOKUP($B33,'Wage Sheet'!$B$7:$AD$148,MATCH('Master Sheet'!G$7,'Wage Sheet'!$B$7:$AD$7,0),0)</f>
        <v>2361</v>
      </c>
      <c r="H33" s="1">
        <f>VLOOKUP($B33,'Wage Sheet'!$B$7:$AD$148,MATCH('Master Sheet'!H$7,'Wage Sheet'!$B$7:$AD$7,0),0)</f>
        <v>0</v>
      </c>
      <c r="I33" s="2">
        <f t="shared" si="64"/>
        <v>7870</v>
      </c>
      <c r="J33" s="1">
        <f>VLOOKUP($B33,'Wage Sheet'!$B$7:$AD$148,MATCH('Master Sheet'!J$7,'Wage Sheet'!$B$7:$AD$7,0),0)</f>
        <v>26</v>
      </c>
      <c r="K33" s="8">
        <f>VLOOKUP($B33,'Wage Sheet'!$B$7:$AD$148,MATCH('Master Sheet'!K$7,'Wage Sheet'!$B$7:$AD$7,0),0)</f>
        <v>29</v>
      </c>
      <c r="L33" s="1">
        <f t="shared" si="84"/>
        <v>6144.6538461538466</v>
      </c>
      <c r="M33" s="1">
        <f t="shared" si="85"/>
        <v>2633.4230769230767</v>
      </c>
      <c r="N33" s="1">
        <f t="shared" si="81"/>
        <v>0</v>
      </c>
      <c r="O33" s="4">
        <f t="shared" si="67"/>
        <v>8778</v>
      </c>
      <c r="P33" s="5">
        <f t="shared" si="86"/>
        <v>737</v>
      </c>
      <c r="Q33" s="5">
        <f t="shared" si="87"/>
        <v>154</v>
      </c>
      <c r="R33" s="6">
        <f t="shared" si="88"/>
        <v>0</v>
      </c>
      <c r="S33" s="1">
        <v>0</v>
      </c>
      <c r="T33" s="1">
        <v>0</v>
      </c>
      <c r="U33" s="7">
        <f t="shared" si="89"/>
        <v>891</v>
      </c>
      <c r="V33" s="26">
        <f t="shared" si="90"/>
        <v>7887</v>
      </c>
      <c r="W33" s="1">
        <f>VLOOKUP($B33,'Wage Sheet'!$B$7:$AD$148,MATCH('Master Sheet'!W$7,'Wage Sheet'!$B$7:$AD$7,0),0)</f>
        <v>732</v>
      </c>
      <c r="X33" s="26">
        <f t="shared" si="91"/>
        <v>8619</v>
      </c>
      <c r="Y33" s="5">
        <f t="shared" si="92"/>
        <v>6145</v>
      </c>
      <c r="Z33" s="5">
        <f t="shared" si="93"/>
        <v>821</v>
      </c>
      <c r="AA33" s="5">
        <f t="shared" si="68"/>
        <v>8778</v>
      </c>
      <c r="AB33" s="5">
        <f t="shared" si="94"/>
        <v>417</v>
      </c>
      <c r="AC33" s="35">
        <f t="shared" si="69"/>
        <v>10748</v>
      </c>
    </row>
    <row r="34" spans="1:29">
      <c r="A34" s="33">
        <v>27</v>
      </c>
      <c r="B34" s="49" t="str">
        <f>'Wage Sheet'!B64</f>
        <v>PRS/Essence-Avani Mall/HK/001</v>
      </c>
      <c r="C34" s="49" t="str">
        <f>VLOOKUP($B34,'Wage Sheet'!$B$7:$AD$148,MATCH('Master Sheet'!C$7,'Wage Sheet'!$B$7:$AD$7,0),0)</f>
        <v>Subir Roy</v>
      </c>
      <c r="D34" s="49" t="str">
        <f>VLOOKUP($B34,'Wage Sheet'!$B$7:$AD$148,MATCH('Master Sheet'!D$7,'Wage Sheet'!$B$7:$AD$7,0),0)</f>
        <v>Housekeeping</v>
      </c>
      <c r="E34" s="49" t="str">
        <f>VLOOKUP($B34,'Wage Sheet'!$B$7:$AD$148,MATCH('Master Sheet'!E$7,'Wage Sheet'!$B$7:$AD$7,0),0)</f>
        <v>Essence-Avani Mall</v>
      </c>
      <c r="F34" s="1">
        <f>VLOOKUP($B34,'Wage Sheet'!$B$7:$AD$148,MATCH('Master Sheet'!F$7,'Wage Sheet'!$B$7:$AD$7,0),0)</f>
        <v>5509</v>
      </c>
      <c r="G34" s="1">
        <f>VLOOKUP($B34,'Wage Sheet'!$B$7:$AD$148,MATCH('Master Sheet'!G$7,'Wage Sheet'!$B$7:$AD$7,0),0)</f>
        <v>2361</v>
      </c>
      <c r="H34" s="1">
        <f>VLOOKUP($B34,'Wage Sheet'!$B$7:$AD$148,MATCH('Master Sheet'!H$7,'Wage Sheet'!$B$7:$AD$7,0),0)</f>
        <v>0</v>
      </c>
      <c r="I34" s="2">
        <f t="shared" si="64"/>
        <v>7870</v>
      </c>
      <c r="J34" s="1">
        <f>VLOOKUP($B34,'Wage Sheet'!$B$7:$AD$148,MATCH('Master Sheet'!J$7,'Wage Sheet'!$B$7:$AD$7,0),0)</f>
        <v>26</v>
      </c>
      <c r="K34" s="8">
        <f>VLOOKUP($B34,'Wage Sheet'!$B$7:$AD$148,MATCH('Master Sheet'!K$7,'Wage Sheet'!$B$7:$AD$7,0),0)</f>
        <v>30</v>
      </c>
      <c r="L34" s="1">
        <f t="shared" ref="L34" si="95">F34/J34*K34</f>
        <v>6356.5384615384619</v>
      </c>
      <c r="M34" s="1">
        <f t="shared" ref="M34" si="96">G34/J34*K34</f>
        <v>2724.2307692307691</v>
      </c>
      <c r="N34" s="1">
        <f t="shared" si="81"/>
        <v>0</v>
      </c>
      <c r="O34" s="4">
        <f t="shared" si="67"/>
        <v>9081</v>
      </c>
      <c r="P34" s="5">
        <f>ROUND(Y34*12%,0)</f>
        <v>763</v>
      </c>
      <c r="Q34" s="5">
        <f>ROUNDUP(AA34*1.75%,0)</f>
        <v>159</v>
      </c>
      <c r="R34" s="6">
        <f>IF(O34&gt;40000,200,IF(O34&gt;25000,150,IF(O34&gt;15000,130,IF(O34&gt;10000,110,IF(O34&gt;8500,0,)))))</f>
        <v>0</v>
      </c>
      <c r="S34" s="1">
        <v>0</v>
      </c>
      <c r="T34" s="1">
        <v>0</v>
      </c>
      <c r="U34" s="7">
        <f>SUM(P34:T34)</f>
        <v>922</v>
      </c>
      <c r="V34" s="26">
        <f>O34-U34</f>
        <v>8159</v>
      </c>
      <c r="W34" s="1">
        <f>VLOOKUP($B34,'Wage Sheet'!$B$7:$AD$148,MATCH('Master Sheet'!W$7,'Wage Sheet'!$B$7:$AD$7,0),0)</f>
        <v>757</v>
      </c>
      <c r="X34" s="26">
        <f>V34+W34</f>
        <v>8916</v>
      </c>
      <c r="Y34" s="5">
        <f>ROUND(IF(($L34)&gt;15000,15000,IF(($L34)&lt;=15000,($L34))),0)</f>
        <v>6357</v>
      </c>
      <c r="Z34" s="5">
        <f>ROUND(Y34*13.36%,0)</f>
        <v>849</v>
      </c>
      <c r="AA34" s="5">
        <f t="shared" si="68"/>
        <v>9081</v>
      </c>
      <c r="AB34" s="5">
        <f>ROUNDUP(AA34*4.75%,0)</f>
        <v>432</v>
      </c>
      <c r="AC34" s="35">
        <f t="shared" si="69"/>
        <v>11119</v>
      </c>
    </row>
    <row r="35" spans="1:29">
      <c r="A35" s="33">
        <v>28</v>
      </c>
      <c r="B35" s="49" t="str">
        <f>'Wage Sheet'!B68</f>
        <v>PRS/RS-J.B. St./HK/001</v>
      </c>
      <c r="C35" s="49" t="str">
        <f>VLOOKUP($B35,'Wage Sheet'!$B$7:$AD$148,MATCH('Master Sheet'!C$7,'Wage Sheet'!$B$7:$AD$7,0),0)</f>
        <v>Arun Singh</v>
      </c>
      <c r="D35" s="49" t="str">
        <f>VLOOKUP($B35,'Wage Sheet'!$B$7:$AD$148,MATCH('Master Sheet'!D$7,'Wage Sheet'!$B$7:$AD$7,0),0)</f>
        <v>Housekeeping</v>
      </c>
      <c r="E35" s="49" t="str">
        <f>VLOOKUP($B35,'Wage Sheet'!$B$7:$AD$148,MATCH('Master Sheet'!E$7,'Wage Sheet'!$B$7:$AD$7,0),0)</f>
        <v>RS-J.B. St.</v>
      </c>
      <c r="F35" s="1">
        <f>VLOOKUP($B35,'Wage Sheet'!$B$7:$AD$148,MATCH('Master Sheet'!F$7,'Wage Sheet'!$B$7:$AD$7,0),0)</f>
        <v>5509</v>
      </c>
      <c r="G35" s="1">
        <f>VLOOKUP($B35,'Wage Sheet'!$B$7:$AD$148,MATCH('Master Sheet'!G$7,'Wage Sheet'!$B$7:$AD$7,0),0)</f>
        <v>2361</v>
      </c>
      <c r="H35" s="1">
        <f>VLOOKUP($B35,'Wage Sheet'!$B$7:$AD$148,MATCH('Master Sheet'!H$7,'Wage Sheet'!$B$7:$AD$7,0),0)</f>
        <v>0</v>
      </c>
      <c r="I35" s="2">
        <f t="shared" ref="I35" si="97">F35+G35+H35</f>
        <v>7870</v>
      </c>
      <c r="J35" s="1">
        <f>VLOOKUP($B35,'Wage Sheet'!$B$7:$AD$148,MATCH('Master Sheet'!J$7,'Wage Sheet'!$B$7:$AD$7,0),0)</f>
        <v>26</v>
      </c>
      <c r="K35" s="8">
        <f>VLOOKUP($B35,'Wage Sheet'!$B$7:$AD$148,MATCH('Master Sheet'!K$7,'Wage Sheet'!$B$7:$AD$7,0),0)</f>
        <v>25</v>
      </c>
      <c r="L35" s="1">
        <f t="shared" ref="L35" si="98">F35/J35*K35</f>
        <v>5297.1153846153848</v>
      </c>
      <c r="M35" s="1">
        <f t="shared" ref="M35" si="99">G35/J35*K35</f>
        <v>2270.1923076923076</v>
      </c>
      <c r="N35" s="1">
        <f t="shared" ref="N35" si="100">H35/$J35*$K35</f>
        <v>0</v>
      </c>
      <c r="O35" s="4">
        <f t="shared" ref="O35" si="101">ROUND(L35+M35+N35,0)</f>
        <v>7567</v>
      </c>
      <c r="P35" s="5">
        <f t="shared" ref="P35" si="102">ROUND(Y35*12%,0)</f>
        <v>636</v>
      </c>
      <c r="Q35" s="5">
        <f t="shared" ref="Q35" si="103">ROUNDUP(AA35*1.75%,0)</f>
        <v>133</v>
      </c>
      <c r="R35" s="6">
        <f t="shared" ref="R35" si="104">IF(O35&gt;40000,200,IF(O35&gt;25000,150,IF(O35&gt;15000,130,IF(O35&gt;10000,110,IF(O35&gt;8500,0,)))))</f>
        <v>0</v>
      </c>
      <c r="S35" s="1">
        <v>0</v>
      </c>
      <c r="T35" s="1">
        <v>0</v>
      </c>
      <c r="U35" s="7">
        <f t="shared" ref="U35" si="105">SUM(P35:T35)</f>
        <v>769</v>
      </c>
      <c r="V35" s="26">
        <f t="shared" ref="V35" si="106">O35-U35</f>
        <v>6798</v>
      </c>
      <c r="W35" s="1">
        <f>VLOOKUP($B35,'Wage Sheet'!$B$7:$AD$148,MATCH('Master Sheet'!W$7,'Wage Sheet'!$B$7:$AD$7,0),0)</f>
        <v>631</v>
      </c>
      <c r="X35" s="26">
        <f t="shared" ref="X35" si="107">V35+W35</f>
        <v>7429</v>
      </c>
      <c r="Y35" s="5">
        <f t="shared" ref="Y35:Y39" si="108">ROUND(IF(($L35)&gt;15000,15000,IF(($L35)&lt;=15000,($L35))),0)</f>
        <v>5297</v>
      </c>
      <c r="Z35" s="5">
        <f t="shared" ref="Z35" si="109">ROUND(Y35*13.36%,0)</f>
        <v>708</v>
      </c>
      <c r="AA35" s="5">
        <f t="shared" ref="AA35:AA41" si="110">ROUND($I35/$J35*($K35),0)</f>
        <v>7567</v>
      </c>
      <c r="AB35" s="5">
        <f t="shared" ref="AB35" si="111">ROUNDUP(AA35*4.75%,0)</f>
        <v>360</v>
      </c>
      <c r="AC35" s="35">
        <f t="shared" ref="AC35" si="112">O35+W35+Z35+AB35</f>
        <v>9266</v>
      </c>
    </row>
    <row r="36" spans="1:29">
      <c r="A36" s="33">
        <v>29</v>
      </c>
      <c r="B36" s="49" t="str">
        <f>'Wage Sheet'!B72</f>
        <v>PRS/Burdwan - 1/HK/001</v>
      </c>
      <c r="C36" s="49" t="str">
        <f>VLOOKUP($B36,'Wage Sheet'!$B$7:$AD$148,MATCH('Master Sheet'!C$7,'Wage Sheet'!$B$7:$AD$7,0),0)</f>
        <v>Sanjib Gharui</v>
      </c>
      <c r="D36" s="49" t="str">
        <f>VLOOKUP($B36,'Wage Sheet'!$B$7:$AD$148,MATCH('Master Sheet'!D$7,'Wage Sheet'!$B$7:$AD$7,0),0)</f>
        <v>Housekeeping</v>
      </c>
      <c r="E36" s="49" t="str">
        <f>VLOOKUP($B36,'Wage Sheet'!$B$7:$AD$148,MATCH('Master Sheet'!E$7,'Wage Sheet'!$B$7:$AD$7,0),0)</f>
        <v xml:space="preserve">Burdwan-1 </v>
      </c>
      <c r="F36" s="1">
        <f>VLOOKUP($B36,'Wage Sheet'!$B$7:$AD$148,MATCH('Master Sheet'!F$7,'Wage Sheet'!$B$7:$AD$7,0),0)</f>
        <v>3973</v>
      </c>
      <c r="G36" s="1">
        <f>VLOOKUP($B36,'Wage Sheet'!$B$7:$AD$148,MATCH('Master Sheet'!G$7,'Wage Sheet'!$B$7:$AD$7,0),0)</f>
        <v>1703</v>
      </c>
      <c r="H36" s="1">
        <f>VLOOKUP($B36,'Wage Sheet'!$B$7:$AD$148,MATCH('Master Sheet'!H$7,'Wage Sheet'!$B$7:$AD$7,0),0)</f>
        <v>0</v>
      </c>
      <c r="I36" s="2">
        <f t="shared" ref="I36:I41" si="113">F36+G36+H36</f>
        <v>5676</v>
      </c>
      <c r="J36" s="1">
        <f>VLOOKUP($B36,'Wage Sheet'!$B$7:$AD$148,MATCH('Master Sheet'!J$7,'Wage Sheet'!$B$7:$AD$7,0),0)</f>
        <v>26</v>
      </c>
      <c r="K36" s="8">
        <f>VLOOKUP($B36,'Wage Sheet'!$B$7:$AD$148,MATCH('Master Sheet'!K$7,'Wage Sheet'!$B$7:$AD$7,0),0)</f>
        <v>20</v>
      </c>
      <c r="L36" s="1">
        <f t="shared" ref="L36" si="114">F36/J36*K36</f>
        <v>3056.1538461538466</v>
      </c>
      <c r="M36" s="1">
        <f t="shared" ref="M36" si="115">G36/J36*K36</f>
        <v>1310</v>
      </c>
      <c r="N36" s="1">
        <f t="shared" si="81"/>
        <v>0</v>
      </c>
      <c r="O36" s="4">
        <f t="shared" ref="O36:O41" si="116">ROUND(L36+M36+N36,0)</f>
        <v>4366</v>
      </c>
      <c r="P36" s="5">
        <f>ROUND(Y36*12%,0)</f>
        <v>367</v>
      </c>
      <c r="Q36" s="5">
        <f>ROUNDUP(AA36*1.75%,0)</f>
        <v>77</v>
      </c>
      <c r="R36" s="6">
        <f t="shared" ref="R36" si="117">IF(O36&gt;40000,200,IF(O36&gt;25000,150,IF(O36&gt;15000,130,IF(O36&gt;10000,110,IF(O36&gt;8500,0,)))))</f>
        <v>0</v>
      </c>
      <c r="S36" s="1">
        <v>0</v>
      </c>
      <c r="T36" s="1">
        <v>0</v>
      </c>
      <c r="U36" s="7">
        <f t="shared" ref="U36" si="118">SUM(P36:T36)</f>
        <v>444</v>
      </c>
      <c r="V36" s="26">
        <f t="shared" ref="V36" si="119">O36-U36</f>
        <v>3922</v>
      </c>
      <c r="W36" s="1">
        <f>VLOOKUP($B36,'Wage Sheet'!$B$7:$AD$148,MATCH('Master Sheet'!W$7,'Wage Sheet'!$B$7:$AD$7,0),0)</f>
        <v>364</v>
      </c>
      <c r="X36" s="26">
        <f t="shared" ref="X36" si="120">V36+W36</f>
        <v>4286</v>
      </c>
      <c r="Y36" s="5">
        <f t="shared" si="108"/>
        <v>3056</v>
      </c>
      <c r="Z36" s="5">
        <f t="shared" ref="Z36" si="121">ROUND(Y36*13.36%,0)</f>
        <v>408</v>
      </c>
      <c r="AA36" s="5">
        <f t="shared" si="110"/>
        <v>4366</v>
      </c>
      <c r="AB36" s="5">
        <f t="shared" ref="AB36" si="122">ROUNDUP(AA36*4.75%,0)</f>
        <v>208</v>
      </c>
      <c r="AC36" s="35">
        <f t="shared" ref="AC36:AC40" si="123">O36+W36+Z36+AB36</f>
        <v>5346</v>
      </c>
    </row>
    <row r="37" spans="1:29">
      <c r="A37" s="33">
        <v>30</v>
      </c>
      <c r="B37" s="49" t="str">
        <f>'Wage Sheet'!B75</f>
        <v>PRS/Burdwan - 1/SG/001</v>
      </c>
      <c r="C37" s="49" t="str">
        <f>VLOOKUP($B37,'Wage Sheet'!$B$7:$AD$148,MATCH('Master Sheet'!C$7,'Wage Sheet'!$B$7:$AD$7,0),0)</f>
        <v>Monoranjan Bhowmik</v>
      </c>
      <c r="D37" s="49" t="str">
        <f>VLOOKUP($B37,'Wage Sheet'!$B$7:$AD$148,MATCH('Master Sheet'!D$7,'Wage Sheet'!$B$7:$AD$7,0),0)</f>
        <v>Security Guard</v>
      </c>
      <c r="E37" s="49" t="str">
        <f>VLOOKUP($B37,'Wage Sheet'!$B$7:$AD$148,MATCH('Master Sheet'!E$7,'Wage Sheet'!$B$7:$AD$7,0),0)</f>
        <v xml:space="preserve">Burdwan-1 </v>
      </c>
      <c r="F37" s="1">
        <f>VLOOKUP($B37,'Wage Sheet'!$B$7:$AD$148,MATCH('Master Sheet'!F$7,'Wage Sheet'!$B$7:$AD$7,0),0)</f>
        <v>4668</v>
      </c>
      <c r="G37" s="1">
        <f>VLOOKUP($B37,'Wage Sheet'!$B$7:$AD$148,MATCH('Master Sheet'!G$7,'Wage Sheet'!$B$7:$AD$7,0),0)</f>
        <v>2001</v>
      </c>
      <c r="H37" s="1">
        <f>VLOOKUP($B37,'Wage Sheet'!$B$7:$AD$148,MATCH('Master Sheet'!H$7,'Wage Sheet'!$B$7:$AD$7,0),0)</f>
        <v>0</v>
      </c>
      <c r="I37" s="2">
        <f t="shared" si="113"/>
        <v>6669</v>
      </c>
      <c r="J37" s="1">
        <f>VLOOKUP($B37,'Wage Sheet'!$B$7:$AD$148,MATCH('Master Sheet'!J$7,'Wage Sheet'!$B$7:$AD$7,0),0)</f>
        <v>26</v>
      </c>
      <c r="K37" s="8">
        <f>VLOOKUP($B37,'Wage Sheet'!$B$7:$AD$148,MATCH('Master Sheet'!K$7,'Wage Sheet'!$B$7:$AD$7,0),0)</f>
        <v>30</v>
      </c>
      <c r="L37" s="1">
        <f t="shared" ref="L37:L40" si="124">F37/J37*K37</f>
        <v>5386.1538461538466</v>
      </c>
      <c r="M37" s="1">
        <f t="shared" ref="M37:M40" si="125">G37/J37*K37</f>
        <v>2308.8461538461538</v>
      </c>
      <c r="N37" s="1">
        <f t="shared" ref="N37:N45" si="126">H37/$J37*$K37</f>
        <v>0</v>
      </c>
      <c r="O37" s="4">
        <f t="shared" si="116"/>
        <v>7695</v>
      </c>
      <c r="P37" s="5">
        <f t="shared" ref="P37:P40" si="127">ROUND(Y37*12%,0)</f>
        <v>646</v>
      </c>
      <c r="Q37" s="5">
        <f t="shared" ref="Q37:Q40" si="128">ROUNDUP(AA37*1.75%,0)</f>
        <v>135</v>
      </c>
      <c r="R37" s="6">
        <f t="shared" ref="R37:R40" si="129">IF(O37&gt;40000,200,IF(O37&gt;25000,150,IF(O37&gt;15000,130,IF(O37&gt;10000,110,IF(O37&gt;8500,0,)))))</f>
        <v>0</v>
      </c>
      <c r="S37" s="1">
        <v>0</v>
      </c>
      <c r="T37" s="1">
        <v>0</v>
      </c>
      <c r="U37" s="7">
        <f t="shared" ref="U37:U40" si="130">SUM(P37:T37)</f>
        <v>781</v>
      </c>
      <c r="V37" s="26">
        <f t="shared" ref="V37:V40" si="131">O37-U37</f>
        <v>6914</v>
      </c>
      <c r="W37" s="1">
        <f>VLOOKUP($B37,'Wage Sheet'!$B$7:$AD$148,MATCH('Master Sheet'!W$7,'Wage Sheet'!$B$7:$AD$7,0),0)</f>
        <v>641</v>
      </c>
      <c r="X37" s="26">
        <f t="shared" ref="X37:X40" si="132">V37+W37</f>
        <v>7555</v>
      </c>
      <c r="Y37" s="5">
        <f t="shared" si="108"/>
        <v>5386</v>
      </c>
      <c r="Z37" s="5">
        <f t="shared" ref="Z37:Z40" si="133">ROUND(Y37*13.36%,0)</f>
        <v>720</v>
      </c>
      <c r="AA37" s="5">
        <f t="shared" si="110"/>
        <v>7695</v>
      </c>
      <c r="AB37" s="5">
        <f t="shared" ref="AB37:AB40" si="134">ROUNDUP(AA37*4.75%,0)</f>
        <v>366</v>
      </c>
      <c r="AC37" s="35">
        <f t="shared" si="123"/>
        <v>9422</v>
      </c>
    </row>
    <row r="38" spans="1:29">
      <c r="A38" s="33">
        <v>31</v>
      </c>
      <c r="B38" s="49" t="str">
        <f>'Wage Sheet'!B79</f>
        <v>PRS/Burdwan - 2/HK/001</v>
      </c>
      <c r="C38" s="49" t="str">
        <f>VLOOKUP($B38,'Wage Sheet'!$B$7:$AD$148,MATCH('Master Sheet'!C$7,'Wage Sheet'!$B$7:$AD$7,0),0)</f>
        <v>Parikshit Biswas</v>
      </c>
      <c r="D38" s="49" t="str">
        <f>VLOOKUP($B38,'Wage Sheet'!$B$7:$AD$148,MATCH('Master Sheet'!D$7,'Wage Sheet'!$B$7:$AD$7,0),0)</f>
        <v>Housekeeping</v>
      </c>
      <c r="E38" s="49" t="str">
        <f>VLOOKUP($B38,'Wage Sheet'!$B$7:$AD$148,MATCH('Master Sheet'!E$7,'Wage Sheet'!$B$7:$AD$7,0),0)</f>
        <v>Burdwan-2</v>
      </c>
      <c r="F38" s="1">
        <f>VLOOKUP($B38,'Wage Sheet'!$B$7:$AD$148,MATCH('Master Sheet'!F$7,'Wage Sheet'!$B$7:$AD$7,0),0)</f>
        <v>2700</v>
      </c>
      <c r="G38" s="1">
        <f>VLOOKUP($B38,'Wage Sheet'!$B$7:$AD$148,MATCH('Master Sheet'!G$7,'Wage Sheet'!$B$7:$AD$7,0),0)</f>
        <v>2210</v>
      </c>
      <c r="H38" s="1">
        <f>VLOOKUP($B38,'Wage Sheet'!$B$7:$AD$148,MATCH('Master Sheet'!H$7,'Wage Sheet'!$B$7:$AD$7,0),0)</f>
        <v>0</v>
      </c>
      <c r="I38" s="2">
        <f t="shared" si="113"/>
        <v>4910</v>
      </c>
      <c r="J38" s="1">
        <f>VLOOKUP($B38,'Wage Sheet'!$B$7:$AD$148,MATCH('Master Sheet'!J$7,'Wage Sheet'!$B$7:$AD$7,0),0)</f>
        <v>26</v>
      </c>
      <c r="K38" s="8">
        <f>VLOOKUP($B38,'Wage Sheet'!$B$7:$AD$148,MATCH('Master Sheet'!K$7,'Wage Sheet'!$B$7:$AD$7,0),0)</f>
        <v>26</v>
      </c>
      <c r="L38" s="1">
        <f t="shared" si="124"/>
        <v>2700</v>
      </c>
      <c r="M38" s="1">
        <f t="shared" si="125"/>
        <v>2210</v>
      </c>
      <c r="N38" s="1">
        <f t="shared" si="126"/>
        <v>0</v>
      </c>
      <c r="O38" s="4">
        <f t="shared" si="116"/>
        <v>4910</v>
      </c>
      <c r="P38" s="5">
        <f t="shared" si="127"/>
        <v>324</v>
      </c>
      <c r="Q38" s="5">
        <f t="shared" si="128"/>
        <v>86</v>
      </c>
      <c r="R38" s="6">
        <f t="shared" si="129"/>
        <v>0</v>
      </c>
      <c r="S38" s="1">
        <v>0</v>
      </c>
      <c r="T38" s="1">
        <v>0</v>
      </c>
      <c r="U38" s="7">
        <f t="shared" si="130"/>
        <v>410</v>
      </c>
      <c r="V38" s="26">
        <f t="shared" si="131"/>
        <v>4500</v>
      </c>
      <c r="W38" s="1">
        <f>VLOOKUP($B38,'Wage Sheet'!$B$7:$AD$148,MATCH('Master Sheet'!W$7,'Wage Sheet'!$B$7:$AD$7,0),0)</f>
        <v>409</v>
      </c>
      <c r="X38" s="26">
        <f t="shared" si="132"/>
        <v>4909</v>
      </c>
      <c r="Y38" s="5">
        <f t="shared" si="108"/>
        <v>2700</v>
      </c>
      <c r="Z38" s="5">
        <f t="shared" si="133"/>
        <v>361</v>
      </c>
      <c r="AA38" s="5">
        <f t="shared" si="110"/>
        <v>4910</v>
      </c>
      <c r="AB38" s="5">
        <f t="shared" si="134"/>
        <v>234</v>
      </c>
      <c r="AC38" s="35">
        <f t="shared" si="123"/>
        <v>5914</v>
      </c>
    </row>
    <row r="39" spans="1:29">
      <c r="A39" s="33">
        <v>32</v>
      </c>
      <c r="B39" s="49" t="str">
        <f>'Wage Sheet'!B82</f>
        <v>PRS/Burdwan - 2/SG/001</v>
      </c>
      <c r="C39" s="49" t="str">
        <f>VLOOKUP($B39,'Wage Sheet'!$B$7:$AD$148,MATCH('Master Sheet'!C$7,'Wage Sheet'!$B$7:$AD$7,0),0)</f>
        <v>Shambhu Mazumdar</v>
      </c>
      <c r="D39" s="49" t="str">
        <f>VLOOKUP($B39,'Wage Sheet'!$B$7:$AD$148,MATCH('Master Sheet'!D$7,'Wage Sheet'!$B$7:$AD$7,0),0)</f>
        <v>Security Guard</v>
      </c>
      <c r="E39" s="49" t="str">
        <f>VLOOKUP($B39,'Wage Sheet'!$B$7:$AD$148,MATCH('Master Sheet'!E$7,'Wage Sheet'!$B$7:$AD$7,0),0)</f>
        <v>Burdwan-2</v>
      </c>
      <c r="F39" s="1">
        <f>VLOOKUP($B39,'Wage Sheet'!$B$7:$AD$148,MATCH('Master Sheet'!F$7,'Wage Sheet'!$B$7:$AD$7,0),0)</f>
        <v>4668</v>
      </c>
      <c r="G39" s="1">
        <f>VLOOKUP($B39,'Wage Sheet'!$B$7:$AD$148,MATCH('Master Sheet'!G$7,'Wage Sheet'!$B$7:$AD$7,0),0)</f>
        <v>2001</v>
      </c>
      <c r="H39" s="1">
        <f>VLOOKUP($B39,'Wage Sheet'!$B$7:$AD$148,MATCH('Master Sheet'!H$7,'Wage Sheet'!$B$7:$AD$7,0),0)</f>
        <v>0</v>
      </c>
      <c r="I39" s="2">
        <f t="shared" si="113"/>
        <v>6669</v>
      </c>
      <c r="J39" s="1">
        <f>VLOOKUP($B39,'Wage Sheet'!$B$7:$AD$148,MATCH('Master Sheet'!J$7,'Wage Sheet'!$B$7:$AD$7,0),0)</f>
        <v>26</v>
      </c>
      <c r="K39" s="8">
        <f>VLOOKUP($B39,'Wage Sheet'!$B$7:$AD$148,MATCH('Master Sheet'!K$7,'Wage Sheet'!$B$7:$AD$7,0),0)</f>
        <v>26</v>
      </c>
      <c r="L39" s="1">
        <f t="shared" si="124"/>
        <v>4668</v>
      </c>
      <c r="M39" s="1">
        <f t="shared" si="125"/>
        <v>2001.0000000000002</v>
      </c>
      <c r="N39" s="1">
        <f t="shared" si="126"/>
        <v>0</v>
      </c>
      <c r="O39" s="4">
        <f t="shared" si="116"/>
        <v>6669</v>
      </c>
      <c r="P39" s="5">
        <f t="shared" si="127"/>
        <v>560</v>
      </c>
      <c r="Q39" s="5">
        <f t="shared" si="128"/>
        <v>117</v>
      </c>
      <c r="R39" s="6">
        <f t="shared" si="129"/>
        <v>0</v>
      </c>
      <c r="S39" s="1">
        <v>0</v>
      </c>
      <c r="T39" s="1">
        <v>0</v>
      </c>
      <c r="U39" s="7">
        <f t="shared" si="130"/>
        <v>677</v>
      </c>
      <c r="V39" s="26">
        <f t="shared" si="131"/>
        <v>5992</v>
      </c>
      <c r="W39" s="1">
        <f>VLOOKUP($B39,'Wage Sheet'!$B$7:$AD$148,MATCH('Master Sheet'!W$7,'Wage Sheet'!$B$7:$AD$7,0),0)</f>
        <v>556</v>
      </c>
      <c r="X39" s="26">
        <f t="shared" si="132"/>
        <v>6548</v>
      </c>
      <c r="Y39" s="5">
        <f t="shared" si="108"/>
        <v>4668</v>
      </c>
      <c r="Z39" s="5">
        <f t="shared" si="133"/>
        <v>624</v>
      </c>
      <c r="AA39" s="5">
        <f t="shared" si="110"/>
        <v>6669</v>
      </c>
      <c r="AB39" s="5">
        <f t="shared" si="134"/>
        <v>317</v>
      </c>
      <c r="AC39" s="35">
        <f t="shared" si="123"/>
        <v>8166</v>
      </c>
    </row>
    <row r="40" spans="1:29">
      <c r="A40" s="33">
        <v>33</v>
      </c>
      <c r="B40" s="49" t="str">
        <f>'Wage Sheet'!B86</f>
        <v>PRS/RS-Krishnanagar/SG/001</v>
      </c>
      <c r="C40" s="49" t="str">
        <f>VLOOKUP($B40,'Wage Sheet'!$B$7:$AD$148,MATCH('Master Sheet'!C$7,'Wage Sheet'!$B$7:$AD$7,0),0)</f>
        <v>Sandip Sarkar</v>
      </c>
      <c r="D40" s="49" t="str">
        <f>VLOOKUP($B40,'Wage Sheet'!$B$7:$AD$148,MATCH('Master Sheet'!D$7,'Wage Sheet'!$B$7:$AD$7,0),0)</f>
        <v>Security Guard</v>
      </c>
      <c r="E40" s="49" t="str">
        <f>VLOOKUP($B40,'Wage Sheet'!$B$7:$AD$148,MATCH('Master Sheet'!E$7,'Wage Sheet'!$B$7:$AD$7,0),0)</f>
        <v>RS-Krishnanagar</v>
      </c>
      <c r="F40" s="1">
        <f>VLOOKUP($B40,'Wage Sheet'!$B$7:$AD$148,MATCH('Master Sheet'!F$7,'Wage Sheet'!$B$7:$AD$7,0),0)</f>
        <v>4627</v>
      </c>
      <c r="G40" s="1">
        <f>VLOOKUP($B40,'Wage Sheet'!$B$7:$AD$148,MATCH('Master Sheet'!G$7,'Wage Sheet'!$B$7:$AD$7,0),0)</f>
        <v>3084</v>
      </c>
      <c r="H40" s="1">
        <f>VLOOKUP($B40,'Wage Sheet'!$B$7:$AD$148,MATCH('Master Sheet'!H$7,'Wage Sheet'!$B$7:$AD$7,0),0)</f>
        <v>0</v>
      </c>
      <c r="I40" s="2">
        <f t="shared" si="113"/>
        <v>7711</v>
      </c>
      <c r="J40" s="1">
        <f>VLOOKUP($B40,'Wage Sheet'!$B$7:$AD$148,MATCH('Master Sheet'!J$7,'Wage Sheet'!$B$7:$AD$7,0),0)</f>
        <v>26</v>
      </c>
      <c r="K40" s="8">
        <f>VLOOKUP($B40,'Wage Sheet'!$B$7:$AD$148,MATCH('Master Sheet'!K$7,'Wage Sheet'!$B$7:$AD$7,0),0)</f>
        <v>27</v>
      </c>
      <c r="L40" s="1">
        <f t="shared" si="124"/>
        <v>4804.9615384615381</v>
      </c>
      <c r="M40" s="1">
        <f t="shared" si="125"/>
        <v>3202.6153846153848</v>
      </c>
      <c r="N40" s="1">
        <f t="shared" si="126"/>
        <v>0</v>
      </c>
      <c r="O40" s="4">
        <f t="shared" si="116"/>
        <v>8008</v>
      </c>
      <c r="P40" s="5">
        <f t="shared" si="127"/>
        <v>577</v>
      </c>
      <c r="Q40" s="5">
        <f t="shared" si="128"/>
        <v>141</v>
      </c>
      <c r="R40" s="6">
        <f t="shared" si="129"/>
        <v>0</v>
      </c>
      <c r="S40" s="1">
        <v>0</v>
      </c>
      <c r="T40" s="1">
        <v>0</v>
      </c>
      <c r="U40" s="7">
        <f t="shared" si="130"/>
        <v>718</v>
      </c>
      <c r="V40" s="26">
        <f t="shared" si="131"/>
        <v>7290</v>
      </c>
      <c r="W40" s="1">
        <f>VLOOKUP($B40,'Wage Sheet'!$B$7:$AD$148,MATCH('Master Sheet'!W$7,'Wage Sheet'!$B$7:$AD$7,0),0)</f>
        <v>667</v>
      </c>
      <c r="X40" s="26">
        <f t="shared" si="132"/>
        <v>7957</v>
      </c>
      <c r="Y40" s="5">
        <f t="shared" ref="Y40:Y46" si="135">ROUND(IF(($L40)&gt;15000,15000,IF(($L40)&lt;=15000,($L40))),0)</f>
        <v>4805</v>
      </c>
      <c r="Z40" s="5">
        <f t="shared" si="133"/>
        <v>642</v>
      </c>
      <c r="AA40" s="5">
        <f t="shared" si="110"/>
        <v>8008</v>
      </c>
      <c r="AB40" s="5">
        <f t="shared" si="134"/>
        <v>381</v>
      </c>
      <c r="AC40" s="35">
        <f t="shared" si="123"/>
        <v>9698</v>
      </c>
    </row>
    <row r="41" spans="1:29">
      <c r="A41" s="33">
        <v>34</v>
      </c>
      <c r="B41" s="49" t="str">
        <f>'Wage Sheet'!B90</f>
        <v>PRS/PF-Krishnanagar/HK/001</v>
      </c>
      <c r="C41" s="49" t="str">
        <f>VLOOKUP($B41,'Wage Sheet'!$B$7:$AD$148,MATCH('Master Sheet'!C$7,'Wage Sheet'!$B$7:$AD$7,0),0)</f>
        <v>Tarak Karmakar</v>
      </c>
      <c r="D41" s="49" t="str">
        <f>VLOOKUP($B41,'Wage Sheet'!$B$7:$AD$148,MATCH('Master Sheet'!D$7,'Wage Sheet'!$B$7:$AD$7,0),0)</f>
        <v>Housekeeping</v>
      </c>
      <c r="E41" s="49" t="str">
        <f>VLOOKUP($B41,'Wage Sheet'!$B$7:$AD$148,MATCH('Master Sheet'!E$7,'Wage Sheet'!$B$7:$AD$7,0),0)</f>
        <v>PF-Krishnanagar</v>
      </c>
      <c r="F41" s="1">
        <f>VLOOKUP($B41,'Wage Sheet'!$B$7:$AD$148,MATCH('Master Sheet'!F$7,'Wage Sheet'!$B$7:$AD$7,0),0)</f>
        <v>4627</v>
      </c>
      <c r="G41" s="1">
        <f>VLOOKUP($B41,'Wage Sheet'!$B$7:$AD$148,MATCH('Master Sheet'!G$7,'Wage Sheet'!$B$7:$AD$7,0),0)</f>
        <v>3084</v>
      </c>
      <c r="H41" s="1">
        <f>VLOOKUP($B41,'Wage Sheet'!$B$7:$AD$148,MATCH('Master Sheet'!H$7,'Wage Sheet'!$B$7:$AD$7,0),0)</f>
        <v>0</v>
      </c>
      <c r="I41" s="2">
        <f t="shared" si="113"/>
        <v>7711</v>
      </c>
      <c r="J41" s="1">
        <f>VLOOKUP($B41,'Wage Sheet'!$B$7:$AD$148,MATCH('Master Sheet'!J$7,'Wage Sheet'!$B$7:$AD$7,0),0)</f>
        <v>26</v>
      </c>
      <c r="K41" s="8">
        <f>VLOOKUP($B41,'Wage Sheet'!$B$7:$AD$148,MATCH('Master Sheet'!K$7,'Wage Sheet'!$B$7:$AD$7,0),0)</f>
        <v>25</v>
      </c>
      <c r="L41" s="1">
        <f t="shared" ref="L41:L49" si="136">F41/J41*K41</f>
        <v>4449.038461538461</v>
      </c>
      <c r="M41" s="1">
        <f t="shared" ref="M41:M49" si="137">G41/J41*K41</f>
        <v>2965.3846153846152</v>
      </c>
      <c r="N41" s="1">
        <f t="shared" si="126"/>
        <v>0</v>
      </c>
      <c r="O41" s="4">
        <f t="shared" si="116"/>
        <v>7414</v>
      </c>
      <c r="P41" s="5">
        <f t="shared" ref="P41:P49" si="138">ROUND(Y41*12%,0)</f>
        <v>534</v>
      </c>
      <c r="Q41" s="5">
        <f t="shared" ref="Q41:Q49" si="139">ROUNDUP(AA41*1.75%,0)</f>
        <v>130</v>
      </c>
      <c r="R41" s="6">
        <f t="shared" ref="R41:R49" si="140">IF(O41&gt;40000,200,IF(O41&gt;25000,150,IF(O41&gt;15000,130,IF(O41&gt;10000,110,IF(O41&gt;8500,0,)))))</f>
        <v>0</v>
      </c>
      <c r="S41" s="1">
        <v>0</v>
      </c>
      <c r="T41" s="1">
        <v>0</v>
      </c>
      <c r="U41" s="7">
        <f t="shared" ref="U41:U49" si="141">SUM(P41:T41)</f>
        <v>664</v>
      </c>
      <c r="V41" s="26">
        <f t="shared" ref="V41:V49" si="142">O41-U41</f>
        <v>6750</v>
      </c>
      <c r="W41" s="1">
        <f>VLOOKUP($B41,'Wage Sheet'!$B$7:$AD$148,MATCH('Master Sheet'!W$7,'Wage Sheet'!$B$7:$AD$7,0),0)</f>
        <v>618</v>
      </c>
      <c r="X41" s="26">
        <f t="shared" ref="X41:X49" si="143">V41+W41</f>
        <v>7368</v>
      </c>
      <c r="Y41" s="5">
        <f t="shared" si="135"/>
        <v>4449</v>
      </c>
      <c r="Z41" s="5">
        <f t="shared" ref="Z41:Z49" si="144">ROUND(Y41*13.36%,0)</f>
        <v>594</v>
      </c>
      <c r="AA41" s="5">
        <f t="shared" si="110"/>
        <v>7414</v>
      </c>
      <c r="AB41" s="5">
        <f t="shared" ref="AB41:AB49" si="145">ROUNDUP(AA41*4.75%,0)</f>
        <v>353</v>
      </c>
      <c r="AC41" s="35">
        <f t="shared" ref="AC41:AC51" si="146">O41+W41+Z41+AB41</f>
        <v>8979</v>
      </c>
    </row>
    <row r="42" spans="1:29">
      <c r="A42" s="33">
        <v>35</v>
      </c>
      <c r="B42" s="49" t="str">
        <f>'Wage Sheet'!B94</f>
        <v>PRS/RS-Bhelupur-UP/HK/001</v>
      </c>
      <c r="C42" s="49" t="str">
        <f>VLOOKUP($B42,'Wage Sheet'!$B$7:$AD$148,MATCH('Master Sheet'!C$7,'Wage Sheet'!$B$7:$AD$7,0),0)</f>
        <v>Vicky</v>
      </c>
      <c r="D42" s="49" t="str">
        <f>VLOOKUP($B42,'Wage Sheet'!$B$7:$AD$148,MATCH('Master Sheet'!D$7,'Wage Sheet'!$B$7:$AD$7,0),0)</f>
        <v>Housekeeping</v>
      </c>
      <c r="E42" s="49" t="str">
        <f>VLOOKUP($B42,'Wage Sheet'!$B$7:$AD$148,MATCH('Master Sheet'!E$7,'Wage Sheet'!$B$7:$AD$7,0),0)</f>
        <v>RS-Bhelupur-UP</v>
      </c>
      <c r="F42" s="1">
        <f>VLOOKUP($B42,'Wage Sheet'!$B$7:$AD$148,MATCH('Master Sheet'!F$7,'Wage Sheet'!$B$7:$AD$7,0),0)</f>
        <v>7108</v>
      </c>
      <c r="G42" s="1">
        <f>VLOOKUP($B42,'Wage Sheet'!$B$7:$AD$148,MATCH('Master Sheet'!G$7,'Wage Sheet'!$B$7:$AD$7,0),0)</f>
        <v>92</v>
      </c>
      <c r="H42" s="1">
        <f>VLOOKUP($B42,'Wage Sheet'!$B$7:$AD$148,MATCH('Master Sheet'!H$7,'Wage Sheet'!$B$7:$AD$7,0),0)</f>
        <v>0</v>
      </c>
      <c r="I42" s="2">
        <f t="shared" ref="I42:I51" si="147">F42+G42+H42</f>
        <v>7200</v>
      </c>
      <c r="J42" s="1">
        <f>VLOOKUP($B42,'Wage Sheet'!$B$7:$AD$148,MATCH('Master Sheet'!J$7,'Wage Sheet'!$B$7:$AD$7,0),0)</f>
        <v>26</v>
      </c>
      <c r="K42" s="8">
        <f>VLOOKUP($B42,'Wage Sheet'!$B$7:$AD$148,MATCH('Master Sheet'!K$7,'Wage Sheet'!$B$7:$AD$7,0),0)</f>
        <v>29</v>
      </c>
      <c r="L42" s="1">
        <f t="shared" si="136"/>
        <v>7928.1538461538457</v>
      </c>
      <c r="M42" s="1">
        <f t="shared" si="137"/>
        <v>102.61538461538461</v>
      </c>
      <c r="N42" s="1">
        <f t="shared" si="126"/>
        <v>0</v>
      </c>
      <c r="O42" s="4">
        <f t="shared" ref="O42:O51" si="148">ROUND(L42+M42+N42,0)</f>
        <v>8031</v>
      </c>
      <c r="P42" s="5">
        <f t="shared" si="138"/>
        <v>951</v>
      </c>
      <c r="Q42" s="5">
        <f t="shared" si="139"/>
        <v>141</v>
      </c>
      <c r="R42" s="6">
        <f t="shared" si="140"/>
        <v>0</v>
      </c>
      <c r="S42" s="1">
        <v>0</v>
      </c>
      <c r="T42" s="1">
        <v>0</v>
      </c>
      <c r="U42" s="7">
        <f t="shared" si="141"/>
        <v>1092</v>
      </c>
      <c r="V42" s="26">
        <f t="shared" si="142"/>
        <v>6939</v>
      </c>
      <c r="W42" s="1">
        <f>VLOOKUP($B42,'Wage Sheet'!$B$7:$AD$148,MATCH('Master Sheet'!W$7,'Wage Sheet'!$B$7:$AD$7,0),0)</f>
        <v>669</v>
      </c>
      <c r="X42" s="26">
        <f t="shared" si="143"/>
        <v>7608</v>
      </c>
      <c r="Y42" s="5">
        <f t="shared" si="135"/>
        <v>7928</v>
      </c>
      <c r="Z42" s="5">
        <f t="shared" si="144"/>
        <v>1059</v>
      </c>
      <c r="AA42" s="5">
        <f t="shared" ref="AA42:AA51" si="149">ROUND($I42/$J42*($K42),0)</f>
        <v>8031</v>
      </c>
      <c r="AB42" s="5">
        <f t="shared" si="145"/>
        <v>382</v>
      </c>
      <c r="AC42" s="35">
        <f t="shared" si="146"/>
        <v>10141</v>
      </c>
    </row>
    <row r="43" spans="1:29">
      <c r="A43" s="33">
        <v>36</v>
      </c>
      <c r="B43" s="49" t="str">
        <f>'Wage Sheet'!B95</f>
        <v>PRS/RS-Bhelupur-UP/HK/002</v>
      </c>
      <c r="C43" s="49" t="str">
        <f>VLOOKUP($B43,'Wage Sheet'!$B$7:$AD$148,MATCH('Master Sheet'!C$7,'Wage Sheet'!$B$7:$AD$7,0),0)</f>
        <v>Nijamuddin</v>
      </c>
      <c r="D43" s="49" t="str">
        <f>VLOOKUP($B43,'Wage Sheet'!$B$7:$AD$148,MATCH('Master Sheet'!D$7,'Wage Sheet'!$B$7:$AD$7,0),0)</f>
        <v>Housekeeping</v>
      </c>
      <c r="E43" s="49" t="str">
        <f>VLOOKUP($B43,'Wage Sheet'!$B$7:$AD$148,MATCH('Master Sheet'!E$7,'Wage Sheet'!$B$7:$AD$7,0),0)</f>
        <v>RS-Bhelupur-UP</v>
      </c>
      <c r="F43" s="1">
        <f>VLOOKUP($B43,'Wage Sheet'!$B$7:$AD$148,MATCH('Master Sheet'!F$7,'Wage Sheet'!$B$7:$AD$7,0),0)</f>
        <v>7108</v>
      </c>
      <c r="G43" s="1">
        <f>VLOOKUP($B43,'Wage Sheet'!$B$7:$AD$148,MATCH('Master Sheet'!G$7,'Wage Sheet'!$B$7:$AD$7,0),0)</f>
        <v>92</v>
      </c>
      <c r="H43" s="1">
        <f>VLOOKUP($B43,'Wage Sheet'!$B$7:$AD$148,MATCH('Master Sheet'!H$7,'Wage Sheet'!$B$7:$AD$7,0),0)</f>
        <v>0</v>
      </c>
      <c r="I43" s="2">
        <f t="shared" si="147"/>
        <v>7200</v>
      </c>
      <c r="J43" s="1">
        <f>VLOOKUP($B43,'Wage Sheet'!$B$7:$AD$148,MATCH('Master Sheet'!J$7,'Wage Sheet'!$B$7:$AD$7,0),0)</f>
        <v>26</v>
      </c>
      <c r="K43" s="8">
        <f>VLOOKUP($B43,'Wage Sheet'!$B$7:$AD$148,MATCH('Master Sheet'!K$7,'Wage Sheet'!$B$7:$AD$7,0),0)</f>
        <v>31</v>
      </c>
      <c r="L43" s="1">
        <f t="shared" si="136"/>
        <v>8474.9230769230762</v>
      </c>
      <c r="M43" s="1">
        <f t="shared" si="137"/>
        <v>109.69230769230769</v>
      </c>
      <c r="N43" s="1">
        <f t="shared" si="126"/>
        <v>0</v>
      </c>
      <c r="O43" s="4">
        <f t="shared" si="148"/>
        <v>8585</v>
      </c>
      <c r="P43" s="5">
        <f t="shared" si="138"/>
        <v>1017</v>
      </c>
      <c r="Q43" s="5">
        <f t="shared" si="139"/>
        <v>151</v>
      </c>
      <c r="R43" s="6">
        <f t="shared" si="140"/>
        <v>0</v>
      </c>
      <c r="S43" s="1">
        <v>0</v>
      </c>
      <c r="T43" s="1">
        <v>0</v>
      </c>
      <c r="U43" s="7">
        <f t="shared" si="141"/>
        <v>1168</v>
      </c>
      <c r="V43" s="26">
        <f t="shared" si="142"/>
        <v>7417</v>
      </c>
      <c r="W43" s="1">
        <f>VLOOKUP($B43,'Wage Sheet'!$B$7:$AD$148,MATCH('Master Sheet'!W$7,'Wage Sheet'!$B$7:$AD$7,0),0)</f>
        <v>715</v>
      </c>
      <c r="X43" s="26">
        <f t="shared" si="143"/>
        <v>8132</v>
      </c>
      <c r="Y43" s="5">
        <f t="shared" si="135"/>
        <v>8475</v>
      </c>
      <c r="Z43" s="5">
        <f t="shared" si="144"/>
        <v>1132</v>
      </c>
      <c r="AA43" s="5">
        <f t="shared" si="149"/>
        <v>8585</v>
      </c>
      <c r="AB43" s="5">
        <f t="shared" si="145"/>
        <v>408</v>
      </c>
      <c r="AC43" s="35">
        <f t="shared" si="146"/>
        <v>10840</v>
      </c>
    </row>
    <row r="44" spans="1:29">
      <c r="A44" s="33">
        <v>37</v>
      </c>
      <c r="B44" s="49" t="str">
        <f>'Wage Sheet'!B96</f>
        <v>PRS/RS-Bhelupur-UP/HK/003</v>
      </c>
      <c r="C44" s="49" t="str">
        <f>VLOOKUP($B44,'Wage Sheet'!$B$7:$AD$148,MATCH('Master Sheet'!C$7,'Wage Sheet'!$B$7:$AD$7,0),0)</f>
        <v>Hadish</v>
      </c>
      <c r="D44" s="49" t="str">
        <f>VLOOKUP($B44,'Wage Sheet'!$B$7:$AD$148,MATCH('Master Sheet'!D$7,'Wage Sheet'!$B$7:$AD$7,0),0)</f>
        <v>Housekeeping</v>
      </c>
      <c r="E44" s="49" t="str">
        <f>VLOOKUP($B44,'Wage Sheet'!$B$7:$AD$148,MATCH('Master Sheet'!E$7,'Wage Sheet'!$B$7:$AD$7,0),0)</f>
        <v>RS-Bhelupur-UP</v>
      </c>
      <c r="F44" s="1">
        <f>VLOOKUP($B44,'Wage Sheet'!$B$7:$AD$148,MATCH('Master Sheet'!F$7,'Wage Sheet'!$B$7:$AD$7,0),0)</f>
        <v>7108</v>
      </c>
      <c r="G44" s="1">
        <f>VLOOKUP($B44,'Wage Sheet'!$B$7:$AD$148,MATCH('Master Sheet'!G$7,'Wage Sheet'!$B$7:$AD$7,0),0)</f>
        <v>92</v>
      </c>
      <c r="H44" s="1">
        <f>VLOOKUP($B44,'Wage Sheet'!$B$7:$AD$148,MATCH('Master Sheet'!H$7,'Wage Sheet'!$B$7:$AD$7,0),0)</f>
        <v>0</v>
      </c>
      <c r="I44" s="2">
        <f t="shared" si="147"/>
        <v>7200</v>
      </c>
      <c r="J44" s="1">
        <f>VLOOKUP($B44,'Wage Sheet'!$B$7:$AD$148,MATCH('Master Sheet'!J$7,'Wage Sheet'!$B$7:$AD$7,0),0)</f>
        <v>26</v>
      </c>
      <c r="K44" s="8">
        <f>VLOOKUP($B44,'Wage Sheet'!$B$7:$AD$148,MATCH('Master Sheet'!K$7,'Wage Sheet'!$B$7:$AD$7,0),0)</f>
        <v>29</v>
      </c>
      <c r="L44" s="1">
        <f t="shared" si="136"/>
        <v>7928.1538461538457</v>
      </c>
      <c r="M44" s="1">
        <f t="shared" si="137"/>
        <v>102.61538461538461</v>
      </c>
      <c r="N44" s="1">
        <f t="shared" si="126"/>
        <v>0</v>
      </c>
      <c r="O44" s="4">
        <f t="shared" si="148"/>
        <v>8031</v>
      </c>
      <c r="P44" s="5">
        <f t="shared" si="138"/>
        <v>951</v>
      </c>
      <c r="Q44" s="5">
        <f t="shared" si="139"/>
        <v>141</v>
      </c>
      <c r="R44" s="6">
        <f t="shared" si="140"/>
        <v>0</v>
      </c>
      <c r="S44" s="1">
        <v>0</v>
      </c>
      <c r="T44" s="1">
        <v>0</v>
      </c>
      <c r="U44" s="7">
        <f t="shared" si="141"/>
        <v>1092</v>
      </c>
      <c r="V44" s="26">
        <f t="shared" si="142"/>
        <v>6939</v>
      </c>
      <c r="W44" s="1">
        <f>VLOOKUP($B44,'Wage Sheet'!$B$7:$AD$148,MATCH('Master Sheet'!W$7,'Wage Sheet'!$B$7:$AD$7,0),0)</f>
        <v>669</v>
      </c>
      <c r="X44" s="26">
        <f t="shared" si="143"/>
        <v>7608</v>
      </c>
      <c r="Y44" s="5">
        <f t="shared" si="135"/>
        <v>7928</v>
      </c>
      <c r="Z44" s="5">
        <f t="shared" si="144"/>
        <v>1059</v>
      </c>
      <c r="AA44" s="5">
        <f t="shared" si="149"/>
        <v>8031</v>
      </c>
      <c r="AB44" s="5">
        <f t="shared" si="145"/>
        <v>382</v>
      </c>
      <c r="AC44" s="35">
        <f t="shared" si="146"/>
        <v>10141</v>
      </c>
    </row>
    <row r="45" spans="1:29">
      <c r="A45" s="33">
        <v>38</v>
      </c>
      <c r="B45" s="49" t="str">
        <f>'Wage Sheet'!B97</f>
        <v>PRS/RS-Bhelupur-UP/HK/004</v>
      </c>
      <c r="C45" s="49" t="str">
        <f>VLOOKUP($B45,'Wage Sheet'!$B$7:$AD$148,MATCH('Master Sheet'!C$7,'Wage Sheet'!$B$7:$AD$7,0),0)</f>
        <v>Ranjeet Sahani</v>
      </c>
      <c r="D45" s="49" t="str">
        <f>VLOOKUP($B45,'Wage Sheet'!$B$7:$AD$148,MATCH('Master Sheet'!D$7,'Wage Sheet'!$B$7:$AD$7,0),0)</f>
        <v>Housekeeping</v>
      </c>
      <c r="E45" s="49" t="str">
        <f>VLOOKUP($B45,'Wage Sheet'!$B$7:$AD$148,MATCH('Master Sheet'!E$7,'Wage Sheet'!$B$7:$AD$7,0),0)</f>
        <v>RS-Bhelupur-UP</v>
      </c>
      <c r="F45" s="1">
        <f>VLOOKUP($B45,'Wage Sheet'!$B$7:$AD$148,MATCH('Master Sheet'!F$7,'Wage Sheet'!$B$7:$AD$7,0),0)</f>
        <v>7108</v>
      </c>
      <c r="G45" s="1">
        <f>VLOOKUP($B45,'Wage Sheet'!$B$7:$AD$148,MATCH('Master Sheet'!G$7,'Wage Sheet'!$B$7:$AD$7,0),0)</f>
        <v>92</v>
      </c>
      <c r="H45" s="1">
        <f>VLOOKUP($B45,'Wage Sheet'!$B$7:$AD$148,MATCH('Master Sheet'!H$7,'Wage Sheet'!$B$7:$AD$7,0),0)</f>
        <v>0</v>
      </c>
      <c r="I45" s="2">
        <f t="shared" si="147"/>
        <v>7200</v>
      </c>
      <c r="J45" s="1">
        <f>VLOOKUP($B45,'Wage Sheet'!$B$7:$AD$148,MATCH('Master Sheet'!J$7,'Wage Sheet'!$B$7:$AD$7,0),0)</f>
        <v>26</v>
      </c>
      <c r="K45" s="8">
        <f>VLOOKUP($B45,'Wage Sheet'!$B$7:$AD$148,MATCH('Master Sheet'!K$7,'Wage Sheet'!$B$7:$AD$7,0),0)</f>
        <v>27</v>
      </c>
      <c r="L45" s="1">
        <f t="shared" si="136"/>
        <v>7381.3846153846143</v>
      </c>
      <c r="M45" s="1">
        <f t="shared" si="137"/>
        <v>95.538461538461533</v>
      </c>
      <c r="N45" s="1">
        <f t="shared" si="126"/>
        <v>0</v>
      </c>
      <c r="O45" s="4">
        <f t="shared" si="148"/>
        <v>7477</v>
      </c>
      <c r="P45" s="5">
        <f t="shared" si="138"/>
        <v>886</v>
      </c>
      <c r="Q45" s="5">
        <f t="shared" si="139"/>
        <v>131</v>
      </c>
      <c r="R45" s="6">
        <f t="shared" si="140"/>
        <v>0</v>
      </c>
      <c r="S45" s="1">
        <v>0</v>
      </c>
      <c r="T45" s="1">
        <v>0</v>
      </c>
      <c r="U45" s="7">
        <f t="shared" si="141"/>
        <v>1017</v>
      </c>
      <c r="V45" s="26">
        <f t="shared" si="142"/>
        <v>6460</v>
      </c>
      <c r="W45" s="1">
        <f>VLOOKUP($B45,'Wage Sheet'!$B$7:$AD$148,MATCH('Master Sheet'!W$7,'Wage Sheet'!$B$7:$AD$7,0),0)</f>
        <v>623</v>
      </c>
      <c r="X45" s="26">
        <f t="shared" si="143"/>
        <v>7083</v>
      </c>
      <c r="Y45" s="5">
        <f t="shared" si="135"/>
        <v>7381</v>
      </c>
      <c r="Z45" s="5">
        <f t="shared" si="144"/>
        <v>986</v>
      </c>
      <c r="AA45" s="5">
        <f t="shared" si="149"/>
        <v>7477</v>
      </c>
      <c r="AB45" s="5">
        <f t="shared" si="145"/>
        <v>356</v>
      </c>
      <c r="AC45" s="35">
        <f t="shared" si="146"/>
        <v>9442</v>
      </c>
    </row>
    <row r="46" spans="1:29">
      <c r="A46" s="33">
        <v>39</v>
      </c>
      <c r="B46" s="49" t="str">
        <f>'Wage Sheet'!B100</f>
        <v>PRS/RS-Bhelupur-UP/SG/001</v>
      </c>
      <c r="C46" s="49" t="str">
        <f>VLOOKUP($B46,'Wage Sheet'!$B$7:$AD$148,MATCH('Master Sheet'!C$7,'Wage Sheet'!$B$7:$AD$7,0),0)</f>
        <v>Vijay Bajaj</v>
      </c>
      <c r="D46" s="49" t="str">
        <f>VLOOKUP($B46,'Wage Sheet'!$B$7:$AD$148,MATCH('Master Sheet'!D$7,'Wage Sheet'!$B$7:$AD$7,0),0)</f>
        <v>Security Guard</v>
      </c>
      <c r="E46" s="49" t="str">
        <f>VLOOKUP($B46,'Wage Sheet'!$B$7:$AD$148,MATCH('Master Sheet'!E$7,'Wage Sheet'!$B$7:$AD$7,0),0)</f>
        <v>RS-Bhelupur-UP</v>
      </c>
      <c r="F46" s="1">
        <f>VLOOKUP($B46,'Wage Sheet'!$B$7:$AD$148,MATCH('Master Sheet'!F$7,'Wage Sheet'!$B$7:$AD$7,0),0)</f>
        <v>7108</v>
      </c>
      <c r="G46" s="1">
        <f>VLOOKUP($B46,'Wage Sheet'!$B$7:$AD$148,MATCH('Master Sheet'!G$7,'Wage Sheet'!$B$7:$AD$7,0),0)</f>
        <v>0</v>
      </c>
      <c r="H46" s="1">
        <f>VLOOKUP($B46,'Wage Sheet'!$B$7:$AD$148,MATCH('Master Sheet'!H$7,'Wage Sheet'!$B$7:$AD$7,0),0)</f>
        <v>0</v>
      </c>
      <c r="I46" s="2">
        <f t="shared" si="147"/>
        <v>7108</v>
      </c>
      <c r="J46" s="1">
        <f>VLOOKUP($B46,'Wage Sheet'!$B$7:$AD$148,MATCH('Master Sheet'!J$7,'Wage Sheet'!$B$7:$AD$7,0),0)</f>
        <v>26</v>
      </c>
      <c r="K46" s="8">
        <f>VLOOKUP($B46,'Wage Sheet'!$B$7:$AD$148,MATCH('Master Sheet'!K$7,'Wage Sheet'!$B$7:$AD$7,0),0)</f>
        <v>30</v>
      </c>
      <c r="L46" s="1">
        <f t="shared" si="136"/>
        <v>8201.538461538461</v>
      </c>
      <c r="M46" s="1">
        <f t="shared" si="137"/>
        <v>0</v>
      </c>
      <c r="N46" s="1">
        <f t="shared" ref="N46:N53" si="150">H46/$J46*$K46</f>
        <v>0</v>
      </c>
      <c r="O46" s="4">
        <f t="shared" si="148"/>
        <v>8202</v>
      </c>
      <c r="P46" s="5">
        <f t="shared" si="138"/>
        <v>984</v>
      </c>
      <c r="Q46" s="5">
        <f t="shared" si="139"/>
        <v>144</v>
      </c>
      <c r="R46" s="6">
        <f t="shared" si="140"/>
        <v>0</v>
      </c>
      <c r="S46" s="1">
        <v>0</v>
      </c>
      <c r="T46" s="1">
        <v>0</v>
      </c>
      <c r="U46" s="7">
        <f t="shared" si="141"/>
        <v>1128</v>
      </c>
      <c r="V46" s="26">
        <f t="shared" si="142"/>
        <v>7074</v>
      </c>
      <c r="W46" s="1">
        <f>VLOOKUP($B46,'Wage Sheet'!$B$7:$AD$148,MATCH('Master Sheet'!W$7,'Wage Sheet'!$B$7:$AD$7,0),0)</f>
        <v>683</v>
      </c>
      <c r="X46" s="26">
        <f t="shared" si="143"/>
        <v>7757</v>
      </c>
      <c r="Y46" s="5">
        <f t="shared" si="135"/>
        <v>8202</v>
      </c>
      <c r="Z46" s="5">
        <f t="shared" si="144"/>
        <v>1096</v>
      </c>
      <c r="AA46" s="5">
        <f t="shared" si="149"/>
        <v>8202</v>
      </c>
      <c r="AB46" s="5">
        <f t="shared" si="145"/>
        <v>390</v>
      </c>
      <c r="AC46" s="35">
        <f t="shared" si="146"/>
        <v>10371</v>
      </c>
    </row>
    <row r="47" spans="1:29">
      <c r="A47" s="33">
        <v>40</v>
      </c>
      <c r="B47" s="49" t="str">
        <f>'Wage Sheet'!B104</f>
        <v>PRS/RS-Sundarpur-UP/HK/001</v>
      </c>
      <c r="C47" s="49" t="str">
        <f>VLOOKUP($B47,'Wage Sheet'!$B$7:$AD$148,MATCH('Master Sheet'!C$7,'Wage Sheet'!$B$7:$AD$7,0),0)</f>
        <v>Satyam Mishra</v>
      </c>
      <c r="D47" s="49" t="str">
        <f>VLOOKUP($B47,'Wage Sheet'!$B$7:$AD$148,MATCH('Master Sheet'!D$7,'Wage Sheet'!$B$7:$AD$7,0),0)</f>
        <v>Housekeeping</v>
      </c>
      <c r="E47" s="49" t="str">
        <f>VLOOKUP($B47,'Wage Sheet'!$B$7:$AD$148,MATCH('Master Sheet'!E$7,'Wage Sheet'!$B$7:$AD$7,0),0)</f>
        <v>RS-Sundarpur-UP</v>
      </c>
      <c r="F47" s="1">
        <f>VLOOKUP($B47,'Wage Sheet'!$B$7:$AD$148,MATCH('Master Sheet'!F$7,'Wage Sheet'!$B$7:$AD$7,0),0)</f>
        <v>7108</v>
      </c>
      <c r="G47" s="1">
        <f>VLOOKUP($B47,'Wage Sheet'!$B$7:$AD$148,MATCH('Master Sheet'!G$7,'Wage Sheet'!$B$7:$AD$7,0),0)</f>
        <v>0</v>
      </c>
      <c r="H47" s="1">
        <f>VLOOKUP($B47,'Wage Sheet'!$B$7:$AD$148,MATCH('Master Sheet'!H$7,'Wage Sheet'!$B$7:$AD$7,0),0)</f>
        <v>92</v>
      </c>
      <c r="I47" s="2">
        <f t="shared" si="147"/>
        <v>7200</v>
      </c>
      <c r="J47" s="1">
        <f>VLOOKUP($B47,'Wage Sheet'!$B$7:$AD$148,MATCH('Master Sheet'!J$7,'Wage Sheet'!$B$7:$AD$7,0),0)</f>
        <v>26</v>
      </c>
      <c r="K47" s="8">
        <f>VLOOKUP($B47,'Wage Sheet'!$B$7:$AD$148,MATCH('Master Sheet'!K$7,'Wage Sheet'!$B$7:$AD$7,0),0)</f>
        <v>27</v>
      </c>
      <c r="L47" s="1">
        <f t="shared" si="136"/>
        <v>7381.3846153846143</v>
      </c>
      <c r="M47" s="1">
        <f t="shared" si="137"/>
        <v>0</v>
      </c>
      <c r="N47" s="1">
        <f t="shared" si="150"/>
        <v>95.538461538461533</v>
      </c>
      <c r="O47" s="4">
        <f t="shared" si="148"/>
        <v>7477</v>
      </c>
      <c r="P47" s="5">
        <f t="shared" si="138"/>
        <v>886</v>
      </c>
      <c r="Q47" s="5">
        <f t="shared" si="139"/>
        <v>131</v>
      </c>
      <c r="R47" s="6">
        <f t="shared" si="140"/>
        <v>0</v>
      </c>
      <c r="S47" s="1">
        <v>0</v>
      </c>
      <c r="T47" s="1">
        <v>0</v>
      </c>
      <c r="U47" s="7">
        <f t="shared" si="141"/>
        <v>1017</v>
      </c>
      <c r="V47" s="26">
        <f t="shared" si="142"/>
        <v>6460</v>
      </c>
      <c r="W47" s="1">
        <f>VLOOKUP($B47,'Wage Sheet'!$B$7:$AD$148,MATCH('Master Sheet'!W$7,'Wage Sheet'!$B$7:$AD$7,0),0)</f>
        <v>623</v>
      </c>
      <c r="X47" s="26">
        <f t="shared" si="143"/>
        <v>7083</v>
      </c>
      <c r="Y47" s="5">
        <f t="shared" ref="Y47:Y54" si="151">ROUND(IF(($L47)&gt;15000,15000,IF(($L47)&lt;=15000,($L47))),0)</f>
        <v>7381</v>
      </c>
      <c r="Z47" s="5">
        <f t="shared" si="144"/>
        <v>986</v>
      </c>
      <c r="AA47" s="5">
        <f>ROUND($I47/$J47*($K47),0)</f>
        <v>7477</v>
      </c>
      <c r="AB47" s="5">
        <f t="shared" si="145"/>
        <v>356</v>
      </c>
      <c r="AC47" s="35">
        <f t="shared" si="146"/>
        <v>9442</v>
      </c>
    </row>
    <row r="48" spans="1:29">
      <c r="A48" s="33">
        <v>41</v>
      </c>
      <c r="B48" s="49" t="str">
        <f>'Wage Sheet'!B105</f>
        <v>PRS/RS-Sundarpur-UP/HK/002</v>
      </c>
      <c r="C48" s="49" t="str">
        <f>VLOOKUP($B48,'Wage Sheet'!$B$7:$AD$148,MATCH('Master Sheet'!C$7,'Wage Sheet'!$B$7:$AD$7,0),0)</f>
        <v>Sonu Seth</v>
      </c>
      <c r="D48" s="49" t="str">
        <f>VLOOKUP($B48,'Wage Sheet'!$B$7:$AD$148,MATCH('Master Sheet'!D$7,'Wage Sheet'!$B$7:$AD$7,0),0)</f>
        <v>Housekeeping</v>
      </c>
      <c r="E48" s="49" t="str">
        <f>VLOOKUP($B48,'Wage Sheet'!$B$7:$AD$148,MATCH('Master Sheet'!E$7,'Wage Sheet'!$B$7:$AD$7,0),0)</f>
        <v>RS-Sundarpur-UP</v>
      </c>
      <c r="F48" s="1">
        <f>VLOOKUP($B48,'Wage Sheet'!$B$7:$AD$148,MATCH('Master Sheet'!F$7,'Wage Sheet'!$B$7:$AD$7,0),0)</f>
        <v>7108</v>
      </c>
      <c r="G48" s="1">
        <f>VLOOKUP($B48,'Wage Sheet'!$B$7:$AD$148,MATCH('Master Sheet'!G$7,'Wage Sheet'!$B$7:$AD$7,0),0)</f>
        <v>0</v>
      </c>
      <c r="H48" s="1">
        <f>VLOOKUP($B48,'Wage Sheet'!$B$7:$AD$148,MATCH('Master Sheet'!H$7,'Wage Sheet'!$B$7:$AD$7,0),0)</f>
        <v>92</v>
      </c>
      <c r="I48" s="2">
        <f t="shared" si="147"/>
        <v>7200</v>
      </c>
      <c r="J48" s="1">
        <f>VLOOKUP($B48,'Wage Sheet'!$B$7:$AD$148,MATCH('Master Sheet'!J$7,'Wage Sheet'!$B$7:$AD$7,0),0)</f>
        <v>26</v>
      </c>
      <c r="K48" s="8">
        <f>VLOOKUP($B48,'Wage Sheet'!$B$7:$AD$148,MATCH('Master Sheet'!K$7,'Wage Sheet'!$B$7:$AD$7,0),0)</f>
        <v>26</v>
      </c>
      <c r="L48" s="1">
        <f t="shared" si="136"/>
        <v>7107.9999999999991</v>
      </c>
      <c r="M48" s="1">
        <f t="shared" si="137"/>
        <v>0</v>
      </c>
      <c r="N48" s="1">
        <f t="shared" si="150"/>
        <v>92</v>
      </c>
      <c r="O48" s="4">
        <f t="shared" si="148"/>
        <v>7200</v>
      </c>
      <c r="P48" s="5">
        <f t="shared" si="138"/>
        <v>853</v>
      </c>
      <c r="Q48" s="5">
        <f t="shared" si="139"/>
        <v>126</v>
      </c>
      <c r="R48" s="6">
        <f t="shared" si="140"/>
        <v>0</v>
      </c>
      <c r="S48" s="1">
        <v>0</v>
      </c>
      <c r="T48" s="1">
        <v>0</v>
      </c>
      <c r="U48" s="7">
        <f t="shared" si="141"/>
        <v>979</v>
      </c>
      <c r="V48" s="26">
        <f t="shared" si="142"/>
        <v>6221</v>
      </c>
      <c r="W48" s="1">
        <f>VLOOKUP($B48,'Wage Sheet'!$B$7:$AD$148,MATCH('Master Sheet'!W$7,'Wage Sheet'!$B$7:$AD$7,0),0)</f>
        <v>600</v>
      </c>
      <c r="X48" s="26">
        <f t="shared" si="143"/>
        <v>6821</v>
      </c>
      <c r="Y48" s="5">
        <f t="shared" si="151"/>
        <v>7108</v>
      </c>
      <c r="Z48" s="5">
        <f t="shared" si="144"/>
        <v>950</v>
      </c>
      <c r="AA48" s="5">
        <f t="shared" si="149"/>
        <v>7200</v>
      </c>
      <c r="AB48" s="5">
        <f t="shared" si="145"/>
        <v>342</v>
      </c>
      <c r="AC48" s="35">
        <f t="shared" si="146"/>
        <v>9092</v>
      </c>
    </row>
    <row r="49" spans="1:29">
      <c r="A49" s="33">
        <v>42</v>
      </c>
      <c r="B49" s="49" t="str">
        <f>'Wage Sheet'!B106</f>
        <v>PRS/RS-Sundarpur-UP/HK/003</v>
      </c>
      <c r="C49" s="49" t="str">
        <f>VLOOKUP($B49,'Wage Sheet'!$B$7:$AD$148,MATCH('Master Sheet'!C$7,'Wage Sheet'!$B$7:$AD$7,0),0)</f>
        <v>Raju</v>
      </c>
      <c r="D49" s="49" t="str">
        <f>VLOOKUP($B49,'Wage Sheet'!$B$7:$AD$148,MATCH('Master Sheet'!D$7,'Wage Sheet'!$B$7:$AD$7,0),0)</f>
        <v>Housekeeping</v>
      </c>
      <c r="E49" s="49" t="str">
        <f>VLOOKUP($B49,'Wage Sheet'!$B$7:$AD$148,MATCH('Master Sheet'!E$7,'Wage Sheet'!$B$7:$AD$7,0),0)</f>
        <v>RS-Sundarpur-UP</v>
      </c>
      <c r="F49" s="1">
        <f>VLOOKUP($B49,'Wage Sheet'!$B$7:$AD$148,MATCH('Master Sheet'!F$7,'Wage Sheet'!$B$7:$AD$7,0),0)</f>
        <v>7108</v>
      </c>
      <c r="G49" s="1">
        <f>VLOOKUP($B49,'Wage Sheet'!$B$7:$AD$148,MATCH('Master Sheet'!G$7,'Wage Sheet'!$B$7:$AD$7,0),0)</f>
        <v>0</v>
      </c>
      <c r="H49" s="1">
        <f>VLOOKUP($B49,'Wage Sheet'!$B$7:$AD$148,MATCH('Master Sheet'!H$7,'Wage Sheet'!$B$7:$AD$7,0),0)</f>
        <v>92</v>
      </c>
      <c r="I49" s="2">
        <f t="shared" si="147"/>
        <v>7200</v>
      </c>
      <c r="J49" s="1">
        <f>VLOOKUP($B49,'Wage Sheet'!$B$7:$AD$148,MATCH('Master Sheet'!J$7,'Wage Sheet'!$B$7:$AD$7,0),0)</f>
        <v>26</v>
      </c>
      <c r="K49" s="8">
        <f>VLOOKUP($B49,'Wage Sheet'!$B$7:$AD$148,MATCH('Master Sheet'!K$7,'Wage Sheet'!$B$7:$AD$7,0),0)</f>
        <v>28</v>
      </c>
      <c r="L49" s="1">
        <f t="shared" si="136"/>
        <v>7654.7692307692305</v>
      </c>
      <c r="M49" s="1">
        <f t="shared" si="137"/>
        <v>0</v>
      </c>
      <c r="N49" s="1">
        <f t="shared" si="150"/>
        <v>99.076923076923066</v>
      </c>
      <c r="O49" s="4">
        <f t="shared" si="148"/>
        <v>7754</v>
      </c>
      <c r="P49" s="5">
        <f t="shared" si="138"/>
        <v>919</v>
      </c>
      <c r="Q49" s="5">
        <f t="shared" si="139"/>
        <v>136</v>
      </c>
      <c r="R49" s="6">
        <f t="shared" si="140"/>
        <v>0</v>
      </c>
      <c r="S49" s="1">
        <v>0</v>
      </c>
      <c r="T49" s="1">
        <v>0</v>
      </c>
      <c r="U49" s="7">
        <f t="shared" si="141"/>
        <v>1055</v>
      </c>
      <c r="V49" s="26">
        <f t="shared" si="142"/>
        <v>6699</v>
      </c>
      <c r="W49" s="1">
        <f>VLOOKUP($B49,'Wage Sheet'!$B$7:$AD$148,MATCH('Master Sheet'!W$7,'Wage Sheet'!$B$7:$AD$7,0),0)</f>
        <v>646</v>
      </c>
      <c r="X49" s="26">
        <f t="shared" si="143"/>
        <v>7345</v>
      </c>
      <c r="Y49" s="5">
        <f t="shared" si="151"/>
        <v>7655</v>
      </c>
      <c r="Z49" s="5">
        <f t="shared" si="144"/>
        <v>1023</v>
      </c>
      <c r="AA49" s="5">
        <f t="shared" si="149"/>
        <v>7754</v>
      </c>
      <c r="AB49" s="5">
        <f t="shared" si="145"/>
        <v>369</v>
      </c>
      <c r="AC49" s="35">
        <f t="shared" si="146"/>
        <v>9792</v>
      </c>
    </row>
    <row r="50" spans="1:29">
      <c r="A50" s="33">
        <v>43</v>
      </c>
      <c r="B50" s="49" t="str">
        <f>'Wage Sheet'!B110</f>
        <v>PRS/Balasore/HK/001</v>
      </c>
      <c r="C50" s="49" t="str">
        <f>VLOOKUP($B50,'Wage Sheet'!$B$7:$AD$148,MATCH('Master Sheet'!C$7,'Wage Sheet'!$B$7:$AD$7,0),0)</f>
        <v>Satrughana Das</v>
      </c>
      <c r="D50" s="49" t="str">
        <f>VLOOKUP($B50,'Wage Sheet'!$B$7:$AD$148,MATCH('Master Sheet'!D$7,'Wage Sheet'!$B$7:$AD$7,0),0)</f>
        <v>Housekeeping</v>
      </c>
      <c r="E50" s="49" t="str">
        <f>VLOOKUP($B50,'Wage Sheet'!$B$7:$AD$148,MATCH('Master Sheet'!E$7,'Wage Sheet'!$B$7:$AD$7,0),0)</f>
        <v>RS-Balasore</v>
      </c>
      <c r="F50" s="1">
        <f>VLOOKUP($B50,'Wage Sheet'!$B$7:$AD$148,MATCH('Master Sheet'!F$7,'Wage Sheet'!$B$7:$AD$7,0),0)</f>
        <v>4420</v>
      </c>
      <c r="G50" s="1">
        <f>VLOOKUP($B50,'Wage Sheet'!$B$7:$AD$148,MATCH('Master Sheet'!G$7,'Wage Sheet'!$B$7:$AD$7,0),0)</f>
        <v>0</v>
      </c>
      <c r="H50" s="1">
        <f>VLOOKUP($B50,'Wage Sheet'!$B$7:$AD$148,MATCH('Master Sheet'!H$7,'Wage Sheet'!$B$7:$AD$7,0),0)</f>
        <v>780</v>
      </c>
      <c r="I50" s="2">
        <f t="shared" si="147"/>
        <v>5200</v>
      </c>
      <c r="J50" s="1">
        <f>VLOOKUP($B50,'Wage Sheet'!$B$7:$AD$148,MATCH('Master Sheet'!J$7,'Wage Sheet'!$B$7:$AD$7,0),0)</f>
        <v>26</v>
      </c>
      <c r="K50" s="8">
        <f>VLOOKUP($B50,'Wage Sheet'!$B$7:$AD$148,MATCH('Master Sheet'!K$7,'Wage Sheet'!$B$7:$AD$7,0),0)</f>
        <v>28</v>
      </c>
      <c r="L50" s="1">
        <f t="shared" ref="L50:L55" si="152">F50/J50*K50</f>
        <v>4760</v>
      </c>
      <c r="M50" s="1">
        <f t="shared" ref="M50:M55" si="153">G50/J50*K50</f>
        <v>0</v>
      </c>
      <c r="N50" s="1">
        <f t="shared" si="150"/>
        <v>840</v>
      </c>
      <c r="O50" s="4">
        <f t="shared" si="148"/>
        <v>5600</v>
      </c>
      <c r="P50" s="5">
        <f t="shared" ref="P50:P55" si="154">ROUND(Y50*12%,0)</f>
        <v>571</v>
      </c>
      <c r="Q50" s="5">
        <f t="shared" ref="Q50:Q55" si="155">ROUNDUP(AA50*1.75%,0)</f>
        <v>98</v>
      </c>
      <c r="R50" s="6">
        <f t="shared" ref="R50:R55" si="156">IF(O50&gt;40000,200,IF(O50&gt;25000,150,IF(O50&gt;15000,130,IF(O50&gt;10000,110,IF(O50&gt;8500,0,)))))</f>
        <v>0</v>
      </c>
      <c r="S50" s="1">
        <v>0</v>
      </c>
      <c r="T50" s="1">
        <v>0</v>
      </c>
      <c r="U50" s="7">
        <f t="shared" ref="U50:U55" si="157">SUM(P50:T50)</f>
        <v>669</v>
      </c>
      <c r="V50" s="26">
        <f t="shared" ref="V50:V55" si="158">O50-U50</f>
        <v>4931</v>
      </c>
      <c r="W50" s="1">
        <f>VLOOKUP($B50,'Wage Sheet'!$B$7:$AD$148,MATCH('Master Sheet'!W$7,'Wage Sheet'!$B$7:$AD$7,0),0)</f>
        <v>467</v>
      </c>
      <c r="X50" s="26">
        <f t="shared" ref="X50:X55" si="159">V50+W50</f>
        <v>5398</v>
      </c>
      <c r="Y50" s="5">
        <f t="shared" si="151"/>
        <v>4760</v>
      </c>
      <c r="Z50" s="5">
        <f t="shared" ref="Z50:Z55" si="160">ROUND(Y50*13.36%,0)</f>
        <v>636</v>
      </c>
      <c r="AA50" s="5">
        <f t="shared" si="149"/>
        <v>5600</v>
      </c>
      <c r="AB50" s="5">
        <f t="shared" ref="AB50:AB55" si="161">ROUNDUP(AA50*4.75%,0)</f>
        <v>266</v>
      </c>
      <c r="AC50" s="35">
        <f t="shared" si="146"/>
        <v>6969</v>
      </c>
    </row>
    <row r="51" spans="1:29">
      <c r="A51" s="33">
        <v>44</v>
      </c>
      <c r="B51" s="49" t="str">
        <f>'Wage Sheet'!B113</f>
        <v>PRS/Balasore/SG/001</v>
      </c>
      <c r="C51" s="49" t="str">
        <f>VLOOKUP($B51,'Wage Sheet'!$B$7:$AD$148,MATCH('Master Sheet'!C$7,'Wage Sheet'!$B$7:$AD$7,0),0)</f>
        <v>Debesh Das</v>
      </c>
      <c r="D51" s="49" t="str">
        <f>VLOOKUP($B51,'Wage Sheet'!$B$7:$AD$148,MATCH('Master Sheet'!D$7,'Wage Sheet'!$B$7:$AD$7,0),0)</f>
        <v>Security Guard</v>
      </c>
      <c r="E51" s="49" t="str">
        <f>VLOOKUP($B51,'Wage Sheet'!$B$7:$AD$148,MATCH('Master Sheet'!E$7,'Wage Sheet'!$B$7:$AD$7,0),0)</f>
        <v>RS-Balasore</v>
      </c>
      <c r="F51" s="1">
        <f>VLOOKUP($B51,'Wage Sheet'!$B$7:$AD$148,MATCH('Master Sheet'!F$7,'Wage Sheet'!$B$7:$AD$7,0),0)</f>
        <v>4420</v>
      </c>
      <c r="G51" s="1">
        <f>VLOOKUP($B51,'Wage Sheet'!$B$7:$AD$148,MATCH('Master Sheet'!G$7,'Wage Sheet'!$B$7:$AD$7,0),0)</f>
        <v>0</v>
      </c>
      <c r="H51" s="1">
        <f>VLOOKUP($B51,'Wage Sheet'!$B$7:$AD$148,MATCH('Master Sheet'!H$7,'Wage Sheet'!$B$7:$AD$7,0),0)</f>
        <v>1680</v>
      </c>
      <c r="I51" s="2">
        <f t="shared" si="147"/>
        <v>6100</v>
      </c>
      <c r="J51" s="1">
        <f>VLOOKUP($B51,'Wage Sheet'!$B$7:$AD$148,MATCH('Master Sheet'!J$7,'Wage Sheet'!$B$7:$AD$7,0),0)</f>
        <v>26</v>
      </c>
      <c r="K51" s="8">
        <f>VLOOKUP($B51,'Wage Sheet'!$B$7:$AD$148,MATCH('Master Sheet'!K$7,'Wage Sheet'!$B$7:$AD$7,0),0)</f>
        <v>30</v>
      </c>
      <c r="L51" s="1">
        <f t="shared" si="152"/>
        <v>5100</v>
      </c>
      <c r="M51" s="1">
        <f t="shared" si="153"/>
        <v>0</v>
      </c>
      <c r="N51" s="1">
        <f t="shared" si="150"/>
        <v>1938.4615384615383</v>
      </c>
      <c r="O51" s="4">
        <f t="shared" si="148"/>
        <v>7038</v>
      </c>
      <c r="P51" s="5">
        <f t="shared" si="154"/>
        <v>612</v>
      </c>
      <c r="Q51" s="5">
        <f t="shared" si="155"/>
        <v>124</v>
      </c>
      <c r="R51" s="6">
        <f t="shared" si="156"/>
        <v>0</v>
      </c>
      <c r="S51" s="1">
        <v>0</v>
      </c>
      <c r="T51" s="1">
        <v>0</v>
      </c>
      <c r="U51" s="7">
        <f t="shared" si="157"/>
        <v>736</v>
      </c>
      <c r="V51" s="26">
        <f t="shared" si="158"/>
        <v>6302</v>
      </c>
      <c r="W51" s="1">
        <f>VLOOKUP($B51,'Wage Sheet'!$B$7:$AD$148,MATCH('Master Sheet'!W$7,'Wage Sheet'!$B$7:$AD$7,0),0)</f>
        <v>587</v>
      </c>
      <c r="X51" s="26">
        <f t="shared" si="159"/>
        <v>6889</v>
      </c>
      <c r="Y51" s="5">
        <f t="shared" si="151"/>
        <v>5100</v>
      </c>
      <c r="Z51" s="5">
        <f t="shared" si="160"/>
        <v>681</v>
      </c>
      <c r="AA51" s="5">
        <f t="shared" si="149"/>
        <v>7038</v>
      </c>
      <c r="AB51" s="5">
        <f t="shared" si="161"/>
        <v>335</v>
      </c>
      <c r="AC51" s="35">
        <f t="shared" si="146"/>
        <v>8641</v>
      </c>
    </row>
    <row r="52" spans="1:29">
      <c r="A52" s="33">
        <v>45</v>
      </c>
      <c r="B52" s="49" t="str">
        <f>'Wage Sheet'!B117</f>
        <v>PRS/Cuttac/HK/001</v>
      </c>
      <c r="C52" s="49" t="str">
        <f>VLOOKUP($B52,'Wage Sheet'!$B$7:$AD$148,MATCH('Master Sheet'!C$7,'Wage Sheet'!$B$7:$AD$7,0),0)</f>
        <v>Tarunakant Singh</v>
      </c>
      <c r="D52" s="49" t="str">
        <f>VLOOKUP($B52,'Wage Sheet'!$B$7:$AD$148,MATCH('Master Sheet'!D$7,'Wage Sheet'!$B$7:$AD$7,0),0)</f>
        <v>Housekeeping</v>
      </c>
      <c r="E52" s="49" t="str">
        <f>VLOOKUP($B52,'Wage Sheet'!$B$7:$AD$148,MATCH('Master Sheet'!E$7,'Wage Sheet'!$B$7:$AD$7,0),0)</f>
        <v>RS-Cuttac</v>
      </c>
      <c r="F52" s="1">
        <f>VLOOKUP($B52,'Wage Sheet'!$B$7:$AD$148,MATCH('Master Sheet'!F$7,'Wage Sheet'!$B$7:$AD$7,0),0)</f>
        <v>4420</v>
      </c>
      <c r="G52" s="1">
        <f>VLOOKUP($B52,'Wage Sheet'!$B$7:$AD$148,MATCH('Master Sheet'!G$7,'Wage Sheet'!$B$7:$AD$7,0),0)</f>
        <v>0</v>
      </c>
      <c r="H52" s="1">
        <f>VLOOKUP($B52,'Wage Sheet'!$B$7:$AD$148,MATCH('Master Sheet'!H$7,'Wage Sheet'!$B$7:$AD$7,0),0)</f>
        <v>2250</v>
      </c>
      <c r="I52" s="2">
        <f t="shared" ref="I52:I57" si="162">F52+G52+H52</f>
        <v>6670</v>
      </c>
      <c r="J52" s="1">
        <f>VLOOKUP($B52,'Wage Sheet'!$B$7:$AD$148,MATCH('Master Sheet'!J$7,'Wage Sheet'!$B$7:$AD$7,0),0)</f>
        <v>31</v>
      </c>
      <c r="K52" s="8">
        <f>VLOOKUP($B52,'Wage Sheet'!$B$7:$AD$148,MATCH('Master Sheet'!K$7,'Wage Sheet'!$B$7:$AD$7,0),0)</f>
        <v>31</v>
      </c>
      <c r="L52" s="1">
        <f t="shared" si="152"/>
        <v>4420</v>
      </c>
      <c r="M52" s="1">
        <f t="shared" si="153"/>
        <v>0</v>
      </c>
      <c r="N52" s="1">
        <f t="shared" si="150"/>
        <v>2250</v>
      </c>
      <c r="O52" s="4">
        <f t="shared" ref="O52:O57" si="163">ROUND(L52+M52+N52,0)</f>
        <v>6670</v>
      </c>
      <c r="P52" s="5">
        <f t="shared" si="154"/>
        <v>530</v>
      </c>
      <c r="Q52" s="5">
        <f t="shared" si="155"/>
        <v>117</v>
      </c>
      <c r="R52" s="6">
        <f t="shared" si="156"/>
        <v>0</v>
      </c>
      <c r="S52" s="1">
        <v>0</v>
      </c>
      <c r="T52" s="1">
        <v>0</v>
      </c>
      <c r="U52" s="7">
        <f t="shared" si="157"/>
        <v>647</v>
      </c>
      <c r="V52" s="26">
        <f t="shared" si="158"/>
        <v>6023</v>
      </c>
      <c r="W52" s="1">
        <f>VLOOKUP($B52,'Wage Sheet'!$B$7:$AD$148,MATCH('Master Sheet'!W$7,'Wage Sheet'!$B$7:$AD$7,0),0)</f>
        <v>0</v>
      </c>
      <c r="X52" s="26">
        <f t="shared" si="159"/>
        <v>6023</v>
      </c>
      <c r="Y52" s="5">
        <f t="shared" si="151"/>
        <v>4420</v>
      </c>
      <c r="Z52" s="5">
        <f t="shared" si="160"/>
        <v>591</v>
      </c>
      <c r="AA52" s="5">
        <f t="shared" ref="AA52:AA57" si="164">ROUND($I52/$J52*($K52),0)</f>
        <v>6670</v>
      </c>
      <c r="AB52" s="5">
        <f t="shared" si="161"/>
        <v>317</v>
      </c>
      <c r="AC52" s="35">
        <f t="shared" ref="AC52:AC57" si="165">O52+W52+Z52+AB52</f>
        <v>7578</v>
      </c>
    </row>
    <row r="53" spans="1:29">
      <c r="A53" s="33">
        <v>46</v>
      </c>
      <c r="B53" s="49" t="str">
        <f>'Wage Sheet'!B118</f>
        <v>PRS/Cuttac/HK/002</v>
      </c>
      <c r="C53" s="49" t="str">
        <f>VLOOKUP($B53,'Wage Sheet'!$B$7:$AD$148,MATCH('Master Sheet'!C$7,'Wage Sheet'!$B$7:$AD$7,0),0)</f>
        <v>Mormad Kr. Padhi</v>
      </c>
      <c r="D53" s="49" t="str">
        <f>VLOOKUP($B53,'Wage Sheet'!$B$7:$AD$148,MATCH('Master Sheet'!D$7,'Wage Sheet'!$B$7:$AD$7,0),0)</f>
        <v>Housekeeping</v>
      </c>
      <c r="E53" s="49" t="str">
        <f>VLOOKUP($B53,'Wage Sheet'!$B$7:$AD$148,MATCH('Master Sheet'!E$7,'Wage Sheet'!$B$7:$AD$7,0),0)</f>
        <v>RS-Cuttac</v>
      </c>
      <c r="F53" s="1">
        <f>VLOOKUP($B53,'Wage Sheet'!$B$7:$AD$148,MATCH('Master Sheet'!F$7,'Wage Sheet'!$B$7:$AD$7,0),0)</f>
        <v>4420</v>
      </c>
      <c r="G53" s="1">
        <f>VLOOKUP($B53,'Wage Sheet'!$B$7:$AD$148,MATCH('Master Sheet'!G$7,'Wage Sheet'!$B$7:$AD$7,0),0)</f>
        <v>0</v>
      </c>
      <c r="H53" s="1">
        <f>VLOOKUP($B53,'Wage Sheet'!$B$7:$AD$148,MATCH('Master Sheet'!H$7,'Wage Sheet'!$B$7:$AD$7,0),0)</f>
        <v>2250</v>
      </c>
      <c r="I53" s="2">
        <f t="shared" si="162"/>
        <v>6670</v>
      </c>
      <c r="J53" s="1">
        <f>VLOOKUP($B53,'Wage Sheet'!$B$7:$AD$148,MATCH('Master Sheet'!J$7,'Wage Sheet'!$B$7:$AD$7,0),0)</f>
        <v>31</v>
      </c>
      <c r="K53" s="8">
        <f>VLOOKUP($B53,'Wage Sheet'!$B$7:$AD$148,MATCH('Master Sheet'!K$7,'Wage Sheet'!$B$7:$AD$7,0),0)</f>
        <v>31</v>
      </c>
      <c r="L53" s="1">
        <f t="shared" si="152"/>
        <v>4420</v>
      </c>
      <c r="M53" s="1">
        <f t="shared" si="153"/>
        <v>0</v>
      </c>
      <c r="N53" s="1">
        <f t="shared" si="150"/>
        <v>2250</v>
      </c>
      <c r="O53" s="4">
        <f t="shared" si="163"/>
        <v>6670</v>
      </c>
      <c r="P53" s="5">
        <f t="shared" si="154"/>
        <v>530</v>
      </c>
      <c r="Q53" s="5">
        <f t="shared" si="155"/>
        <v>117</v>
      </c>
      <c r="R53" s="6">
        <f t="shared" si="156"/>
        <v>0</v>
      </c>
      <c r="S53" s="1">
        <v>0</v>
      </c>
      <c r="T53" s="1">
        <v>0</v>
      </c>
      <c r="U53" s="7">
        <f t="shared" si="157"/>
        <v>647</v>
      </c>
      <c r="V53" s="26">
        <f t="shared" si="158"/>
        <v>6023</v>
      </c>
      <c r="W53" s="1">
        <f>VLOOKUP($B53,'Wage Sheet'!$B$7:$AD$148,MATCH('Master Sheet'!W$7,'Wage Sheet'!$B$7:$AD$7,0),0)</f>
        <v>0</v>
      </c>
      <c r="X53" s="26">
        <f t="shared" si="159"/>
        <v>6023</v>
      </c>
      <c r="Y53" s="5">
        <f t="shared" si="151"/>
        <v>4420</v>
      </c>
      <c r="Z53" s="5">
        <f t="shared" si="160"/>
        <v>591</v>
      </c>
      <c r="AA53" s="5">
        <f t="shared" si="164"/>
        <v>6670</v>
      </c>
      <c r="AB53" s="5">
        <f t="shared" si="161"/>
        <v>317</v>
      </c>
      <c r="AC53" s="35">
        <f t="shared" si="165"/>
        <v>7578</v>
      </c>
    </row>
    <row r="54" spans="1:29">
      <c r="A54" s="33">
        <v>47</v>
      </c>
      <c r="B54" s="49" t="str">
        <f>'Wage Sheet'!B121</f>
        <v>PRS/Cuttac/SG/001</v>
      </c>
      <c r="C54" s="49" t="str">
        <f>VLOOKUP($B54,'Wage Sheet'!$B$7:$AD$148,MATCH('Master Sheet'!C$7,'Wage Sheet'!$B$7:$AD$7,0),0)</f>
        <v>SK Siraz</v>
      </c>
      <c r="D54" s="49" t="str">
        <f>VLOOKUP($B54,'Wage Sheet'!$B$7:$AD$148,MATCH('Master Sheet'!D$7,'Wage Sheet'!$B$7:$AD$7,0),0)</f>
        <v>Security Guard</v>
      </c>
      <c r="E54" s="49" t="str">
        <f>VLOOKUP($B54,'Wage Sheet'!$B$7:$AD$148,MATCH('Master Sheet'!E$7,'Wage Sheet'!$B$7:$AD$7,0),0)</f>
        <v>RS-Cuttac</v>
      </c>
      <c r="F54" s="1">
        <f>VLOOKUP($B54,'Wage Sheet'!$B$7:$AD$148,MATCH('Master Sheet'!F$7,'Wage Sheet'!$B$7:$AD$7,0),0)</f>
        <v>4420</v>
      </c>
      <c r="G54" s="1">
        <f>VLOOKUP($B54,'Wage Sheet'!$B$7:$AD$148,MATCH('Master Sheet'!G$7,'Wage Sheet'!$B$7:$AD$7,0),0)</f>
        <v>0</v>
      </c>
      <c r="H54" s="1">
        <f>VLOOKUP($B54,'Wage Sheet'!$B$7:$AD$148,MATCH('Master Sheet'!H$7,'Wage Sheet'!$B$7:$AD$7,0),0)</f>
        <v>2250</v>
      </c>
      <c r="I54" s="2">
        <f t="shared" si="162"/>
        <v>6670</v>
      </c>
      <c r="J54" s="1">
        <f>VLOOKUP($B54,'Wage Sheet'!$B$7:$AD$148,MATCH('Master Sheet'!J$7,'Wage Sheet'!$B$7:$AD$7,0),0)</f>
        <v>31</v>
      </c>
      <c r="K54" s="8">
        <f>VLOOKUP($B54,'Wage Sheet'!$B$7:$AD$148,MATCH('Master Sheet'!K$7,'Wage Sheet'!$B$7:$AD$7,0),0)</f>
        <v>31</v>
      </c>
      <c r="L54" s="1">
        <f t="shared" si="152"/>
        <v>4420</v>
      </c>
      <c r="M54" s="1">
        <f t="shared" si="153"/>
        <v>0</v>
      </c>
      <c r="N54" s="1">
        <f t="shared" ref="N54:N59" si="166">H54/$J54*$K54</f>
        <v>2250</v>
      </c>
      <c r="O54" s="4">
        <f t="shared" si="163"/>
        <v>6670</v>
      </c>
      <c r="P54" s="5">
        <f t="shared" si="154"/>
        <v>530</v>
      </c>
      <c r="Q54" s="5">
        <f t="shared" si="155"/>
        <v>117</v>
      </c>
      <c r="R54" s="6">
        <f t="shared" si="156"/>
        <v>0</v>
      </c>
      <c r="S54" s="1">
        <v>0</v>
      </c>
      <c r="T54" s="1">
        <v>0</v>
      </c>
      <c r="U54" s="7">
        <f t="shared" si="157"/>
        <v>647</v>
      </c>
      <c r="V54" s="26">
        <f t="shared" si="158"/>
        <v>6023</v>
      </c>
      <c r="W54" s="1">
        <f>VLOOKUP($B54,'Wage Sheet'!$B$7:$AD$148,MATCH('Master Sheet'!W$7,'Wage Sheet'!$B$7:$AD$7,0),0)</f>
        <v>0</v>
      </c>
      <c r="X54" s="26">
        <f t="shared" si="159"/>
        <v>6023</v>
      </c>
      <c r="Y54" s="5">
        <f t="shared" si="151"/>
        <v>4420</v>
      </c>
      <c r="Z54" s="5">
        <f t="shared" si="160"/>
        <v>591</v>
      </c>
      <c r="AA54" s="5">
        <f t="shared" si="164"/>
        <v>6670</v>
      </c>
      <c r="AB54" s="5">
        <f t="shared" si="161"/>
        <v>317</v>
      </c>
      <c r="AC54" s="35">
        <f t="shared" si="165"/>
        <v>7578</v>
      </c>
    </row>
    <row r="55" spans="1:29">
      <c r="A55" s="33">
        <v>48</v>
      </c>
      <c r="B55" s="49" t="str">
        <f>'Wage Sheet'!B125</f>
        <v>PRS/Giridih/HK/001</v>
      </c>
      <c r="C55" s="49" t="str">
        <f>VLOOKUP($B55,'Wage Sheet'!$B$7:$AD$148,MATCH('Master Sheet'!C$7,'Wage Sheet'!$B$7:$AD$7,0),0)</f>
        <v>Uday Kumar Ram</v>
      </c>
      <c r="D55" s="49" t="str">
        <f>VLOOKUP($B55,'Wage Sheet'!$B$7:$AD$148,MATCH('Master Sheet'!D$7,'Wage Sheet'!$B$7:$AD$7,0),0)</f>
        <v>Housekeeping</v>
      </c>
      <c r="E55" s="49" t="str">
        <f>VLOOKUP($B55,'Wage Sheet'!$B$7:$AD$148,MATCH('Master Sheet'!E$7,'Wage Sheet'!$B$7:$AD$7,0),0)</f>
        <v>RS-Giridih</v>
      </c>
      <c r="F55" s="1">
        <f>VLOOKUP($B55,'Wage Sheet'!$B$7:$AD$148,MATCH('Master Sheet'!F$7,'Wage Sheet'!$B$7:$AD$7,0),0)</f>
        <v>2500</v>
      </c>
      <c r="G55" s="1">
        <f>VLOOKUP($B55,'Wage Sheet'!$B$7:$AD$148,MATCH('Master Sheet'!G$7,'Wage Sheet'!$B$7:$AD$7,0),0)</f>
        <v>0</v>
      </c>
      <c r="H55" s="1">
        <f>VLOOKUP($B55,'Wage Sheet'!$B$7:$AD$148,MATCH('Master Sheet'!H$7,'Wage Sheet'!$B$7:$AD$7,0),0)</f>
        <v>1500</v>
      </c>
      <c r="I55" s="2">
        <f t="shared" si="162"/>
        <v>4000</v>
      </c>
      <c r="J55" s="1">
        <f>VLOOKUP($B55,'Wage Sheet'!$B$7:$AD$148,MATCH('Master Sheet'!J$7,'Wage Sheet'!$B$7:$AD$7,0),0)</f>
        <v>31</v>
      </c>
      <c r="K55" s="8">
        <f>VLOOKUP($B55,'Wage Sheet'!$B$7:$AD$148,MATCH('Master Sheet'!K$7,'Wage Sheet'!$B$7:$AD$7,0),0)</f>
        <v>31</v>
      </c>
      <c r="L55" s="1">
        <f t="shared" si="152"/>
        <v>2500</v>
      </c>
      <c r="M55" s="1">
        <f t="shared" si="153"/>
        <v>0</v>
      </c>
      <c r="N55" s="1">
        <f t="shared" si="166"/>
        <v>1500</v>
      </c>
      <c r="O55" s="4">
        <f t="shared" si="163"/>
        <v>4000</v>
      </c>
      <c r="P55" s="5">
        <f t="shared" si="154"/>
        <v>300</v>
      </c>
      <c r="Q55" s="5">
        <f t="shared" si="155"/>
        <v>70</v>
      </c>
      <c r="R55" s="6">
        <f t="shared" si="156"/>
        <v>0</v>
      </c>
      <c r="S55" s="1">
        <v>0</v>
      </c>
      <c r="T55" s="1">
        <v>0</v>
      </c>
      <c r="U55" s="7">
        <f t="shared" si="157"/>
        <v>370</v>
      </c>
      <c r="V55" s="26">
        <f t="shared" si="158"/>
        <v>3630</v>
      </c>
      <c r="W55" s="1">
        <f>VLOOKUP($B55,'Wage Sheet'!$B$7:$AD$148,MATCH('Master Sheet'!W$7,'Wage Sheet'!$B$7:$AD$7,0),0)</f>
        <v>333</v>
      </c>
      <c r="X55" s="26">
        <f t="shared" si="159"/>
        <v>3963</v>
      </c>
      <c r="Y55" s="5">
        <f t="shared" ref="Y55:Y59" si="167">ROUND(IF(($L55)&gt;15000,15000,IF(($L55)&lt;=15000,($L55))),0)</f>
        <v>2500</v>
      </c>
      <c r="Z55" s="5">
        <f t="shared" si="160"/>
        <v>334</v>
      </c>
      <c r="AA55" s="5">
        <f t="shared" si="164"/>
        <v>4000</v>
      </c>
      <c r="AB55" s="5">
        <f t="shared" si="161"/>
        <v>190</v>
      </c>
      <c r="AC55" s="35">
        <f t="shared" si="165"/>
        <v>4857</v>
      </c>
    </row>
    <row r="56" spans="1:29">
      <c r="A56" s="33">
        <v>49</v>
      </c>
      <c r="B56" s="49" t="str">
        <f>'Wage Sheet'!B129</f>
        <v>PRS/Agartala/HK/001</v>
      </c>
      <c r="C56" s="49" t="str">
        <f>VLOOKUP($B56,'Wage Sheet'!$B$7:$AD$148,MATCH('Master Sheet'!C$7,'Wage Sheet'!$B$7:$AD$7,0),0)</f>
        <v>Sunny Das</v>
      </c>
      <c r="D56" s="49" t="str">
        <f>VLOOKUP($B56,'Wage Sheet'!$B$7:$AD$148,MATCH('Master Sheet'!D$7,'Wage Sheet'!$B$7:$AD$7,0),0)</f>
        <v>Housekeeping</v>
      </c>
      <c r="E56" s="49" t="str">
        <f>VLOOKUP($B56,'Wage Sheet'!$B$7:$AD$148,MATCH('Master Sheet'!E$7,'Wage Sheet'!$B$7:$AD$7,0),0)</f>
        <v>RS-Agartala</v>
      </c>
      <c r="F56" s="1">
        <f>VLOOKUP($B56,'Wage Sheet'!$B$7:$AD$148,MATCH('Master Sheet'!F$7,'Wage Sheet'!$B$7:$AD$7,0),0)</f>
        <v>2450</v>
      </c>
      <c r="G56" s="1">
        <f>VLOOKUP($B56,'Wage Sheet'!$B$7:$AD$148,MATCH('Master Sheet'!G$7,'Wage Sheet'!$B$7:$AD$7,0),0)</f>
        <v>0</v>
      </c>
      <c r="H56" s="1">
        <f>VLOOKUP($B56,'Wage Sheet'!$B$7:$AD$148,MATCH('Master Sheet'!H$7,'Wage Sheet'!$B$7:$AD$7,0),0)</f>
        <v>2450</v>
      </c>
      <c r="I56" s="2">
        <f t="shared" si="162"/>
        <v>4900</v>
      </c>
      <c r="J56" s="1">
        <f>VLOOKUP($B56,'Wage Sheet'!$B$7:$AD$148,MATCH('Master Sheet'!J$7,'Wage Sheet'!$B$7:$AD$7,0),0)</f>
        <v>26</v>
      </c>
      <c r="K56" s="8">
        <f>VLOOKUP($B56,'Wage Sheet'!$B$7:$AD$148,MATCH('Master Sheet'!K$7,'Wage Sheet'!$B$7:$AD$7,0),0)</f>
        <v>26</v>
      </c>
      <c r="L56" s="1">
        <f t="shared" ref="L56:L62" si="168">F56/J56*K56</f>
        <v>2450</v>
      </c>
      <c r="M56" s="1">
        <f t="shared" ref="M56:M62" si="169">G56/J56*K56</f>
        <v>0</v>
      </c>
      <c r="N56" s="1">
        <f t="shared" si="166"/>
        <v>2450</v>
      </c>
      <c r="O56" s="4">
        <f t="shared" si="163"/>
        <v>4900</v>
      </c>
      <c r="P56" s="5">
        <f t="shared" ref="P56:P62" si="170">ROUND(Y56*12%,0)</f>
        <v>294</v>
      </c>
      <c r="Q56" s="5">
        <f t="shared" ref="Q56:Q61" si="171">ROUNDUP(AA56*1.75%,0)</f>
        <v>86</v>
      </c>
      <c r="R56" s="6">
        <f t="shared" ref="R56:R62" si="172">IF(O56&gt;40000,200,IF(O56&gt;25000,150,IF(O56&gt;15000,130,IF(O56&gt;10000,110,IF(O56&gt;8500,0,)))))</f>
        <v>0</v>
      </c>
      <c r="S56" s="1">
        <v>0</v>
      </c>
      <c r="T56" s="1">
        <v>0</v>
      </c>
      <c r="U56" s="7">
        <f t="shared" ref="U56:U62" si="173">SUM(P56:T56)</f>
        <v>380</v>
      </c>
      <c r="V56" s="26">
        <f t="shared" ref="V56:V62" si="174">O56-U56</f>
        <v>4520</v>
      </c>
      <c r="W56" s="1">
        <f>VLOOKUP($B56,'Wage Sheet'!$B$7:$AD$148,MATCH('Master Sheet'!W$7,'Wage Sheet'!$B$7:$AD$7,0),0)</f>
        <v>408</v>
      </c>
      <c r="X56" s="26">
        <f t="shared" ref="X56:X62" si="175">V56+W56</f>
        <v>4928</v>
      </c>
      <c r="Y56" s="5">
        <f t="shared" si="167"/>
        <v>2450</v>
      </c>
      <c r="Z56" s="5">
        <f t="shared" ref="Z56:Z62" si="176">ROUND(Y56*13.36%,0)</f>
        <v>327</v>
      </c>
      <c r="AA56" s="5">
        <f t="shared" si="164"/>
        <v>4900</v>
      </c>
      <c r="AB56" s="5">
        <f t="shared" ref="AB56:AB62" si="177">ROUNDUP(AA56*4.75%,0)</f>
        <v>233</v>
      </c>
      <c r="AC56" s="35">
        <f t="shared" si="165"/>
        <v>5868</v>
      </c>
    </row>
    <row r="57" spans="1:29">
      <c r="A57" s="33">
        <v>50</v>
      </c>
      <c r="B57" s="49" t="str">
        <f>'Wage Sheet'!B132</f>
        <v>PRS/Agartala/SG/01</v>
      </c>
      <c r="C57" s="49" t="str">
        <f>VLOOKUP($B57,'Wage Sheet'!$B$7:$AD$148,MATCH('Master Sheet'!C$7,'Wage Sheet'!$B$7:$AD$7,0),0)</f>
        <v>Gobinda Sinaha</v>
      </c>
      <c r="D57" s="49" t="str">
        <f>VLOOKUP($B57,'Wage Sheet'!$B$7:$AD$148,MATCH('Master Sheet'!D$7,'Wage Sheet'!$B$7:$AD$7,0),0)</f>
        <v>Security Guard</v>
      </c>
      <c r="E57" s="49" t="str">
        <f>VLOOKUP($B57,'Wage Sheet'!$B$7:$AD$148,MATCH('Master Sheet'!E$7,'Wage Sheet'!$B$7:$AD$7,0),0)</f>
        <v>RS-Agartala</v>
      </c>
      <c r="F57" s="1">
        <f>VLOOKUP($B57,'Wage Sheet'!$B$7:$AD$148,MATCH('Master Sheet'!F$7,'Wage Sheet'!$B$7:$AD$7,0),0)</f>
        <v>2713</v>
      </c>
      <c r="G57" s="1">
        <f>VLOOKUP($B57,'Wage Sheet'!$B$7:$AD$148,MATCH('Master Sheet'!G$7,'Wage Sheet'!$B$7:$AD$7,0),0)</f>
        <v>0</v>
      </c>
      <c r="H57" s="1">
        <f>VLOOKUP($B57,'Wage Sheet'!$B$7:$AD$148,MATCH('Master Sheet'!H$7,'Wage Sheet'!$B$7:$AD$7,0),0)</f>
        <v>2712</v>
      </c>
      <c r="I57" s="2">
        <f t="shared" si="162"/>
        <v>5425</v>
      </c>
      <c r="J57" s="1">
        <f>VLOOKUP($B57,'Wage Sheet'!$B$7:$AD$148,MATCH('Master Sheet'!J$7,'Wage Sheet'!$B$7:$AD$7,0),0)</f>
        <v>26</v>
      </c>
      <c r="K57" s="8">
        <f>VLOOKUP($B57,'Wage Sheet'!$B$7:$AD$148,MATCH('Master Sheet'!K$7,'Wage Sheet'!$B$7:$AD$7,0),0)</f>
        <v>26</v>
      </c>
      <c r="L57" s="1">
        <f t="shared" si="168"/>
        <v>2713</v>
      </c>
      <c r="M57" s="1">
        <f t="shared" si="169"/>
        <v>0</v>
      </c>
      <c r="N57" s="1">
        <f t="shared" si="166"/>
        <v>2712</v>
      </c>
      <c r="O57" s="4">
        <f t="shared" si="163"/>
        <v>5425</v>
      </c>
      <c r="P57" s="5">
        <f t="shared" si="170"/>
        <v>326</v>
      </c>
      <c r="Q57" s="5">
        <f t="shared" si="171"/>
        <v>95</v>
      </c>
      <c r="R57" s="6">
        <f t="shared" si="172"/>
        <v>0</v>
      </c>
      <c r="S57" s="1">
        <v>0</v>
      </c>
      <c r="T57" s="1">
        <v>0</v>
      </c>
      <c r="U57" s="7">
        <f t="shared" si="173"/>
        <v>421</v>
      </c>
      <c r="V57" s="26">
        <f t="shared" si="174"/>
        <v>5004</v>
      </c>
      <c r="W57" s="1">
        <f>VLOOKUP($B57,'Wage Sheet'!$B$7:$AD$148,MATCH('Master Sheet'!W$7,'Wage Sheet'!$B$7:$AD$7,0),0)</f>
        <v>452</v>
      </c>
      <c r="X57" s="26">
        <f t="shared" si="175"/>
        <v>5456</v>
      </c>
      <c r="Y57" s="5">
        <f t="shared" si="167"/>
        <v>2713</v>
      </c>
      <c r="Z57" s="5">
        <f t="shared" si="176"/>
        <v>362</v>
      </c>
      <c r="AA57" s="5">
        <f t="shared" si="164"/>
        <v>5425</v>
      </c>
      <c r="AB57" s="5">
        <f t="shared" si="177"/>
        <v>258</v>
      </c>
      <c r="AC57" s="35">
        <f t="shared" si="165"/>
        <v>6497</v>
      </c>
    </row>
    <row r="58" spans="1:29">
      <c r="A58" s="33">
        <v>51</v>
      </c>
      <c r="B58" s="49" t="str">
        <f>'Wage Sheet'!B136</f>
        <v>PRS/SP/SG/001</v>
      </c>
      <c r="C58" s="49" t="str">
        <f>VLOOKUP($B58,'Wage Sheet'!$B$7:$AD$148,MATCH('Master Sheet'!C$7,'Wage Sheet'!$B$7:$AD$7,0),0)</f>
        <v>Arindam Bhattachary</v>
      </c>
      <c r="D58" s="49" t="str">
        <f>VLOOKUP($B58,'Wage Sheet'!$B$7:$AD$148,MATCH('Master Sheet'!D$7,'Wage Sheet'!$B$7:$AD$7,0),0)</f>
        <v>Security Guard</v>
      </c>
      <c r="E58" s="49" t="str">
        <f>VLOOKUP($B58,'Wage Sheet'!$B$7:$AD$148,MATCH('Master Sheet'!E$7,'Wage Sheet'!$B$7:$AD$7,0),0)</f>
        <v>S. Pansari Shop</v>
      </c>
      <c r="F58" s="1">
        <f>VLOOKUP($B58,'Wage Sheet'!$B$7:$AD$148,MATCH('Master Sheet'!F$7,'Wage Sheet'!$B$7:$AD$7,0),0)</f>
        <v>7546</v>
      </c>
      <c r="G58" s="1">
        <f>VLOOKUP($B58,'Wage Sheet'!$B$7:$AD$148,MATCH('Master Sheet'!G$7,'Wage Sheet'!$B$7:$AD$7,0),0)</f>
        <v>0</v>
      </c>
      <c r="H58" s="1">
        <f>VLOOKUP($B58,'Wage Sheet'!$B$7:$AD$148,MATCH('Master Sheet'!H$7,'Wage Sheet'!$B$7:$AD$7,0),0)</f>
        <v>2554</v>
      </c>
      <c r="I58" s="2">
        <f t="shared" ref="I58:I62" si="178">F58+G58+H58</f>
        <v>10100</v>
      </c>
      <c r="J58" s="1">
        <f>VLOOKUP($B58,'Wage Sheet'!$B$7:$AD$148,MATCH('Master Sheet'!J$7,'Wage Sheet'!$B$7:$AD$7,0),0)</f>
        <v>26</v>
      </c>
      <c r="K58" s="8">
        <f>VLOOKUP($B58,'Wage Sheet'!$B$7:$AD$148,MATCH('Master Sheet'!K$7,'Wage Sheet'!$B$7:$AD$7,0),0)</f>
        <v>29</v>
      </c>
      <c r="L58" s="1">
        <f t="shared" si="168"/>
        <v>8416.6923076923067</v>
      </c>
      <c r="M58" s="1">
        <f t="shared" si="169"/>
        <v>0</v>
      </c>
      <c r="N58" s="1">
        <f t="shared" si="166"/>
        <v>2848.6923076923076</v>
      </c>
      <c r="O58" s="4">
        <f t="shared" ref="O58:O62" si="179">ROUND(L58+M58+N58,0)</f>
        <v>11265</v>
      </c>
      <c r="P58" s="5">
        <f t="shared" si="170"/>
        <v>1010</v>
      </c>
      <c r="Q58" s="5">
        <f t="shared" si="171"/>
        <v>198</v>
      </c>
      <c r="R58" s="6">
        <f t="shared" si="172"/>
        <v>110</v>
      </c>
      <c r="S58" s="1">
        <v>0</v>
      </c>
      <c r="T58" s="1">
        <v>0</v>
      </c>
      <c r="U58" s="7">
        <f t="shared" si="173"/>
        <v>1318</v>
      </c>
      <c r="V58" s="26">
        <f t="shared" si="174"/>
        <v>9947</v>
      </c>
      <c r="W58" s="1">
        <f>VLOOKUP($B58,'Wage Sheet'!$B$7:$AD$148,MATCH('Master Sheet'!W$7,'Wage Sheet'!$B$7:$AD$7,0),0)</f>
        <v>701</v>
      </c>
      <c r="X58" s="26">
        <f t="shared" si="175"/>
        <v>10648</v>
      </c>
      <c r="Y58" s="5">
        <f t="shared" si="167"/>
        <v>8417</v>
      </c>
      <c r="Z58" s="5">
        <f t="shared" si="176"/>
        <v>1125</v>
      </c>
      <c r="AA58" s="5">
        <f t="shared" ref="AA58:AA62" si="180">ROUND($I58/$J58*($K58),0)</f>
        <v>11265</v>
      </c>
      <c r="AB58" s="5">
        <f t="shared" si="177"/>
        <v>536</v>
      </c>
      <c r="AC58" s="35">
        <f t="shared" ref="AC58:AC62" si="181">O58+W58+Z58+AB58</f>
        <v>13627</v>
      </c>
    </row>
    <row r="59" spans="1:29">
      <c r="A59" s="33">
        <v>52</v>
      </c>
      <c r="B59" s="49" t="str">
        <f>'Wage Sheet'!B137</f>
        <v>PRS/SP/SG/002</v>
      </c>
      <c r="C59" s="49" t="str">
        <f>VLOOKUP($B59,'Wage Sheet'!$B$7:$AD$148,MATCH('Master Sheet'!C$7,'Wage Sheet'!$B$7:$AD$7,0),0)</f>
        <v>Tapas Goon</v>
      </c>
      <c r="D59" s="49" t="str">
        <f>VLOOKUP($B59,'Wage Sheet'!$B$7:$AD$148,MATCH('Master Sheet'!D$7,'Wage Sheet'!$B$7:$AD$7,0),0)</f>
        <v>Security Guard</v>
      </c>
      <c r="E59" s="49" t="str">
        <f>VLOOKUP($B59,'Wage Sheet'!$B$7:$AD$148,MATCH('Master Sheet'!E$7,'Wage Sheet'!$B$7:$AD$7,0),0)</f>
        <v>S. Pansari Shop</v>
      </c>
      <c r="F59" s="1">
        <f>VLOOKUP($B59,'Wage Sheet'!$B$7:$AD$148,MATCH('Master Sheet'!F$7,'Wage Sheet'!$B$7:$AD$7,0),0)</f>
        <v>7546</v>
      </c>
      <c r="G59" s="1">
        <f>VLOOKUP($B59,'Wage Sheet'!$B$7:$AD$148,MATCH('Master Sheet'!G$7,'Wage Sheet'!$B$7:$AD$7,0),0)</f>
        <v>0</v>
      </c>
      <c r="H59" s="1">
        <f>VLOOKUP($B59,'Wage Sheet'!$B$7:$AD$148,MATCH('Master Sheet'!H$7,'Wage Sheet'!$B$7:$AD$7,0),0)</f>
        <v>2554</v>
      </c>
      <c r="I59" s="2">
        <f t="shared" si="178"/>
        <v>10100</v>
      </c>
      <c r="J59" s="1">
        <f>VLOOKUP($B59,'Wage Sheet'!$B$7:$AD$148,MATCH('Master Sheet'!J$7,'Wage Sheet'!$B$7:$AD$7,0),0)</f>
        <v>26</v>
      </c>
      <c r="K59" s="8">
        <f>VLOOKUP($B59,'Wage Sheet'!$B$7:$AD$148,MATCH('Master Sheet'!K$7,'Wage Sheet'!$B$7:$AD$7,0),0)</f>
        <v>2</v>
      </c>
      <c r="L59" s="1">
        <f t="shared" si="168"/>
        <v>580.46153846153845</v>
      </c>
      <c r="M59" s="1">
        <f t="shared" si="169"/>
        <v>0</v>
      </c>
      <c r="N59" s="1">
        <f t="shared" si="166"/>
        <v>196.46153846153845</v>
      </c>
      <c r="O59" s="4">
        <f t="shared" si="179"/>
        <v>777</v>
      </c>
      <c r="P59" s="5">
        <f t="shared" si="170"/>
        <v>70</v>
      </c>
      <c r="Q59" s="5">
        <f t="shared" si="171"/>
        <v>14</v>
      </c>
      <c r="R59" s="6">
        <f t="shared" si="172"/>
        <v>0</v>
      </c>
      <c r="S59" s="1">
        <v>0</v>
      </c>
      <c r="T59" s="1">
        <v>0</v>
      </c>
      <c r="U59" s="7">
        <f t="shared" si="173"/>
        <v>84</v>
      </c>
      <c r="V59" s="26">
        <f t="shared" si="174"/>
        <v>693</v>
      </c>
      <c r="W59" s="1">
        <f>VLOOKUP($B59,'Wage Sheet'!$B$7:$AD$148,MATCH('Master Sheet'!W$7,'Wage Sheet'!$B$7:$AD$7,0),0)</f>
        <v>65</v>
      </c>
      <c r="X59" s="26">
        <f t="shared" si="175"/>
        <v>758</v>
      </c>
      <c r="Y59" s="5">
        <f t="shared" si="167"/>
        <v>580</v>
      </c>
      <c r="Z59" s="5">
        <f t="shared" si="176"/>
        <v>77</v>
      </c>
      <c r="AA59" s="5">
        <f t="shared" si="180"/>
        <v>777</v>
      </c>
      <c r="AB59" s="5">
        <f t="shared" si="177"/>
        <v>37</v>
      </c>
      <c r="AC59" s="35">
        <f t="shared" si="181"/>
        <v>956</v>
      </c>
    </row>
    <row r="60" spans="1:29">
      <c r="A60" s="33">
        <v>53</v>
      </c>
      <c r="B60" s="49" t="str">
        <f>'Wage Sheet'!B140</f>
        <v>PRS/SP/HK/001</v>
      </c>
      <c r="C60" s="49" t="str">
        <f>VLOOKUP($B60,'Wage Sheet'!$B$7:$AD$148,MATCH('Master Sheet'!C$7,'Wage Sheet'!$B$7:$AD$7,0),0)</f>
        <v>Ajay Sadhukhan</v>
      </c>
      <c r="D60" s="49" t="str">
        <f>VLOOKUP($B60,'Wage Sheet'!$B$7:$AD$148,MATCH('Master Sheet'!D$7,'Wage Sheet'!$B$7:$AD$7,0),0)</f>
        <v>Housekeeping</v>
      </c>
      <c r="E60" s="49" t="str">
        <f>VLOOKUP($B60,'Wage Sheet'!$B$7:$AD$148,MATCH('Master Sheet'!E$7,'Wage Sheet'!$B$7:$AD$7,0),0)</f>
        <v>S. Pansari Shop</v>
      </c>
      <c r="F60" s="1">
        <f>VLOOKUP($B60,'Wage Sheet'!$B$7:$AD$148,MATCH('Master Sheet'!F$7,'Wage Sheet'!$B$7:$AD$7,0),0)</f>
        <v>5509</v>
      </c>
      <c r="G60" s="1">
        <f>VLOOKUP($B60,'Wage Sheet'!$B$7:$AD$148,MATCH('Master Sheet'!G$7,'Wage Sheet'!$B$7:$AD$7,0),0)</f>
        <v>2361</v>
      </c>
      <c r="H60" s="1">
        <f>VLOOKUP($B60,'Wage Sheet'!$B$7:$AD$148,MATCH('Master Sheet'!H$7,'Wage Sheet'!$B$7:$AD$7,0),0)</f>
        <v>0</v>
      </c>
      <c r="I60" s="2">
        <f t="shared" ref="I60" si="182">F60+G60+H60</f>
        <v>7870</v>
      </c>
      <c r="J60" s="1">
        <f>VLOOKUP($B60,'Wage Sheet'!$B$7:$AD$148,MATCH('Master Sheet'!J$7,'Wage Sheet'!$B$7:$AD$7,0),0)</f>
        <v>26</v>
      </c>
      <c r="K60" s="8">
        <f>VLOOKUP($B60,'Wage Sheet'!$B$7:$AD$148,MATCH('Master Sheet'!K$7,'Wage Sheet'!$B$7:$AD$7,0),0)</f>
        <v>1</v>
      </c>
      <c r="L60" s="1">
        <f t="shared" ref="L60" si="183">F60/J60*K60</f>
        <v>211.88461538461539</v>
      </c>
      <c r="M60" s="1">
        <f t="shared" ref="M60" si="184">G60/J60*K60</f>
        <v>90.807692307692307</v>
      </c>
      <c r="N60" s="1">
        <f t="shared" ref="N60" si="185">H60/$J60*$K60</f>
        <v>0</v>
      </c>
      <c r="O60" s="4">
        <f t="shared" ref="O60" si="186">ROUND(L60+M60+N60,0)</f>
        <v>303</v>
      </c>
      <c r="P60" s="5">
        <f t="shared" ref="P60" si="187">ROUND(Y60*12%,0)</f>
        <v>25</v>
      </c>
      <c r="Q60" s="5">
        <f t="shared" ref="Q60" si="188">ROUNDUP(AA60*1.75%,0)</f>
        <v>6</v>
      </c>
      <c r="R60" s="6">
        <f t="shared" ref="R60" si="189">IF(O60&gt;40000,200,IF(O60&gt;25000,150,IF(O60&gt;15000,130,IF(O60&gt;10000,110,IF(O60&gt;8500,0,)))))</f>
        <v>0</v>
      </c>
      <c r="S60" s="1">
        <v>0</v>
      </c>
      <c r="T60" s="1">
        <v>0</v>
      </c>
      <c r="U60" s="7">
        <f t="shared" ref="U60" si="190">SUM(P60:T60)</f>
        <v>31</v>
      </c>
      <c r="V60" s="26">
        <f t="shared" ref="V60" si="191">O60-U60</f>
        <v>272</v>
      </c>
      <c r="W60" s="1">
        <f>VLOOKUP($B60,'Wage Sheet'!$B$7:$AD$148,MATCH('Master Sheet'!W$7,'Wage Sheet'!$B$7:$AD$7,0),0)</f>
        <v>18</v>
      </c>
      <c r="X60" s="26">
        <f t="shared" ref="X60" si="192">V60+W60</f>
        <v>290</v>
      </c>
      <c r="Y60" s="5">
        <f t="shared" ref="Y60:Y62" si="193">ROUND(IF(($L60)&gt;15000,15000,IF(($L60)&lt;=15000,($L60))),0)</f>
        <v>212</v>
      </c>
      <c r="Z60" s="5">
        <f t="shared" ref="Z60" si="194">ROUND(Y60*13.36%,0)</f>
        <v>28</v>
      </c>
      <c r="AA60" s="5">
        <f t="shared" si="180"/>
        <v>303</v>
      </c>
      <c r="AB60" s="5">
        <f t="shared" ref="AB60" si="195">ROUNDUP(AA60*4.75%,0)</f>
        <v>15</v>
      </c>
      <c r="AC60" s="35">
        <f t="shared" ref="AC60" si="196">O60+W60+Z60+AB60</f>
        <v>364</v>
      </c>
    </row>
    <row r="61" spans="1:29">
      <c r="A61" s="33">
        <v>54</v>
      </c>
      <c r="B61" s="49" t="str">
        <f>'Wage Sheet'!B144</f>
        <v>PRS/Sukriti/SG/001</v>
      </c>
      <c r="C61" s="49" t="str">
        <f>VLOOKUP($B61,'Wage Sheet'!$B$7:$AD$148,MATCH('Master Sheet'!C$7,'Wage Sheet'!$B$7:$AD$7,0),0)</f>
        <v>Santosh Thakur</v>
      </c>
      <c r="D61" s="49" t="str">
        <f>VLOOKUP($B61,'Wage Sheet'!$B$7:$AD$148,MATCH('Master Sheet'!D$7,'Wage Sheet'!$B$7:$AD$7,0),0)</f>
        <v>Security Guard</v>
      </c>
      <c r="E61" s="49" t="str">
        <f>VLOOKUP($B61,'Wage Sheet'!$B$7:$AD$148,MATCH('Master Sheet'!E$7,'Wage Sheet'!$B$7:$AD$7,0),0)</f>
        <v>Primarc Sukriti</v>
      </c>
      <c r="F61" s="1">
        <f>VLOOKUP($B61,'Wage Sheet'!$B$7:$AD$148,MATCH('Master Sheet'!F$7,'Wage Sheet'!$B$7:$AD$7,0),0)</f>
        <v>2800</v>
      </c>
      <c r="G61" s="1">
        <f>VLOOKUP($B61,'Wage Sheet'!$B$7:$AD$148,MATCH('Master Sheet'!G$7,'Wage Sheet'!$B$7:$AD$7,0),0)</f>
        <v>0</v>
      </c>
      <c r="H61" s="1">
        <f>VLOOKUP($B61,'Wage Sheet'!$B$7:$AD$148,MATCH('Master Sheet'!H$7,'Wage Sheet'!$B$7:$AD$7,0),0)</f>
        <v>2700</v>
      </c>
      <c r="I61" s="2">
        <f t="shared" si="178"/>
        <v>5500</v>
      </c>
      <c r="J61" s="1">
        <f>VLOOKUP($B61,'Wage Sheet'!$B$7:$AD$148,MATCH('Master Sheet'!J$7,'Wage Sheet'!$B$7:$AD$7,0),0)</f>
        <v>26</v>
      </c>
      <c r="K61" s="8">
        <f>VLOOKUP($B61,'Wage Sheet'!$B$7:$AD$148,MATCH('Master Sheet'!K$7,'Wage Sheet'!$B$7:$AD$7,0),0)</f>
        <v>31</v>
      </c>
      <c r="L61" s="1">
        <f t="shared" si="168"/>
        <v>3338.4615384615386</v>
      </c>
      <c r="M61" s="1">
        <f t="shared" si="169"/>
        <v>0</v>
      </c>
      <c r="N61" s="1">
        <f t="shared" ref="N61:N62" si="197">H61/$J61*$K61</f>
        <v>3219.2307692307691</v>
      </c>
      <c r="O61" s="4">
        <f t="shared" si="179"/>
        <v>6558</v>
      </c>
      <c r="P61" s="5">
        <f t="shared" si="170"/>
        <v>401</v>
      </c>
      <c r="Q61" s="5">
        <f t="shared" si="171"/>
        <v>115</v>
      </c>
      <c r="R61" s="6">
        <f t="shared" si="172"/>
        <v>0</v>
      </c>
      <c r="S61" s="1">
        <v>0</v>
      </c>
      <c r="T61" s="1">
        <v>0</v>
      </c>
      <c r="U61" s="7">
        <f t="shared" si="173"/>
        <v>516</v>
      </c>
      <c r="V61" s="26">
        <f t="shared" si="174"/>
        <v>6042</v>
      </c>
      <c r="W61" s="1">
        <f>VLOOKUP($B61,'Wage Sheet'!$B$7:$AD$148,MATCH('Master Sheet'!W$7,'Wage Sheet'!$B$7:$AD$7,0),0)</f>
        <v>546</v>
      </c>
      <c r="X61" s="26">
        <f t="shared" si="175"/>
        <v>6588</v>
      </c>
      <c r="Y61" s="5">
        <f t="shared" si="193"/>
        <v>3338</v>
      </c>
      <c r="Z61" s="5">
        <f t="shared" si="176"/>
        <v>446</v>
      </c>
      <c r="AA61" s="5">
        <f t="shared" si="180"/>
        <v>6558</v>
      </c>
      <c r="AB61" s="5">
        <f t="shared" si="177"/>
        <v>312</v>
      </c>
      <c r="AC61" s="35">
        <f t="shared" si="181"/>
        <v>7862</v>
      </c>
    </row>
    <row r="62" spans="1:29">
      <c r="A62" s="33">
        <v>55</v>
      </c>
      <c r="B62" s="49" t="str">
        <f>'Wage Sheet'!B145</f>
        <v>PRS/Sukriti/SG/002</v>
      </c>
      <c r="C62" s="49" t="str">
        <f>VLOOKUP($B62,'Wage Sheet'!$B$7:$AD$148,MATCH('Master Sheet'!C$7,'Wage Sheet'!$B$7:$AD$7,0),0)</f>
        <v>Rabiul Saddar</v>
      </c>
      <c r="D62" s="49" t="str">
        <f>VLOOKUP($B62,'Wage Sheet'!$B$7:$AD$148,MATCH('Master Sheet'!D$7,'Wage Sheet'!$B$7:$AD$7,0),0)</f>
        <v>Security Guard</v>
      </c>
      <c r="E62" s="49" t="str">
        <f>VLOOKUP($B62,'Wage Sheet'!$B$7:$AD$148,MATCH('Master Sheet'!E$7,'Wage Sheet'!$B$7:$AD$7,0),0)</f>
        <v>Primarc Sukriti</v>
      </c>
      <c r="F62" s="1">
        <f>VLOOKUP($B62,'Wage Sheet'!$B$7:$AD$148,MATCH('Master Sheet'!F$7,'Wage Sheet'!$B$7:$AD$7,0),0)</f>
        <v>2800</v>
      </c>
      <c r="G62" s="1">
        <f>VLOOKUP($B62,'Wage Sheet'!$B$7:$AD$148,MATCH('Master Sheet'!G$7,'Wage Sheet'!$B$7:$AD$7,0),0)</f>
        <v>0</v>
      </c>
      <c r="H62" s="1">
        <f>VLOOKUP($B62,'Wage Sheet'!$B$7:$AD$148,MATCH('Master Sheet'!H$7,'Wage Sheet'!$B$7:$AD$7,0),0)</f>
        <v>2700</v>
      </c>
      <c r="I62" s="2">
        <f t="shared" si="178"/>
        <v>5500</v>
      </c>
      <c r="J62" s="1">
        <f>VLOOKUP($B62,'Wage Sheet'!$B$7:$AD$148,MATCH('Master Sheet'!J$7,'Wage Sheet'!$B$7:$AD$7,0),0)</f>
        <v>26</v>
      </c>
      <c r="K62" s="8">
        <f>VLOOKUP($B62,'Wage Sheet'!$B$7:$AD$148,MATCH('Master Sheet'!K$7,'Wage Sheet'!$B$7:$AD$7,0),0)</f>
        <v>30</v>
      </c>
      <c r="L62" s="1">
        <f t="shared" si="168"/>
        <v>3230.7692307692309</v>
      </c>
      <c r="M62" s="1">
        <f t="shared" si="169"/>
        <v>0</v>
      </c>
      <c r="N62" s="1">
        <f t="shared" si="197"/>
        <v>3115.3846153846152</v>
      </c>
      <c r="O62" s="4">
        <f t="shared" si="179"/>
        <v>6346</v>
      </c>
      <c r="P62" s="5">
        <f t="shared" si="170"/>
        <v>388</v>
      </c>
      <c r="Q62" s="5">
        <f>ROUNDUP(AA62*1.75%,0)</f>
        <v>112</v>
      </c>
      <c r="R62" s="6">
        <f t="shared" si="172"/>
        <v>0</v>
      </c>
      <c r="S62" s="1">
        <v>0</v>
      </c>
      <c r="T62" s="1">
        <v>0</v>
      </c>
      <c r="U62" s="7">
        <f t="shared" si="173"/>
        <v>500</v>
      </c>
      <c r="V62" s="26">
        <f t="shared" si="174"/>
        <v>5846</v>
      </c>
      <c r="W62" s="1">
        <f>VLOOKUP($B62,'Wage Sheet'!$B$7:$AD$148,MATCH('Master Sheet'!W$7,'Wage Sheet'!$B$7:$AD$7,0),0)</f>
        <v>529</v>
      </c>
      <c r="X62" s="26">
        <f t="shared" si="175"/>
        <v>6375</v>
      </c>
      <c r="Y62" s="5">
        <f t="shared" si="193"/>
        <v>3231</v>
      </c>
      <c r="Z62" s="5">
        <f t="shared" si="176"/>
        <v>432</v>
      </c>
      <c r="AA62" s="5">
        <f t="shared" si="180"/>
        <v>6346</v>
      </c>
      <c r="AB62" s="5">
        <f t="shared" si="177"/>
        <v>302</v>
      </c>
      <c r="AC62" s="35">
        <f t="shared" si="181"/>
        <v>7609</v>
      </c>
    </row>
  </sheetData>
  <autoFilter ref="B7:AC62"/>
  <sortState ref="A6:AE54">
    <sortCondition ref="B6:B54"/>
  </sortState>
  <mergeCells count="7">
    <mergeCell ref="A6:B6"/>
    <mergeCell ref="C6:J6"/>
    <mergeCell ref="A1:X1"/>
    <mergeCell ref="A2:X2"/>
    <mergeCell ref="A3:X3"/>
    <mergeCell ref="A5:B5"/>
    <mergeCell ref="C5:J5"/>
  </mergeCells>
  <printOptions horizontalCentered="1"/>
  <pageMargins left="0" right="0" top="0.23" bottom="0" header="0" footer="0"/>
  <pageSetup paperSize="9" scale="65" orientation="landscape" copies="2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B3:J27"/>
  <sheetViews>
    <sheetView view="pageBreakPreview" zoomScaleNormal="100" zoomScaleSheetLayoutView="100" workbookViewId="0">
      <selection activeCell="C10" sqref="C10"/>
    </sheetView>
  </sheetViews>
  <sheetFormatPr defaultRowHeight="15"/>
  <cols>
    <col min="1" max="1" width="9.140625" style="18"/>
    <col min="2" max="2" width="19.85546875" style="18" bestFit="1" customWidth="1"/>
    <col min="3" max="3" width="27.85546875" style="18" bestFit="1" customWidth="1"/>
    <col min="4" max="4" width="15.7109375" style="18" customWidth="1"/>
    <col min="5" max="5" width="24.42578125" style="18" bestFit="1" customWidth="1"/>
    <col min="6" max="6" width="14" style="18" customWidth="1"/>
    <col min="7" max="7" width="9.140625" style="18"/>
    <col min="8" max="8" width="16.7109375" style="18" bestFit="1" customWidth="1"/>
    <col min="9" max="9" width="25.7109375" style="18" customWidth="1"/>
    <col min="10" max="16384" width="9.140625" style="18"/>
  </cols>
  <sheetData>
    <row r="3" spans="2:10" ht="28.5">
      <c r="B3" s="139" t="s">
        <v>43</v>
      </c>
      <c r="C3" s="140"/>
      <c r="D3" s="140"/>
      <c r="E3" s="140"/>
      <c r="F3" s="141"/>
    </row>
    <row r="4" spans="2:10" ht="16.5">
      <c r="B4" s="146" t="s">
        <v>39</v>
      </c>
      <c r="C4" s="147"/>
      <c r="D4" s="147"/>
      <c r="E4" s="147"/>
      <c r="F4" s="148"/>
    </row>
    <row r="5" spans="2:10" ht="15" customHeight="1">
      <c r="B5" s="75"/>
      <c r="C5" s="64"/>
      <c r="D5" s="64"/>
      <c r="E5" s="64"/>
      <c r="F5" s="76"/>
    </row>
    <row r="6" spans="2:10" ht="21" customHeight="1">
      <c r="B6" s="142" t="str">
        <f>"Payslip for the month of "&amp;""&amp;TEXT(I10,"mmmm yyyy")&amp;""</f>
        <v>Payslip for the month of March 2017</v>
      </c>
      <c r="C6" s="143"/>
      <c r="D6" s="143"/>
      <c r="E6" s="143"/>
      <c r="F6" s="144"/>
      <c r="H6" s="43"/>
      <c r="I6" s="43"/>
    </row>
    <row r="7" spans="2:10">
      <c r="B7" s="77" t="s">
        <v>36</v>
      </c>
      <c r="C7" s="145" t="str">
        <f>VLOOKUP($C$9,'Client Name &amp; Address'!$C$2:$E$38,MATCH(Payslip!B7,'Client Name &amp; Address'!$C$2:$E$2,0),0)</f>
        <v>Primarc Retail Store Pvt. Ltd.</v>
      </c>
      <c r="D7" s="145"/>
      <c r="E7" s="145"/>
      <c r="F7" s="149"/>
    </row>
    <row r="8" spans="2:10">
      <c r="B8" s="78" t="s">
        <v>52</v>
      </c>
      <c r="C8" s="145" t="str">
        <f>VLOOKUP($C$9,'Client Name &amp; Address'!$C$2:$E$38,MATCH(Payslip!B8,'Client Name &amp; Address'!$C$2:$E$2,0),0)</f>
        <v>18, Rabindra Sarani, Kolkata - 700 001</v>
      </c>
      <c r="D8" s="145"/>
      <c r="E8" s="145"/>
      <c r="F8" s="149"/>
    </row>
    <row r="9" spans="2:10" ht="27" customHeight="1">
      <c r="B9" s="79" t="s">
        <v>53</v>
      </c>
      <c r="C9" s="131" t="str">
        <f>VLOOKUP(I12,'Client Name &amp; Address'!$B$2:$H$37,MATCH(Payslip!B9,'Client Name &amp; Address'!$B$2:$H$2,0),0)</f>
        <v>Surabhi Pansari, 12, Lowdown Street, Kolkata</v>
      </c>
      <c r="D9" s="131"/>
      <c r="E9" s="131"/>
      <c r="F9" s="132"/>
      <c r="J9" s="50"/>
    </row>
    <row r="10" spans="2:10">
      <c r="B10" s="77" t="s">
        <v>51</v>
      </c>
      <c r="C10" s="51" t="s">
        <v>249</v>
      </c>
      <c r="D10" s="51"/>
      <c r="E10" s="52" t="s">
        <v>11</v>
      </c>
      <c r="F10" s="66">
        <f>VLOOKUP($C$10,'Master Sheet'!$B$7:$AC$67,MATCH(E10,'Master Sheet'!$B$7:$AC$7,0),0)</f>
        <v>28</v>
      </c>
      <c r="H10" s="43" t="s">
        <v>44</v>
      </c>
      <c r="I10" s="44">
        <v>42795</v>
      </c>
    </row>
    <row r="11" spans="2:10">
      <c r="B11" s="78" t="s">
        <v>1</v>
      </c>
      <c r="C11" s="145" t="str">
        <f>VLOOKUP($C$10,'Master Sheet'!$B$7:$AC$67,MATCH(B11,'Master Sheet'!$B$7:$AC$7,0),0)</f>
        <v>Ajay Sadhukhan</v>
      </c>
      <c r="D11" s="145"/>
      <c r="E11" s="46" t="s">
        <v>13</v>
      </c>
      <c r="F11" s="81">
        <f>VLOOKUP($C$10,'Master Sheet'!$B$7:$AC$67,MATCH(E11,'Master Sheet'!$B$7:$AC$7,0),0)</f>
        <v>15</v>
      </c>
      <c r="H11" s="43" t="s">
        <v>6</v>
      </c>
      <c r="I11" s="43">
        <f>DAY(EOMONTH(I10,0))</f>
        <v>31</v>
      </c>
    </row>
    <row r="12" spans="2:10">
      <c r="B12" s="78" t="s">
        <v>2</v>
      </c>
      <c r="C12" s="145" t="str">
        <f>VLOOKUP($C$10,'Master Sheet'!$B$7:$AC$67,MATCH(B12,'Master Sheet'!$B$7:$AC$7,0),0)</f>
        <v>Housekeeping</v>
      </c>
      <c r="D12" s="145"/>
      <c r="E12" s="46"/>
      <c r="F12" s="82"/>
      <c r="H12" s="18" t="s">
        <v>38</v>
      </c>
      <c r="I12" s="93" t="str">
        <f>VLOOKUP($C$10,'Master Sheet'!$B$7:$AC$67,MATCH(H12,'Master Sheet'!$B$7:$AC$7,0),0)</f>
        <v>S. Pansari Shop</v>
      </c>
    </row>
    <row r="13" spans="2:10">
      <c r="B13" s="80" t="s">
        <v>7</v>
      </c>
      <c r="C13" s="63">
        <f>VLOOKUP($C$10,'Master Sheet'!$B$7:$AC$67,MATCH(B13,'Master Sheet'!$B$7:$AC$7,0),0)</f>
        <v>1</v>
      </c>
      <c r="D13" s="50"/>
      <c r="E13" s="45"/>
      <c r="F13" s="83"/>
    </row>
    <row r="14" spans="2:10">
      <c r="B14" s="65" t="s">
        <v>45</v>
      </c>
      <c r="C14" s="47" t="s">
        <v>54</v>
      </c>
      <c r="D14" s="47" t="s">
        <v>46</v>
      </c>
      <c r="E14" s="65" t="s">
        <v>47</v>
      </c>
      <c r="F14" s="65" t="s">
        <v>35</v>
      </c>
    </row>
    <row r="15" spans="2:10">
      <c r="B15" s="57" t="s">
        <v>3</v>
      </c>
      <c r="C15" s="53">
        <f>VLOOKUP($C$10,'Master Sheet'!$B$7:$AC$67,MATCH(B15,'Master Sheet'!$B$7:$AC$7,0),0)</f>
        <v>5509</v>
      </c>
      <c r="D15" s="110">
        <f>C15/'Master Sheet'!J8*$C$13</f>
        <v>211.88461538461539</v>
      </c>
      <c r="E15" s="57" t="s">
        <v>14</v>
      </c>
      <c r="F15" s="54">
        <f>VLOOKUP($C$10,'Master Sheet'!$B$7:$AC$67,MATCH(E15,'Master Sheet'!$B$7:$AC$7,0),0)</f>
        <v>25</v>
      </c>
    </row>
    <row r="16" spans="2:10">
      <c r="B16" s="58" t="s">
        <v>48</v>
      </c>
      <c r="C16" s="55">
        <f>VLOOKUP($C$10,'Master Sheet'!$B$7:$AC$67,MATCH(B16,'Master Sheet'!$B$7:$AC$7,0),0)</f>
        <v>2361</v>
      </c>
      <c r="D16" s="111">
        <f>C16/'Master Sheet'!J9*$C$13</f>
        <v>90.807692307692307</v>
      </c>
      <c r="E16" s="58" t="s">
        <v>15</v>
      </c>
      <c r="F16" s="56">
        <f>VLOOKUP($C$10,'Master Sheet'!$B$7:$AC$67,MATCH(E16,'Master Sheet'!$B$7:$AC$7,0),0)</f>
        <v>6</v>
      </c>
    </row>
    <row r="17" spans="2:7">
      <c r="B17" s="58" t="s">
        <v>4</v>
      </c>
      <c r="C17" s="55">
        <f>VLOOKUP($C$10,'Master Sheet'!$B$7:$AC$67,MATCH(B17,'Master Sheet'!$B$7:$AC$7,0),0)</f>
        <v>0</v>
      </c>
      <c r="D17" s="111">
        <f>C17/'Master Sheet'!J10*$C$13</f>
        <v>0</v>
      </c>
      <c r="E17" s="58" t="s">
        <v>16</v>
      </c>
      <c r="F17" s="56">
        <f>VLOOKUP($C$10,'Master Sheet'!$B$7:$AC$67,MATCH(E17,'Master Sheet'!$B$7:$AC$7,0),0)</f>
        <v>0</v>
      </c>
    </row>
    <row r="18" spans="2:7">
      <c r="B18" s="58"/>
      <c r="C18" s="55"/>
      <c r="D18" s="111"/>
      <c r="E18" s="58" t="s">
        <v>17</v>
      </c>
      <c r="F18" s="56">
        <f>VLOOKUP($C$10,'Master Sheet'!$B$7:$AC$67,MATCH(E18,'Master Sheet'!$B$7:$AC$7,0),0)</f>
        <v>0</v>
      </c>
    </row>
    <row r="19" spans="2:7">
      <c r="B19" s="58"/>
      <c r="C19" s="55"/>
      <c r="D19" s="56"/>
      <c r="E19" s="58" t="s">
        <v>18</v>
      </c>
      <c r="F19" s="56">
        <f>VLOOKUP($C$10,'Master Sheet'!$B$7:$AC$67,MATCH(E19,'Master Sheet'!$B$7:$AC$7,0),0)</f>
        <v>0</v>
      </c>
    </row>
    <row r="20" spans="2:7">
      <c r="B20" s="65" t="s">
        <v>55</v>
      </c>
      <c r="C20" s="47">
        <f>SUM(C15:C19)</f>
        <v>7870</v>
      </c>
      <c r="D20" s="47">
        <f>SUM(D15:D19)</f>
        <v>302.69230769230768</v>
      </c>
      <c r="E20" s="48" t="s">
        <v>56</v>
      </c>
      <c r="F20" s="47">
        <f>SUM(F15:F19)</f>
        <v>31</v>
      </c>
    </row>
    <row r="21" spans="2:7">
      <c r="B21" s="85" t="s">
        <v>49</v>
      </c>
      <c r="C21" s="59">
        <f>ROUND(D20-F20,0)</f>
        <v>272</v>
      </c>
      <c r="D21" s="60"/>
      <c r="E21" s="52"/>
      <c r="F21" s="86"/>
    </row>
    <row r="22" spans="2:7">
      <c r="B22" s="84" t="s">
        <v>50</v>
      </c>
      <c r="C22" s="137" t="str">
        <f>ConvertCurrencyToEnglish(C21)</f>
        <v>Two Hundred Seventy Two Rupees</v>
      </c>
      <c r="D22" s="137"/>
      <c r="E22" s="137"/>
      <c r="F22" s="138"/>
    </row>
    <row r="23" spans="2:7">
      <c r="B23" s="68" t="s">
        <v>57</v>
      </c>
      <c r="C23" s="67"/>
      <c r="D23" s="69"/>
      <c r="E23" s="135" t="s">
        <v>58</v>
      </c>
      <c r="F23" s="136"/>
      <c r="G23" s="62"/>
    </row>
    <row r="24" spans="2:7">
      <c r="B24" s="70"/>
      <c r="C24" s="61"/>
      <c r="D24" s="71"/>
      <c r="E24" s="70"/>
      <c r="F24" s="71"/>
    </row>
    <row r="25" spans="2:7">
      <c r="B25" s="70"/>
      <c r="C25" s="61"/>
      <c r="D25" s="71"/>
      <c r="E25" s="70"/>
      <c r="F25" s="71"/>
    </row>
    <row r="26" spans="2:7">
      <c r="B26" s="70"/>
      <c r="C26" s="61"/>
      <c r="D26" s="71"/>
      <c r="E26" s="70"/>
      <c r="F26" s="71"/>
    </row>
    <row r="27" spans="2:7">
      <c r="B27" s="72"/>
      <c r="C27" s="73"/>
      <c r="D27" s="74"/>
      <c r="E27" s="133" t="s">
        <v>59</v>
      </c>
      <c r="F27" s="134"/>
    </row>
  </sheetData>
  <mergeCells count="11">
    <mergeCell ref="C9:F9"/>
    <mergeCell ref="E27:F27"/>
    <mergeCell ref="E23:F23"/>
    <mergeCell ref="C22:F22"/>
    <mergeCell ref="B3:F3"/>
    <mergeCell ref="B6:F6"/>
    <mergeCell ref="C11:D11"/>
    <mergeCell ref="B4:F4"/>
    <mergeCell ref="C7:F7"/>
    <mergeCell ref="C8:F8"/>
    <mergeCell ref="C12:D12"/>
  </mergeCells>
  <printOptions horizontalCentered="1"/>
  <pageMargins left="0" right="0" top="0.75" bottom="0" header="0" footer="0"/>
  <pageSetup paperSize="9" scale="9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'Master Sheet'!$B$8:$B$67</xm:f>
          </x14:formula1>
          <xm:sqref>C10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2:H37"/>
  <sheetViews>
    <sheetView workbookViewId="0">
      <pane xSplit="3" ySplit="2" topLeftCell="E6" activePane="bottomRight" state="frozen"/>
      <selection sqref="A1:F28"/>
      <selection pane="topRight" sqref="A1:F28"/>
      <selection pane="bottomLeft" sqref="A1:F28"/>
      <selection pane="bottomRight" activeCell="J16" sqref="J16"/>
    </sheetView>
  </sheetViews>
  <sheetFormatPr defaultRowHeight="15"/>
  <cols>
    <col min="1" max="1" width="6.28515625" style="42" bestFit="1" customWidth="1"/>
    <col min="2" max="2" width="26.28515625" style="42" bestFit="1" customWidth="1"/>
    <col min="3" max="3" width="62.42578125" style="41" customWidth="1"/>
    <col min="4" max="4" width="27.140625" style="41" bestFit="1" customWidth="1"/>
    <col min="5" max="5" width="33.85546875" style="41" bestFit="1" customWidth="1"/>
    <col min="6" max="6" width="12.7109375" style="88" bestFit="1" customWidth="1"/>
    <col min="7" max="7" width="15.42578125" style="41" customWidth="1"/>
    <col min="8" max="16384" width="9.140625" style="41"/>
  </cols>
  <sheetData>
    <row r="2" spans="1:8" s="40" customFormat="1" ht="21">
      <c r="A2" s="39" t="s">
        <v>133</v>
      </c>
      <c r="B2" s="39" t="s">
        <v>144</v>
      </c>
      <c r="C2" s="39" t="s">
        <v>53</v>
      </c>
      <c r="D2" s="39" t="s">
        <v>36</v>
      </c>
      <c r="E2" s="39" t="s">
        <v>52</v>
      </c>
      <c r="F2" s="87" t="s">
        <v>105</v>
      </c>
      <c r="G2" s="39" t="s">
        <v>34</v>
      </c>
      <c r="H2" s="39" t="s">
        <v>24</v>
      </c>
    </row>
    <row r="3" spans="1:8">
      <c r="A3" s="96">
        <v>1</v>
      </c>
      <c r="B3" s="97" t="s">
        <v>135</v>
      </c>
      <c r="C3" s="98" t="s">
        <v>60</v>
      </c>
      <c r="D3" s="98" t="s">
        <v>84</v>
      </c>
      <c r="E3" s="98" t="s">
        <v>85</v>
      </c>
      <c r="F3" s="99" t="s">
        <v>99</v>
      </c>
      <c r="G3" s="39">
        <v>3</v>
      </c>
      <c r="H3" s="39">
        <v>1</v>
      </c>
    </row>
    <row r="4" spans="1:8">
      <c r="A4" s="96">
        <v>2</v>
      </c>
      <c r="B4" s="97" t="s">
        <v>193</v>
      </c>
      <c r="C4" s="98" t="s">
        <v>61</v>
      </c>
      <c r="D4" s="98" t="s">
        <v>84</v>
      </c>
      <c r="E4" s="98" t="s">
        <v>85</v>
      </c>
      <c r="F4" s="99" t="s">
        <v>99</v>
      </c>
      <c r="G4" s="39">
        <v>3</v>
      </c>
      <c r="H4" s="39">
        <v>0</v>
      </c>
    </row>
    <row r="5" spans="1:8">
      <c r="A5" s="96">
        <v>3</v>
      </c>
      <c r="B5" s="97" t="s">
        <v>136</v>
      </c>
      <c r="C5" s="98" t="s">
        <v>62</v>
      </c>
      <c r="D5" s="98" t="s">
        <v>84</v>
      </c>
      <c r="E5" s="98" t="s">
        <v>85</v>
      </c>
      <c r="F5" s="99" t="s">
        <v>99</v>
      </c>
      <c r="G5" s="39">
        <v>2</v>
      </c>
      <c r="H5" s="39">
        <v>0</v>
      </c>
    </row>
    <row r="6" spans="1:8" ht="21">
      <c r="A6" s="96">
        <v>4</v>
      </c>
      <c r="B6" s="97" t="s">
        <v>137</v>
      </c>
      <c r="C6" s="98" t="s">
        <v>89</v>
      </c>
      <c r="D6" s="98" t="s">
        <v>84</v>
      </c>
      <c r="E6" s="98" t="s">
        <v>85</v>
      </c>
      <c r="F6" s="99" t="s">
        <v>99</v>
      </c>
      <c r="G6" s="39">
        <v>1</v>
      </c>
      <c r="H6" s="39">
        <v>0</v>
      </c>
    </row>
    <row r="7" spans="1:8">
      <c r="A7" s="96">
        <v>5</v>
      </c>
      <c r="B7" s="97" t="s">
        <v>138</v>
      </c>
      <c r="C7" s="98" t="s">
        <v>68</v>
      </c>
      <c r="D7" s="98" t="s">
        <v>84</v>
      </c>
      <c r="E7" s="98" t="s">
        <v>85</v>
      </c>
      <c r="F7" s="99" t="s">
        <v>99</v>
      </c>
      <c r="G7" s="39">
        <v>3</v>
      </c>
      <c r="H7" s="39">
        <v>0</v>
      </c>
    </row>
    <row r="8" spans="1:8" ht="21">
      <c r="A8" s="96">
        <v>6</v>
      </c>
      <c r="B8" s="97" t="s">
        <v>139</v>
      </c>
      <c r="C8" s="98" t="s">
        <v>72</v>
      </c>
      <c r="D8" s="98" t="s">
        <v>84</v>
      </c>
      <c r="E8" s="98" t="s">
        <v>85</v>
      </c>
      <c r="F8" s="99" t="s">
        <v>99</v>
      </c>
      <c r="G8" s="39">
        <v>1</v>
      </c>
      <c r="H8" s="39">
        <v>0</v>
      </c>
    </row>
    <row r="9" spans="1:8">
      <c r="A9" s="96">
        <v>7</v>
      </c>
      <c r="B9" s="97" t="s">
        <v>140</v>
      </c>
      <c r="C9" s="98" t="s">
        <v>73</v>
      </c>
      <c r="D9" s="98" t="s">
        <v>84</v>
      </c>
      <c r="E9" s="98" t="s">
        <v>85</v>
      </c>
      <c r="F9" s="99" t="s">
        <v>99</v>
      </c>
      <c r="G9" s="39"/>
      <c r="H9" s="39">
        <v>1</v>
      </c>
    </row>
    <row r="10" spans="1:8">
      <c r="A10" s="96">
        <v>8</v>
      </c>
      <c r="B10" s="97" t="s">
        <v>141</v>
      </c>
      <c r="C10" s="98" t="s">
        <v>213</v>
      </c>
      <c r="D10" s="98" t="s">
        <v>84</v>
      </c>
      <c r="E10" s="98" t="s">
        <v>85</v>
      </c>
      <c r="F10" s="99" t="s">
        <v>99</v>
      </c>
      <c r="G10" s="39">
        <v>1</v>
      </c>
      <c r="H10" s="39">
        <v>0</v>
      </c>
    </row>
    <row r="11" spans="1:8">
      <c r="A11" s="96">
        <v>9</v>
      </c>
      <c r="B11" s="97" t="s">
        <v>142</v>
      </c>
      <c r="C11" s="98" t="s">
        <v>81</v>
      </c>
      <c r="D11" s="98" t="s">
        <v>86</v>
      </c>
      <c r="E11" s="98" t="s">
        <v>85</v>
      </c>
      <c r="F11" s="99" t="s">
        <v>99</v>
      </c>
      <c r="G11" s="39">
        <v>2</v>
      </c>
      <c r="H11" s="39">
        <v>0</v>
      </c>
    </row>
    <row r="12" spans="1:8">
      <c r="A12" s="96">
        <v>10</v>
      </c>
      <c r="B12" s="97" t="s">
        <v>143</v>
      </c>
      <c r="C12" s="98" t="s">
        <v>82</v>
      </c>
      <c r="D12" s="98" t="s">
        <v>86</v>
      </c>
      <c r="E12" s="98" t="s">
        <v>85</v>
      </c>
      <c r="F12" s="99" t="s">
        <v>99</v>
      </c>
      <c r="G12" s="39">
        <v>1</v>
      </c>
      <c r="H12" s="39">
        <v>0</v>
      </c>
    </row>
    <row r="13" spans="1:8">
      <c r="A13" s="96">
        <v>11</v>
      </c>
      <c r="B13" s="97" t="s">
        <v>212</v>
      </c>
      <c r="C13" s="98" t="s">
        <v>211</v>
      </c>
      <c r="D13" s="98" t="s">
        <v>84</v>
      </c>
      <c r="E13" s="98" t="s">
        <v>85</v>
      </c>
      <c r="F13" s="99" t="s">
        <v>99</v>
      </c>
      <c r="G13" s="39">
        <v>1</v>
      </c>
      <c r="H13" s="39"/>
    </row>
    <row r="14" spans="1:8" ht="21">
      <c r="A14" s="96">
        <v>12</v>
      </c>
      <c r="B14" s="103" t="s">
        <v>163</v>
      </c>
      <c r="C14" s="98" t="s">
        <v>63</v>
      </c>
      <c r="D14" s="98" t="s">
        <v>84</v>
      </c>
      <c r="E14" s="98" t="s">
        <v>85</v>
      </c>
      <c r="F14" s="99" t="s">
        <v>99</v>
      </c>
      <c r="G14" s="39"/>
      <c r="H14" s="39"/>
    </row>
    <row r="15" spans="1:8" ht="21">
      <c r="A15" s="96">
        <v>13</v>
      </c>
      <c r="B15" s="103" t="s">
        <v>164</v>
      </c>
      <c r="C15" s="98" t="s">
        <v>64</v>
      </c>
      <c r="D15" s="98" t="s">
        <v>84</v>
      </c>
      <c r="E15" s="98" t="s">
        <v>85</v>
      </c>
      <c r="F15" s="99" t="s">
        <v>99</v>
      </c>
      <c r="G15" s="39"/>
      <c r="H15" s="39"/>
    </row>
    <row r="16" spans="1:8" ht="21">
      <c r="A16" s="96">
        <v>14</v>
      </c>
      <c r="B16" s="103" t="s">
        <v>165</v>
      </c>
      <c r="C16" s="98" t="s">
        <v>65</v>
      </c>
      <c r="D16" s="98" t="s">
        <v>84</v>
      </c>
      <c r="E16" s="98" t="s">
        <v>85</v>
      </c>
      <c r="F16" s="99" t="s">
        <v>99</v>
      </c>
      <c r="G16" s="39"/>
      <c r="H16" s="39"/>
    </row>
    <row r="17" spans="1:8">
      <c r="A17" s="100"/>
      <c r="B17" s="100"/>
      <c r="C17" s="101"/>
      <c r="D17" s="101"/>
      <c r="E17" s="101"/>
      <c r="F17" s="102"/>
      <c r="G17" s="92"/>
      <c r="H17" s="92"/>
    </row>
    <row r="18" spans="1:8" ht="21">
      <c r="A18" s="96">
        <v>14</v>
      </c>
      <c r="B18" s="103" t="s">
        <v>158</v>
      </c>
      <c r="C18" s="98" t="s">
        <v>159</v>
      </c>
      <c r="D18" s="98" t="s">
        <v>84</v>
      </c>
      <c r="E18" s="98" t="s">
        <v>85</v>
      </c>
      <c r="F18" s="99" t="s">
        <v>160</v>
      </c>
      <c r="G18" s="39">
        <v>1</v>
      </c>
      <c r="H18" s="39">
        <v>1</v>
      </c>
    </row>
    <row r="19" spans="1:8" ht="21">
      <c r="A19" s="96">
        <v>15</v>
      </c>
      <c r="B19" s="103" t="s">
        <v>161</v>
      </c>
      <c r="C19" s="98" t="s">
        <v>162</v>
      </c>
      <c r="D19" s="98" t="s">
        <v>84</v>
      </c>
      <c r="E19" s="98" t="s">
        <v>85</v>
      </c>
      <c r="F19" s="99" t="s">
        <v>161</v>
      </c>
      <c r="G19" s="39">
        <v>1</v>
      </c>
      <c r="H19" s="39">
        <v>1</v>
      </c>
    </row>
    <row r="20" spans="1:8">
      <c r="A20" s="100"/>
      <c r="B20" s="109"/>
      <c r="C20" s="101"/>
      <c r="D20" s="101"/>
      <c r="E20" s="101"/>
      <c r="F20" s="102"/>
      <c r="G20" s="92"/>
      <c r="H20" s="92"/>
    </row>
    <row r="21" spans="1:8">
      <c r="A21" s="96">
        <v>16</v>
      </c>
      <c r="B21" s="103" t="s">
        <v>145</v>
      </c>
      <c r="C21" s="98" t="s">
        <v>75</v>
      </c>
      <c r="D21" s="98" t="s">
        <v>84</v>
      </c>
      <c r="E21" s="98" t="s">
        <v>85</v>
      </c>
      <c r="F21" s="99" t="s">
        <v>104</v>
      </c>
      <c r="G21" s="39"/>
      <c r="H21" s="39">
        <v>1</v>
      </c>
    </row>
    <row r="22" spans="1:8">
      <c r="A22" s="96">
        <v>17</v>
      </c>
      <c r="B22" s="103" t="s">
        <v>146</v>
      </c>
      <c r="C22" s="98" t="s">
        <v>76</v>
      </c>
      <c r="D22" s="98" t="s">
        <v>84</v>
      </c>
      <c r="E22" s="98" t="s">
        <v>85</v>
      </c>
      <c r="F22" s="99" t="s">
        <v>104</v>
      </c>
      <c r="G22" s="39">
        <v>1</v>
      </c>
      <c r="H22" s="39"/>
    </row>
    <row r="23" spans="1:8">
      <c r="A23" s="100"/>
      <c r="B23" s="109"/>
      <c r="C23" s="101"/>
      <c r="D23" s="101"/>
      <c r="E23" s="101"/>
      <c r="F23" s="102"/>
      <c r="G23" s="92"/>
      <c r="H23" s="92"/>
    </row>
    <row r="24" spans="1:8" ht="21">
      <c r="A24" s="96">
        <v>18</v>
      </c>
      <c r="B24" s="103" t="s">
        <v>147</v>
      </c>
      <c r="C24" s="98" t="s">
        <v>66</v>
      </c>
      <c r="D24" s="98" t="s">
        <v>84</v>
      </c>
      <c r="E24" s="98" t="s">
        <v>85</v>
      </c>
      <c r="F24" s="99" t="s">
        <v>100</v>
      </c>
      <c r="G24" s="39">
        <v>4</v>
      </c>
      <c r="H24" s="39">
        <v>1</v>
      </c>
    </row>
    <row r="25" spans="1:8">
      <c r="A25" s="96">
        <v>19</v>
      </c>
      <c r="B25" s="103" t="s">
        <v>148</v>
      </c>
      <c r="C25" s="98" t="s">
        <v>67</v>
      </c>
      <c r="D25" s="98" t="s">
        <v>84</v>
      </c>
      <c r="E25" s="98" t="s">
        <v>85</v>
      </c>
      <c r="F25" s="99" t="s">
        <v>100</v>
      </c>
      <c r="G25" s="39">
        <v>3</v>
      </c>
      <c r="H25" s="39"/>
    </row>
    <row r="26" spans="1:8">
      <c r="A26" s="100"/>
      <c r="B26" s="109"/>
      <c r="C26" s="101"/>
      <c r="D26" s="101"/>
      <c r="E26" s="101"/>
      <c r="F26" s="102"/>
      <c r="G26" s="92"/>
      <c r="H26" s="92"/>
    </row>
    <row r="27" spans="1:8">
      <c r="A27" s="96">
        <v>20</v>
      </c>
      <c r="B27" s="103" t="s">
        <v>149</v>
      </c>
      <c r="C27" s="98" t="s">
        <v>71</v>
      </c>
      <c r="D27" s="98" t="s">
        <v>84</v>
      </c>
      <c r="E27" s="98" t="s">
        <v>85</v>
      </c>
      <c r="F27" s="99" t="s">
        <v>153</v>
      </c>
      <c r="G27" s="39">
        <v>1</v>
      </c>
      <c r="H27" s="39">
        <v>1</v>
      </c>
    </row>
    <row r="28" spans="1:8">
      <c r="A28" s="100"/>
      <c r="B28" s="109"/>
      <c r="C28" s="101"/>
      <c r="D28" s="101"/>
      <c r="E28" s="101"/>
      <c r="F28" s="102"/>
      <c r="G28" s="92"/>
      <c r="H28" s="92"/>
    </row>
    <row r="29" spans="1:8">
      <c r="A29" s="96">
        <v>21</v>
      </c>
      <c r="B29" s="103" t="s">
        <v>150</v>
      </c>
      <c r="C29" s="98" t="s">
        <v>77</v>
      </c>
      <c r="D29" s="98" t="s">
        <v>84</v>
      </c>
      <c r="E29" s="98" t="s">
        <v>85</v>
      </c>
      <c r="F29" s="99" t="s">
        <v>154</v>
      </c>
      <c r="G29" s="39">
        <v>2</v>
      </c>
      <c r="H29" s="39">
        <v>1</v>
      </c>
    </row>
    <row r="30" spans="1:8">
      <c r="A30" s="100"/>
      <c r="B30" s="109"/>
      <c r="C30" s="101"/>
      <c r="D30" s="101"/>
      <c r="E30" s="101"/>
      <c r="F30" s="102"/>
      <c r="G30" s="92"/>
      <c r="H30" s="92"/>
    </row>
    <row r="31" spans="1:8" ht="21">
      <c r="A31" s="96">
        <v>22</v>
      </c>
      <c r="B31" s="103" t="s">
        <v>151</v>
      </c>
      <c r="C31" s="98" t="s">
        <v>78</v>
      </c>
      <c r="D31" s="98" t="s">
        <v>84</v>
      </c>
      <c r="E31" s="98" t="s">
        <v>85</v>
      </c>
      <c r="F31" s="99" t="s">
        <v>155</v>
      </c>
      <c r="G31" s="39">
        <v>1</v>
      </c>
      <c r="H31" s="39"/>
    </row>
    <row r="32" spans="1:8">
      <c r="A32" s="100"/>
      <c r="B32" s="109"/>
      <c r="C32" s="101"/>
      <c r="D32" s="101"/>
      <c r="E32" s="101"/>
      <c r="F32" s="102"/>
      <c r="G32" s="92"/>
      <c r="H32" s="92"/>
    </row>
    <row r="33" spans="1:8">
      <c r="A33" s="96">
        <v>23</v>
      </c>
      <c r="B33" s="103" t="s">
        <v>152</v>
      </c>
      <c r="C33" s="98" t="s">
        <v>79</v>
      </c>
      <c r="D33" s="98" t="s">
        <v>84</v>
      </c>
      <c r="E33" s="98" t="s">
        <v>85</v>
      </c>
      <c r="F33" s="99" t="s">
        <v>156</v>
      </c>
      <c r="G33" s="39">
        <v>1</v>
      </c>
      <c r="H33" s="39">
        <v>1</v>
      </c>
    </row>
    <row r="34" spans="1:8">
      <c r="A34" s="100"/>
      <c r="B34" s="109"/>
      <c r="C34" s="101"/>
      <c r="D34" s="101"/>
      <c r="E34" s="101"/>
      <c r="F34" s="102"/>
      <c r="G34" s="92"/>
      <c r="H34" s="92"/>
    </row>
    <row r="35" spans="1:8" ht="21">
      <c r="A35" s="96">
        <v>24</v>
      </c>
      <c r="B35" s="103" t="s">
        <v>166</v>
      </c>
      <c r="C35" s="98" t="s">
        <v>80</v>
      </c>
      <c r="D35" s="98" t="s">
        <v>84</v>
      </c>
      <c r="E35" s="98" t="s">
        <v>85</v>
      </c>
      <c r="F35" s="99" t="s">
        <v>157</v>
      </c>
      <c r="G35" s="39"/>
      <c r="H35" s="39">
        <v>1</v>
      </c>
    </row>
    <row r="36" spans="1:8">
      <c r="A36" s="100"/>
      <c r="B36" s="109"/>
      <c r="C36" s="101"/>
      <c r="D36" s="101"/>
      <c r="E36" s="101"/>
      <c r="F36" s="102"/>
      <c r="G36" s="92"/>
      <c r="H36" s="92"/>
    </row>
    <row r="37" spans="1:8" ht="21">
      <c r="A37" s="96">
        <v>25</v>
      </c>
      <c r="B37" s="103" t="s">
        <v>167</v>
      </c>
      <c r="C37" s="98" t="s">
        <v>168</v>
      </c>
      <c r="D37" s="98" t="s">
        <v>87</v>
      </c>
      <c r="E37" s="98" t="s">
        <v>88</v>
      </c>
      <c r="F37" s="99" t="s">
        <v>83</v>
      </c>
      <c r="G37" s="39"/>
      <c r="H37" s="39">
        <v>2</v>
      </c>
    </row>
  </sheetData>
  <sortState ref="A3:H27">
    <sortCondition ref="F3:F2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4"/>
  <dimension ref="A1:W40"/>
  <sheetViews>
    <sheetView zoomScaleSheetLayoutView="100" workbookViewId="0">
      <pane xSplit="1" ySplit="7" topLeftCell="B8" activePane="bottomRight" state="frozen"/>
      <selection pane="topRight" activeCell="B1" sqref="B1"/>
      <selection pane="bottomLeft" activeCell="A6" sqref="A6"/>
      <selection pane="bottomRight" activeCell="T21" sqref="T21"/>
    </sheetView>
  </sheetViews>
  <sheetFormatPr defaultRowHeight="15"/>
  <cols>
    <col min="1" max="1" width="44" style="18" bestFit="1" customWidth="1"/>
    <col min="2" max="2" width="9.5703125" style="18" bestFit="1" customWidth="1"/>
    <col min="3" max="3" width="12" style="18" bestFit="1" customWidth="1"/>
    <col min="4" max="9" width="12" style="18" customWidth="1"/>
    <col min="10" max="10" width="9.28515625" style="18" bestFit="1" customWidth="1"/>
    <col min="11" max="11" width="12" style="18" customWidth="1"/>
    <col min="12" max="12" width="9.85546875" style="18" customWidth="1"/>
    <col min="13" max="13" width="13" style="18" customWidth="1"/>
    <col min="14" max="14" width="10" style="18" bestFit="1" customWidth="1"/>
    <col min="15" max="15" width="12.28515625" style="18" customWidth="1"/>
    <col min="16" max="16" width="10" style="18" bestFit="1" customWidth="1"/>
    <col min="17" max="17" width="13" style="18" customWidth="1"/>
    <col min="18" max="18" width="8.28515625" style="18" bestFit="1" customWidth="1"/>
    <col min="19" max="19" width="12" style="18" bestFit="1" customWidth="1"/>
    <col min="20" max="20" width="9.5703125" style="18" bestFit="1" customWidth="1"/>
    <col min="21" max="21" width="13.85546875" style="18" customWidth="1"/>
    <col min="22" max="22" width="9.140625" style="18"/>
    <col min="23" max="23" width="13.5703125" style="18" customWidth="1"/>
    <col min="24" max="16384" width="9.140625" style="18"/>
  </cols>
  <sheetData>
    <row r="1" spans="1:23" ht="26.25" customHeight="1">
      <c r="A1" s="107" t="s">
        <v>84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3" spans="1:23">
      <c r="N3" s="154" t="s">
        <v>194</v>
      </c>
      <c r="O3" s="154"/>
      <c r="P3" s="154" t="s">
        <v>194</v>
      </c>
      <c r="Q3" s="154"/>
    </row>
    <row r="4" spans="1:23" ht="15" customHeight="1">
      <c r="A4" s="152" t="s">
        <v>25</v>
      </c>
      <c r="B4" s="150" t="s">
        <v>99</v>
      </c>
      <c r="C4" s="151"/>
      <c r="D4" s="150" t="s">
        <v>102</v>
      </c>
      <c r="E4" s="151"/>
      <c r="F4" s="150" t="s">
        <v>103</v>
      </c>
      <c r="G4" s="151"/>
      <c r="H4" s="150" t="s">
        <v>104</v>
      </c>
      <c r="I4" s="151"/>
      <c r="J4" s="150" t="s">
        <v>100</v>
      </c>
      <c r="K4" s="151"/>
      <c r="L4" s="150" t="s">
        <v>153</v>
      </c>
      <c r="M4" s="151"/>
      <c r="N4" s="150" t="s">
        <v>154</v>
      </c>
      <c r="O4" s="151"/>
      <c r="P4" s="150" t="s">
        <v>155</v>
      </c>
      <c r="Q4" s="151"/>
      <c r="R4" s="150" t="s">
        <v>156</v>
      </c>
      <c r="S4" s="151"/>
      <c r="T4" s="150" t="s">
        <v>157</v>
      </c>
      <c r="U4" s="151"/>
      <c r="V4" s="150" t="s">
        <v>83</v>
      </c>
      <c r="W4" s="151"/>
    </row>
    <row r="5" spans="1:23">
      <c r="A5" s="153"/>
      <c r="B5" s="11" t="s">
        <v>101</v>
      </c>
      <c r="C5" s="11" t="s">
        <v>34</v>
      </c>
      <c r="D5" s="11" t="s">
        <v>101</v>
      </c>
      <c r="E5" s="11" t="s">
        <v>34</v>
      </c>
      <c r="F5" s="11" t="s">
        <v>101</v>
      </c>
      <c r="G5" s="11" t="s">
        <v>34</v>
      </c>
      <c r="H5" s="11" t="s">
        <v>101</v>
      </c>
      <c r="I5" s="11" t="s">
        <v>34</v>
      </c>
      <c r="J5" s="11" t="s">
        <v>101</v>
      </c>
      <c r="K5" s="11" t="s">
        <v>34</v>
      </c>
      <c r="L5" s="11" t="s">
        <v>101</v>
      </c>
      <c r="M5" s="11" t="s">
        <v>34</v>
      </c>
      <c r="N5" s="11" t="s">
        <v>101</v>
      </c>
      <c r="O5" s="11" t="s">
        <v>34</v>
      </c>
      <c r="P5" s="11" t="s">
        <v>101</v>
      </c>
      <c r="Q5" s="11" t="s">
        <v>34</v>
      </c>
      <c r="R5" s="11" t="s">
        <v>101</v>
      </c>
      <c r="S5" s="11" t="s">
        <v>34</v>
      </c>
      <c r="T5" s="11" t="s">
        <v>101</v>
      </c>
      <c r="U5" s="11" t="s">
        <v>34</v>
      </c>
      <c r="V5" s="11" t="s">
        <v>101</v>
      </c>
      <c r="W5" s="11" t="s">
        <v>34</v>
      </c>
    </row>
    <row r="6" spans="1:23" s="12" customFormat="1" ht="12.75">
      <c r="A6" s="89" t="s">
        <v>90</v>
      </c>
      <c r="B6" s="90">
        <v>7870</v>
      </c>
      <c r="C6" s="90">
        <v>7870</v>
      </c>
      <c r="D6" s="90">
        <v>6669</v>
      </c>
      <c r="E6" s="90">
        <v>5676</v>
      </c>
      <c r="F6" s="90">
        <v>6669</v>
      </c>
      <c r="G6" s="90">
        <v>4910</v>
      </c>
      <c r="H6" s="90">
        <v>7711</v>
      </c>
      <c r="I6" s="90">
        <v>7711</v>
      </c>
      <c r="J6" s="90">
        <v>7108</v>
      </c>
      <c r="K6" s="90">
        <v>7200</v>
      </c>
      <c r="L6" s="90">
        <v>6100</v>
      </c>
      <c r="M6" s="90">
        <v>5200</v>
      </c>
      <c r="N6" s="90">
        <v>6670</v>
      </c>
      <c r="O6" s="90">
        <v>6670</v>
      </c>
      <c r="P6" s="90"/>
      <c r="Q6" s="90">
        <v>4000</v>
      </c>
      <c r="R6" s="90">
        <v>5425</v>
      </c>
      <c r="S6" s="90">
        <v>4900</v>
      </c>
      <c r="T6" s="90">
        <v>10100</v>
      </c>
      <c r="U6" s="90"/>
      <c r="V6" s="90">
        <v>5500</v>
      </c>
      <c r="W6" s="90"/>
    </row>
    <row r="7" spans="1:23" s="12" customFormat="1" ht="12.75">
      <c r="A7" s="13" t="s">
        <v>3</v>
      </c>
      <c r="B7" s="14">
        <f>B6*70%</f>
        <v>5509</v>
      </c>
      <c r="C7" s="14">
        <f>C6*70%</f>
        <v>5509</v>
      </c>
      <c r="D7" s="14">
        <f t="shared" ref="D7:F7" si="0">D6*70%</f>
        <v>4668.2999999999993</v>
      </c>
      <c r="E7" s="14">
        <f t="shared" si="0"/>
        <v>3973.2</v>
      </c>
      <c r="F7" s="14">
        <f t="shared" si="0"/>
        <v>4668.2999999999993</v>
      </c>
      <c r="G7" s="91">
        <f>G6*54.98%</f>
        <v>2699.5179999999996</v>
      </c>
      <c r="H7" s="91">
        <f t="shared" ref="H7:W7" si="1">H6*60%</f>
        <v>4626.5999999999995</v>
      </c>
      <c r="I7" s="91">
        <f t="shared" si="1"/>
        <v>4626.5999999999995</v>
      </c>
      <c r="J7" s="14">
        <v>7108</v>
      </c>
      <c r="K7" s="14">
        <v>7108</v>
      </c>
      <c r="L7" s="91">
        <v>4420</v>
      </c>
      <c r="M7" s="91">
        <v>4420</v>
      </c>
      <c r="N7" s="91">
        <v>4420</v>
      </c>
      <c r="O7" s="91">
        <v>4420</v>
      </c>
      <c r="P7" s="91">
        <f t="shared" si="1"/>
        <v>0</v>
      </c>
      <c r="Q7" s="91">
        <v>2500</v>
      </c>
      <c r="R7" s="91">
        <v>2713</v>
      </c>
      <c r="S7" s="91">
        <f>S6/2</f>
        <v>2450</v>
      </c>
      <c r="T7" s="91">
        <v>7546</v>
      </c>
      <c r="U7" s="91">
        <f t="shared" si="1"/>
        <v>0</v>
      </c>
      <c r="V7" s="91">
        <v>2800</v>
      </c>
      <c r="W7" s="91">
        <f t="shared" si="1"/>
        <v>0</v>
      </c>
    </row>
    <row r="8" spans="1:23" s="12" customFormat="1" ht="12.75">
      <c r="A8" s="13" t="s">
        <v>48</v>
      </c>
      <c r="B8" s="14">
        <f>B6*30%</f>
        <v>2361</v>
      </c>
      <c r="C8" s="14">
        <f>C6*30%</f>
        <v>2361</v>
      </c>
      <c r="D8" s="14">
        <f t="shared" ref="D8:F8" si="2">D6*30%</f>
        <v>2000.6999999999998</v>
      </c>
      <c r="E8" s="14">
        <f t="shared" si="2"/>
        <v>1702.8</v>
      </c>
      <c r="F8" s="14">
        <f t="shared" si="2"/>
        <v>2000.6999999999998</v>
      </c>
      <c r="G8" s="14">
        <f>G6*45.02%</f>
        <v>2210.4820000000004</v>
      </c>
      <c r="H8" s="91">
        <f t="shared" ref="H8:W8" si="3">H6*40%</f>
        <v>3084.4</v>
      </c>
      <c r="I8" s="91">
        <f t="shared" si="3"/>
        <v>3084.4</v>
      </c>
      <c r="J8" s="14">
        <v>0</v>
      </c>
      <c r="K8" s="14">
        <v>0</v>
      </c>
      <c r="L8" s="91">
        <v>0</v>
      </c>
      <c r="M8" s="91">
        <v>0</v>
      </c>
      <c r="N8" s="91">
        <v>0</v>
      </c>
      <c r="O8" s="91">
        <v>0</v>
      </c>
      <c r="P8" s="91">
        <f t="shared" si="3"/>
        <v>0</v>
      </c>
      <c r="Q8" s="91">
        <v>0</v>
      </c>
      <c r="R8" s="91"/>
      <c r="S8" s="91"/>
      <c r="T8" s="91"/>
      <c r="U8" s="91">
        <f t="shared" si="3"/>
        <v>0</v>
      </c>
      <c r="V8" s="91">
        <v>0</v>
      </c>
      <c r="W8" s="91">
        <f t="shared" si="3"/>
        <v>0</v>
      </c>
    </row>
    <row r="9" spans="1:23">
      <c r="A9" s="13" t="s">
        <v>31</v>
      </c>
      <c r="B9" s="14"/>
      <c r="C9" s="14"/>
      <c r="D9" s="14">
        <v>0</v>
      </c>
      <c r="E9" s="14"/>
      <c r="F9" s="14">
        <v>0</v>
      </c>
      <c r="G9" s="14"/>
      <c r="H9" s="14"/>
      <c r="I9" s="14"/>
      <c r="J9" s="14">
        <v>0</v>
      </c>
      <c r="K9" s="14">
        <v>92</v>
      </c>
      <c r="L9" s="14">
        <v>1680</v>
      </c>
      <c r="M9" s="14">
        <v>780</v>
      </c>
      <c r="N9" s="14">
        <f>N6-N7</f>
        <v>2250</v>
      </c>
      <c r="O9" s="14">
        <f>O6-O7</f>
        <v>2250</v>
      </c>
      <c r="P9" s="14"/>
      <c r="Q9" s="14">
        <v>1500</v>
      </c>
      <c r="R9" s="14">
        <v>2712</v>
      </c>
      <c r="S9" s="14">
        <v>2450</v>
      </c>
      <c r="T9" s="14">
        <v>2554</v>
      </c>
      <c r="U9" s="14"/>
      <c r="V9" s="14">
        <v>2700</v>
      </c>
      <c r="W9" s="14"/>
    </row>
    <row r="10" spans="1:23">
      <c r="A10" s="15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>
      <c r="A11" s="20" t="s">
        <v>26</v>
      </c>
      <c r="B11" s="21">
        <f>SUM(B7:B10)</f>
        <v>7870</v>
      </c>
      <c r="C11" s="21">
        <f>SUM(C7:C10)</f>
        <v>7870</v>
      </c>
      <c r="D11" s="21">
        <f t="shared" ref="D11:I11" si="4">SUM(D7:D10)</f>
        <v>6668.9999999999991</v>
      </c>
      <c r="E11" s="21">
        <f t="shared" si="4"/>
        <v>5676</v>
      </c>
      <c r="F11" s="21">
        <f t="shared" si="4"/>
        <v>6668.9999999999991</v>
      </c>
      <c r="G11" s="21">
        <f t="shared" si="4"/>
        <v>4910</v>
      </c>
      <c r="H11" s="21">
        <f t="shared" si="4"/>
        <v>7711</v>
      </c>
      <c r="I11" s="21">
        <f t="shared" si="4"/>
        <v>7711</v>
      </c>
      <c r="J11" s="21">
        <f t="shared" ref="J11:O11" si="5">SUM(J7:J10)</f>
        <v>7108</v>
      </c>
      <c r="K11" s="21">
        <f t="shared" si="5"/>
        <v>7200</v>
      </c>
      <c r="L11" s="21">
        <f t="shared" si="5"/>
        <v>6100</v>
      </c>
      <c r="M11" s="21">
        <f t="shared" si="5"/>
        <v>5200</v>
      </c>
      <c r="N11" s="21">
        <f t="shared" si="5"/>
        <v>6670</v>
      </c>
      <c r="O11" s="21">
        <f t="shared" si="5"/>
        <v>6670</v>
      </c>
      <c r="P11" s="21">
        <f t="shared" ref="P11:W11" si="6">SUM(P7:P10)</f>
        <v>0</v>
      </c>
      <c r="Q11" s="21">
        <f>SUM(Q7:Q10)</f>
        <v>4000</v>
      </c>
      <c r="R11" s="21">
        <f t="shared" si="6"/>
        <v>5425</v>
      </c>
      <c r="S11" s="21">
        <f t="shared" si="6"/>
        <v>4900</v>
      </c>
      <c r="T11" s="21">
        <f t="shared" si="6"/>
        <v>10100</v>
      </c>
      <c r="U11" s="21">
        <f t="shared" si="6"/>
        <v>0</v>
      </c>
      <c r="V11" s="21">
        <f t="shared" si="6"/>
        <v>5500</v>
      </c>
      <c r="W11" s="21">
        <f t="shared" si="6"/>
        <v>0</v>
      </c>
    </row>
    <row r="12" spans="1:23">
      <c r="A12" s="16" t="s">
        <v>27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</row>
    <row r="13" spans="1:23">
      <c r="A13" s="13" t="s">
        <v>94</v>
      </c>
      <c r="B13" s="14">
        <f>ROUND(B7*13.36%,0)</f>
        <v>736</v>
      </c>
      <c r="C13" s="14">
        <f>ROUND(C7*13.36%,0)</f>
        <v>736</v>
      </c>
      <c r="D13" s="14">
        <f t="shared" ref="D13:M13" si="7">ROUND(D7*13.36%,0)</f>
        <v>624</v>
      </c>
      <c r="E13" s="14">
        <f t="shared" si="7"/>
        <v>531</v>
      </c>
      <c r="F13" s="14">
        <f t="shared" si="7"/>
        <v>624</v>
      </c>
      <c r="G13" s="14">
        <f t="shared" si="7"/>
        <v>361</v>
      </c>
      <c r="H13" s="14">
        <f t="shared" si="7"/>
        <v>618</v>
      </c>
      <c r="I13" s="14">
        <f t="shared" si="7"/>
        <v>618</v>
      </c>
      <c r="J13" s="14">
        <f>ROUND(J7*13.36%,0)</f>
        <v>950</v>
      </c>
      <c r="K13" s="14">
        <f>ROUND(K7*13.36%,0)</f>
        <v>950</v>
      </c>
      <c r="L13" s="14">
        <f t="shared" si="7"/>
        <v>591</v>
      </c>
      <c r="M13" s="14">
        <f t="shared" si="7"/>
        <v>591</v>
      </c>
      <c r="N13" s="14">
        <f>ROUND(N7*13.36%,0)</f>
        <v>591</v>
      </c>
      <c r="O13" s="14">
        <f>ROUND(O7*13.36%,0)</f>
        <v>591</v>
      </c>
      <c r="P13" s="14">
        <f t="shared" ref="P13:W13" si="8">ROUND(P7*13.36%,0)</f>
        <v>0</v>
      </c>
      <c r="Q13" s="14">
        <f t="shared" si="8"/>
        <v>334</v>
      </c>
      <c r="R13" s="14">
        <f t="shared" si="8"/>
        <v>362</v>
      </c>
      <c r="S13" s="14">
        <f t="shared" si="8"/>
        <v>327</v>
      </c>
      <c r="T13" s="14">
        <f t="shared" si="8"/>
        <v>1008</v>
      </c>
      <c r="U13" s="14">
        <f t="shared" si="8"/>
        <v>0</v>
      </c>
      <c r="V13" s="14">
        <f t="shared" si="8"/>
        <v>374</v>
      </c>
      <c r="W13" s="14">
        <f t="shared" si="8"/>
        <v>0</v>
      </c>
    </row>
    <row r="14" spans="1:23">
      <c r="A14" s="13" t="s">
        <v>93</v>
      </c>
      <c r="B14" s="14">
        <f>ROUNDUP(B11*4.75%,0)</f>
        <v>374</v>
      </c>
      <c r="C14" s="14">
        <f>ROUNDUP(C11*4.75%,0)</f>
        <v>374</v>
      </c>
      <c r="D14" s="14">
        <f t="shared" ref="D14:M14" si="9">ROUNDUP(D11*4.75%,0)</f>
        <v>317</v>
      </c>
      <c r="E14" s="14">
        <f t="shared" si="9"/>
        <v>270</v>
      </c>
      <c r="F14" s="14">
        <f t="shared" si="9"/>
        <v>317</v>
      </c>
      <c r="G14" s="14">
        <f t="shared" si="9"/>
        <v>234</v>
      </c>
      <c r="H14" s="14">
        <f t="shared" si="9"/>
        <v>367</v>
      </c>
      <c r="I14" s="14">
        <f t="shared" si="9"/>
        <v>367</v>
      </c>
      <c r="J14" s="14">
        <f>ROUNDUP(J11*4.75%,0)</f>
        <v>338</v>
      </c>
      <c r="K14" s="14">
        <f>ROUNDUP(K11*4.75%,0)</f>
        <v>342</v>
      </c>
      <c r="L14" s="14">
        <f t="shared" si="9"/>
        <v>290</v>
      </c>
      <c r="M14" s="14">
        <f t="shared" si="9"/>
        <v>247</v>
      </c>
      <c r="N14" s="14">
        <f>ROUNDUP(N11*4.75%,0)</f>
        <v>317</v>
      </c>
      <c r="O14" s="14">
        <f>ROUNDUP(O11*4.75%,0)</f>
        <v>317</v>
      </c>
      <c r="P14" s="14">
        <f t="shared" ref="P14:W14" si="10">ROUNDUP(P11*4.75%,0)</f>
        <v>0</v>
      </c>
      <c r="Q14" s="14">
        <f t="shared" si="10"/>
        <v>190</v>
      </c>
      <c r="R14" s="14">
        <f t="shared" si="10"/>
        <v>258</v>
      </c>
      <c r="S14" s="14">
        <f t="shared" si="10"/>
        <v>233</v>
      </c>
      <c r="T14" s="14">
        <f>ROUNDUP(T11*4.75%,0)</f>
        <v>480</v>
      </c>
      <c r="U14" s="14">
        <f t="shared" si="10"/>
        <v>0</v>
      </c>
      <c r="V14" s="14">
        <f t="shared" si="10"/>
        <v>262</v>
      </c>
      <c r="W14" s="14">
        <f t="shared" si="10"/>
        <v>0</v>
      </c>
    </row>
    <row r="15" spans="1:23">
      <c r="A15" s="13" t="s">
        <v>92</v>
      </c>
      <c r="B15" s="14">
        <f>(B6*8.33%)</f>
        <v>655.57100000000003</v>
      </c>
      <c r="C15" s="14">
        <f>(C6*8.33%)</f>
        <v>655.57100000000003</v>
      </c>
      <c r="D15" s="14">
        <f t="shared" ref="D15:I15" si="11">(D6*8.33%)</f>
        <v>555.52769999999998</v>
      </c>
      <c r="E15" s="14">
        <f t="shared" si="11"/>
        <v>472.81079999999997</v>
      </c>
      <c r="F15" s="14">
        <f t="shared" si="11"/>
        <v>555.52769999999998</v>
      </c>
      <c r="G15" s="14">
        <f t="shared" si="11"/>
        <v>409.00299999999999</v>
      </c>
      <c r="H15" s="14">
        <f t="shared" si="11"/>
        <v>642.32629999999995</v>
      </c>
      <c r="I15" s="14">
        <f t="shared" si="11"/>
        <v>642.32629999999995</v>
      </c>
      <c r="J15" s="14">
        <f>(J6*8.33%)</f>
        <v>592.09640000000002</v>
      </c>
      <c r="K15" s="14">
        <f>(K6*8.33%)</f>
        <v>599.76</v>
      </c>
      <c r="L15" s="14">
        <f>(L6*8.33%)</f>
        <v>508.13</v>
      </c>
      <c r="M15" s="14">
        <f>(M6*8.33%)</f>
        <v>433.15999999999997</v>
      </c>
      <c r="N15" s="14">
        <v>0</v>
      </c>
      <c r="O15" s="14">
        <v>0</v>
      </c>
      <c r="P15" s="14">
        <f t="shared" ref="P15:W15" si="12">(P6*8.33%)</f>
        <v>0</v>
      </c>
      <c r="Q15" s="14">
        <f t="shared" si="12"/>
        <v>333.2</v>
      </c>
      <c r="R15" s="14">
        <f t="shared" si="12"/>
        <v>451.90249999999997</v>
      </c>
      <c r="S15" s="14">
        <f t="shared" si="12"/>
        <v>408.17</v>
      </c>
      <c r="T15" s="14">
        <f>(T7*8.33%)</f>
        <v>628.58180000000004</v>
      </c>
      <c r="U15" s="14">
        <f t="shared" si="12"/>
        <v>0</v>
      </c>
      <c r="V15" s="14">
        <f>(V6*8.33%)</f>
        <v>458.15</v>
      </c>
      <c r="W15" s="14">
        <f t="shared" si="12"/>
        <v>0</v>
      </c>
    </row>
    <row r="16" spans="1:2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</row>
    <row r="17" spans="1:23">
      <c r="A17" s="22" t="s">
        <v>28</v>
      </c>
      <c r="B17" s="23">
        <f>SUM(B13:B16)+B11</f>
        <v>9635.5709999999999</v>
      </c>
      <c r="C17" s="23">
        <f>SUM(C13:C16)+C11</f>
        <v>9635.5709999999999</v>
      </c>
      <c r="D17" s="23">
        <f t="shared" ref="D17:I17" si="13">SUM(D13:D16)+D11</f>
        <v>8165.5276999999987</v>
      </c>
      <c r="E17" s="23">
        <f t="shared" si="13"/>
        <v>6949.8108000000002</v>
      </c>
      <c r="F17" s="23">
        <f t="shared" si="13"/>
        <v>8165.5276999999987</v>
      </c>
      <c r="G17" s="23">
        <f t="shared" si="13"/>
        <v>5914.0029999999997</v>
      </c>
      <c r="H17" s="23">
        <f t="shared" si="13"/>
        <v>9338.3263000000006</v>
      </c>
      <c r="I17" s="23">
        <f t="shared" si="13"/>
        <v>9338.3263000000006</v>
      </c>
      <c r="J17" s="23">
        <f>SUM(J13:J16)+J11</f>
        <v>8988.0964000000004</v>
      </c>
      <c r="K17" s="23">
        <f>SUM(K13:K16)+K11</f>
        <v>9091.76</v>
      </c>
      <c r="L17" s="23">
        <f t="shared" ref="L17:M17" si="14">SUM(L13:L16)+L11</f>
        <v>7489.13</v>
      </c>
      <c r="M17" s="23">
        <f t="shared" si="14"/>
        <v>6471.16</v>
      </c>
      <c r="N17" s="23">
        <f t="shared" ref="N17:W17" si="15">SUM(N13:N16)+N11</f>
        <v>7578</v>
      </c>
      <c r="O17" s="23">
        <f t="shared" ref="O17" si="16">SUM(O13:O16)+O11</f>
        <v>7578</v>
      </c>
      <c r="P17" s="23">
        <f t="shared" si="15"/>
        <v>0</v>
      </c>
      <c r="Q17" s="23">
        <f t="shared" si="15"/>
        <v>4857.2</v>
      </c>
      <c r="R17" s="23">
        <f t="shared" si="15"/>
        <v>6496.9025000000001</v>
      </c>
      <c r="S17" s="23">
        <f t="shared" si="15"/>
        <v>5868.17</v>
      </c>
      <c r="T17" s="23">
        <f>SUM(T13:T16)+T11</f>
        <v>12216.5818</v>
      </c>
      <c r="U17" s="23">
        <f t="shared" si="15"/>
        <v>0</v>
      </c>
      <c r="V17" s="23">
        <f t="shared" si="15"/>
        <v>6594.15</v>
      </c>
      <c r="W17" s="23">
        <f t="shared" si="15"/>
        <v>0</v>
      </c>
    </row>
    <row r="18" spans="1:23">
      <c r="A18" s="13" t="s">
        <v>32</v>
      </c>
      <c r="B18" s="24">
        <v>564</v>
      </c>
      <c r="C18" s="24">
        <v>564</v>
      </c>
      <c r="D18" s="24">
        <v>564</v>
      </c>
      <c r="E18" s="24">
        <v>564</v>
      </c>
      <c r="F18" s="24">
        <v>564</v>
      </c>
      <c r="G18" s="24">
        <v>500</v>
      </c>
      <c r="H18" s="24">
        <v>562</v>
      </c>
      <c r="I18" s="24">
        <v>562</v>
      </c>
      <c r="J18" s="24">
        <v>550</v>
      </c>
      <c r="K18" s="24">
        <v>550</v>
      </c>
      <c r="L18" s="24">
        <v>511</v>
      </c>
      <c r="M18" s="24">
        <v>500</v>
      </c>
      <c r="N18" s="24">
        <v>500</v>
      </c>
      <c r="O18" s="24">
        <v>500</v>
      </c>
      <c r="P18" s="24"/>
      <c r="Q18" s="24">
        <v>663</v>
      </c>
      <c r="R18" s="24">
        <v>403</v>
      </c>
      <c r="S18" s="24">
        <v>352</v>
      </c>
      <c r="T18" s="24">
        <v>483</v>
      </c>
      <c r="U18" s="24"/>
      <c r="V18" s="24">
        <v>906</v>
      </c>
      <c r="W18" s="24"/>
    </row>
    <row r="19" spans="1:23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</row>
    <row r="20" spans="1:23" ht="25.5">
      <c r="A20" s="104" t="s">
        <v>33</v>
      </c>
      <c r="B20" s="23">
        <f>B17+B18</f>
        <v>10199.571</v>
      </c>
      <c r="C20" s="23">
        <f>C17+C18</f>
        <v>10199.571</v>
      </c>
      <c r="D20" s="23">
        <f t="shared" ref="D20:W20" si="17">D17+D18</f>
        <v>8729.5276999999987</v>
      </c>
      <c r="E20" s="23">
        <f t="shared" si="17"/>
        <v>7513.8108000000002</v>
      </c>
      <c r="F20" s="23">
        <f t="shared" si="17"/>
        <v>8729.5276999999987</v>
      </c>
      <c r="G20" s="23">
        <f t="shared" si="17"/>
        <v>6414.0029999999997</v>
      </c>
      <c r="H20" s="23">
        <f t="shared" si="17"/>
        <v>9900.3263000000006</v>
      </c>
      <c r="I20" s="23">
        <f t="shared" si="17"/>
        <v>9900.3263000000006</v>
      </c>
      <c r="J20" s="23">
        <f>J17+J18</f>
        <v>9538.0964000000004</v>
      </c>
      <c r="K20" s="23">
        <f>K17+K18</f>
        <v>9641.76</v>
      </c>
      <c r="L20" s="23">
        <f t="shared" si="17"/>
        <v>8000.13</v>
      </c>
      <c r="M20" s="23">
        <f t="shared" si="17"/>
        <v>6971.16</v>
      </c>
      <c r="N20" s="23">
        <f t="shared" si="17"/>
        <v>8078</v>
      </c>
      <c r="O20" s="23">
        <f t="shared" ref="O20" si="18">O17+O18</f>
        <v>8078</v>
      </c>
      <c r="P20" s="23">
        <f t="shared" si="17"/>
        <v>0</v>
      </c>
      <c r="Q20" s="23">
        <f t="shared" si="17"/>
        <v>5520.2</v>
      </c>
      <c r="R20" s="23">
        <f t="shared" si="17"/>
        <v>6899.9025000000001</v>
      </c>
      <c r="S20" s="23">
        <f t="shared" si="17"/>
        <v>6220.17</v>
      </c>
      <c r="T20" s="23">
        <f t="shared" si="17"/>
        <v>12699.5818</v>
      </c>
      <c r="U20" s="23">
        <f t="shared" si="17"/>
        <v>0</v>
      </c>
      <c r="V20" s="23">
        <f t="shared" si="17"/>
        <v>7500.15</v>
      </c>
      <c r="W20" s="23">
        <f t="shared" si="17"/>
        <v>0</v>
      </c>
    </row>
    <row r="21" spans="1:23">
      <c r="A21" s="105"/>
      <c r="B21" s="23">
        <v>10199.571</v>
      </c>
      <c r="C21" s="23">
        <v>10199.571</v>
      </c>
      <c r="D21" s="23">
        <v>8729.5276999999987</v>
      </c>
      <c r="E21" s="23">
        <v>7513.8108000000002</v>
      </c>
      <c r="F21" s="23">
        <v>8729.5276999999987</v>
      </c>
      <c r="G21" s="23">
        <v>6414.0029999999997</v>
      </c>
      <c r="H21" s="23">
        <v>9900.3263000000006</v>
      </c>
      <c r="I21" s="23">
        <v>9900.3263000000006</v>
      </c>
      <c r="J21" s="23">
        <v>9538.0964000000004</v>
      </c>
      <c r="K21" s="23">
        <v>9641.76</v>
      </c>
      <c r="L21" s="23">
        <v>8000</v>
      </c>
      <c r="M21" s="23">
        <v>6971</v>
      </c>
      <c r="N21" s="23">
        <v>8078</v>
      </c>
      <c r="O21" s="23">
        <v>8078</v>
      </c>
      <c r="P21" s="23"/>
      <c r="Q21" s="23">
        <v>5520</v>
      </c>
      <c r="R21" s="23">
        <v>6900</v>
      </c>
      <c r="S21" s="23">
        <v>6220</v>
      </c>
      <c r="T21" s="23">
        <v>12700</v>
      </c>
      <c r="U21" s="23"/>
      <c r="V21" s="23">
        <v>7500</v>
      </c>
      <c r="W21" s="23"/>
    </row>
    <row r="22" spans="1:23">
      <c r="L22" s="106"/>
      <c r="M22" s="106">
        <f>M21-M20</f>
        <v>-0.15999999999985448</v>
      </c>
      <c r="N22" s="106">
        <f>N21-N20</f>
        <v>0</v>
      </c>
      <c r="O22" s="106"/>
      <c r="Q22" s="106"/>
      <c r="R22" s="106">
        <f>R21-R20</f>
        <v>9.7499999999854481E-2</v>
      </c>
      <c r="S22" s="106">
        <f>S21-S20</f>
        <v>-0.17000000000007276</v>
      </c>
      <c r="T22" s="106">
        <f>T21-T20</f>
        <v>0.41820000000006985</v>
      </c>
      <c r="V22" s="106">
        <f>V21-V20</f>
        <v>-0.1499999999996362</v>
      </c>
    </row>
    <row r="24" spans="1:23" ht="15" customHeight="1">
      <c r="A24" s="152" t="s">
        <v>25</v>
      </c>
      <c r="B24" s="150" t="s">
        <v>99</v>
      </c>
      <c r="C24" s="151"/>
      <c r="D24" s="150" t="s">
        <v>102</v>
      </c>
      <c r="E24" s="151"/>
      <c r="F24" s="150" t="s">
        <v>103</v>
      </c>
      <c r="G24" s="151"/>
      <c r="H24" s="150" t="s">
        <v>104</v>
      </c>
      <c r="I24" s="151"/>
      <c r="J24" s="150" t="s">
        <v>100</v>
      </c>
      <c r="K24" s="151"/>
      <c r="L24" s="150" t="s">
        <v>153</v>
      </c>
      <c r="M24" s="151"/>
      <c r="N24" s="150" t="s">
        <v>154</v>
      </c>
      <c r="O24" s="151"/>
      <c r="P24" s="150" t="s">
        <v>155</v>
      </c>
      <c r="Q24" s="151"/>
      <c r="R24" s="150" t="s">
        <v>156</v>
      </c>
      <c r="S24" s="151"/>
      <c r="T24" s="150" t="s">
        <v>157</v>
      </c>
      <c r="U24" s="151"/>
      <c r="V24" s="150" t="s">
        <v>83</v>
      </c>
      <c r="W24" s="151"/>
    </row>
    <row r="25" spans="1:23">
      <c r="A25" s="153"/>
      <c r="B25" s="11" t="s">
        <v>101</v>
      </c>
      <c r="C25" s="11" t="s">
        <v>34</v>
      </c>
      <c r="D25" s="11" t="s">
        <v>101</v>
      </c>
      <c r="E25" s="11" t="s">
        <v>34</v>
      </c>
      <c r="F25" s="11" t="s">
        <v>101</v>
      </c>
      <c r="G25" s="11" t="s">
        <v>34</v>
      </c>
      <c r="H25" s="11" t="s">
        <v>101</v>
      </c>
      <c r="I25" s="11" t="s">
        <v>34</v>
      </c>
      <c r="J25" s="11" t="s">
        <v>101</v>
      </c>
      <c r="K25" s="11" t="s">
        <v>34</v>
      </c>
      <c r="L25" s="11" t="s">
        <v>101</v>
      </c>
      <c r="M25" s="11" t="s">
        <v>34</v>
      </c>
      <c r="N25" s="11" t="s">
        <v>101</v>
      </c>
      <c r="O25" s="11" t="s">
        <v>34</v>
      </c>
      <c r="P25" s="11" t="s">
        <v>101</v>
      </c>
      <c r="Q25" s="11" t="s">
        <v>34</v>
      </c>
      <c r="R25" s="11" t="s">
        <v>101</v>
      </c>
      <c r="S25" s="11" t="s">
        <v>34</v>
      </c>
      <c r="T25" s="11" t="s">
        <v>101</v>
      </c>
      <c r="U25" s="11" t="s">
        <v>34</v>
      </c>
      <c r="V25" s="11" t="s">
        <v>101</v>
      </c>
      <c r="W25" s="11" t="s">
        <v>34</v>
      </c>
    </row>
    <row r="26" spans="1:23">
      <c r="A26" s="89" t="s">
        <v>90</v>
      </c>
      <c r="B26" s="90">
        <v>7870</v>
      </c>
      <c r="C26" s="90">
        <v>7870</v>
      </c>
      <c r="D26" s="90">
        <v>6669</v>
      </c>
      <c r="E26" s="90">
        <v>5676</v>
      </c>
      <c r="F26" s="90">
        <v>6669</v>
      </c>
      <c r="G26" s="90">
        <v>4910</v>
      </c>
      <c r="H26" s="90">
        <v>7711</v>
      </c>
      <c r="I26" s="90">
        <v>7711</v>
      </c>
      <c r="J26" s="90">
        <v>7108</v>
      </c>
      <c r="K26" s="90">
        <v>7200</v>
      </c>
      <c r="L26" s="90">
        <v>6100</v>
      </c>
      <c r="M26" s="90">
        <v>5200</v>
      </c>
      <c r="N26" s="90">
        <v>6670</v>
      </c>
      <c r="O26" s="90">
        <v>6670</v>
      </c>
      <c r="P26" s="90"/>
      <c r="Q26" s="90">
        <v>4000</v>
      </c>
      <c r="R26" s="90">
        <v>5425</v>
      </c>
      <c r="S26" s="90">
        <v>4900</v>
      </c>
      <c r="T26" s="90">
        <v>10100</v>
      </c>
      <c r="U26" s="90"/>
      <c r="V26" s="90">
        <v>5500</v>
      </c>
      <c r="W26" s="90"/>
    </row>
    <row r="27" spans="1:23">
      <c r="A27" s="13" t="s">
        <v>3</v>
      </c>
      <c r="B27" s="14">
        <f>B26*70%</f>
        <v>5509</v>
      </c>
      <c r="C27" s="14">
        <f>C26*70%</f>
        <v>5509</v>
      </c>
      <c r="D27" s="14">
        <f t="shared" ref="D27:F27" si="19">D26*70%</f>
        <v>4668.2999999999993</v>
      </c>
      <c r="E27" s="14">
        <f t="shared" si="19"/>
        <v>3973.2</v>
      </c>
      <c r="F27" s="14">
        <f t="shared" si="19"/>
        <v>4668.2999999999993</v>
      </c>
      <c r="G27" s="91">
        <f>G26*54.98%</f>
        <v>2699.5179999999996</v>
      </c>
      <c r="H27" s="91">
        <f t="shared" ref="H27:W27" si="20">H26*60%</f>
        <v>4626.5999999999995</v>
      </c>
      <c r="I27" s="91">
        <f t="shared" si="20"/>
        <v>4626.5999999999995</v>
      </c>
      <c r="J27" s="14">
        <v>7108</v>
      </c>
      <c r="K27" s="14">
        <v>7108</v>
      </c>
      <c r="L27" s="91">
        <v>4420</v>
      </c>
      <c r="M27" s="91">
        <v>4420</v>
      </c>
      <c r="N27" s="91">
        <v>4420</v>
      </c>
      <c r="O27" s="91">
        <v>4420</v>
      </c>
      <c r="P27" s="91">
        <f t="shared" si="20"/>
        <v>0</v>
      </c>
      <c r="Q27" s="91">
        <v>2500</v>
      </c>
      <c r="R27" s="91">
        <v>2713</v>
      </c>
      <c r="S27" s="91">
        <f>S26/2</f>
        <v>2450</v>
      </c>
      <c r="T27" s="91">
        <v>7546</v>
      </c>
      <c r="U27" s="91">
        <f t="shared" si="20"/>
        <v>0</v>
      </c>
      <c r="V27" s="91">
        <v>2800</v>
      </c>
      <c r="W27" s="91">
        <f t="shared" si="20"/>
        <v>0</v>
      </c>
    </row>
    <row r="28" spans="1:23">
      <c r="A28" s="13" t="s">
        <v>48</v>
      </c>
      <c r="B28" s="14">
        <f>B26*30%</f>
        <v>2361</v>
      </c>
      <c r="C28" s="14">
        <f>C26*30%</f>
        <v>2361</v>
      </c>
      <c r="D28" s="14">
        <f t="shared" ref="D28:F28" si="21">D26*30%</f>
        <v>2000.6999999999998</v>
      </c>
      <c r="E28" s="14">
        <f t="shared" si="21"/>
        <v>1702.8</v>
      </c>
      <c r="F28" s="14">
        <f t="shared" si="21"/>
        <v>2000.6999999999998</v>
      </c>
      <c r="G28" s="14">
        <f>G26*45.02%</f>
        <v>2210.4820000000004</v>
      </c>
      <c r="H28" s="91">
        <f t="shared" ref="H28:W28" si="22">H26*40%</f>
        <v>3084.4</v>
      </c>
      <c r="I28" s="91">
        <f t="shared" si="22"/>
        <v>3084.4</v>
      </c>
      <c r="J28" s="14">
        <v>0</v>
      </c>
      <c r="K28" s="14">
        <v>0</v>
      </c>
      <c r="L28" s="91">
        <v>0</v>
      </c>
      <c r="M28" s="91">
        <v>0</v>
      </c>
      <c r="N28" s="91">
        <v>0</v>
      </c>
      <c r="O28" s="91">
        <v>0</v>
      </c>
      <c r="P28" s="91">
        <f t="shared" si="22"/>
        <v>0</v>
      </c>
      <c r="Q28" s="91">
        <v>0</v>
      </c>
      <c r="R28" s="91"/>
      <c r="S28" s="91"/>
      <c r="T28" s="91"/>
      <c r="U28" s="91">
        <f t="shared" si="22"/>
        <v>0</v>
      </c>
      <c r="V28" s="91">
        <v>0</v>
      </c>
      <c r="W28" s="91">
        <f t="shared" si="22"/>
        <v>0</v>
      </c>
    </row>
    <row r="29" spans="1:23">
      <c r="A29" s="13" t="s">
        <v>31</v>
      </c>
      <c r="B29" s="14"/>
      <c r="C29" s="14"/>
      <c r="D29" s="14">
        <v>0</v>
      </c>
      <c r="E29" s="14"/>
      <c r="F29" s="14">
        <v>0</v>
      </c>
      <c r="G29" s="14"/>
      <c r="H29" s="14"/>
      <c r="I29" s="14"/>
      <c r="J29" s="14">
        <v>0</v>
      </c>
      <c r="K29" s="14">
        <v>92</v>
      </c>
      <c r="L29" s="14">
        <v>1680</v>
      </c>
      <c r="M29" s="14">
        <v>780</v>
      </c>
      <c r="N29" s="14">
        <f>N26-N27</f>
        <v>2250</v>
      </c>
      <c r="O29" s="14">
        <f>O26-O27</f>
        <v>2250</v>
      </c>
      <c r="P29" s="14"/>
      <c r="Q29" s="14">
        <v>1500</v>
      </c>
      <c r="R29" s="14">
        <v>2712</v>
      </c>
      <c r="S29" s="14">
        <v>2450</v>
      </c>
      <c r="T29" s="14">
        <v>2554</v>
      </c>
      <c r="U29" s="14"/>
      <c r="V29" s="14">
        <v>2700</v>
      </c>
      <c r="W29" s="14"/>
    </row>
    <row r="30" spans="1:23">
      <c r="A30" s="15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</row>
    <row r="31" spans="1:23">
      <c r="A31" s="20" t="s">
        <v>26</v>
      </c>
      <c r="B31" s="21">
        <f>SUM(B27:B30)</f>
        <v>7870</v>
      </c>
      <c r="C31" s="21">
        <f>SUM(C27:C30)</f>
        <v>7870</v>
      </c>
      <c r="D31" s="21">
        <f t="shared" ref="D31:W31" si="23">SUM(D27:D30)</f>
        <v>6668.9999999999991</v>
      </c>
      <c r="E31" s="21">
        <f t="shared" si="23"/>
        <v>5676</v>
      </c>
      <c r="F31" s="21">
        <f t="shared" si="23"/>
        <v>6668.9999999999991</v>
      </c>
      <c r="G31" s="21">
        <f t="shared" si="23"/>
        <v>4910</v>
      </c>
      <c r="H31" s="21">
        <f t="shared" si="23"/>
        <v>7711</v>
      </c>
      <c r="I31" s="21">
        <f t="shared" si="23"/>
        <v>7711</v>
      </c>
      <c r="J31" s="21">
        <f>SUM(J27:J30)</f>
        <v>7108</v>
      </c>
      <c r="K31" s="21">
        <f>SUM(K27:K30)</f>
        <v>7200</v>
      </c>
      <c r="L31" s="21">
        <f t="shared" si="23"/>
        <v>6100</v>
      </c>
      <c r="M31" s="21">
        <f t="shared" si="23"/>
        <v>5200</v>
      </c>
      <c r="N31" s="21">
        <f t="shared" si="23"/>
        <v>6670</v>
      </c>
      <c r="O31" s="21">
        <f t="shared" ref="O31" si="24">SUM(O27:O30)</f>
        <v>6670</v>
      </c>
      <c r="P31" s="21">
        <f t="shared" si="23"/>
        <v>0</v>
      </c>
      <c r="Q31" s="21">
        <f t="shared" si="23"/>
        <v>4000</v>
      </c>
      <c r="R31" s="21">
        <f t="shared" si="23"/>
        <v>5425</v>
      </c>
      <c r="S31" s="21">
        <f t="shared" si="23"/>
        <v>4900</v>
      </c>
      <c r="T31" s="21">
        <f t="shared" si="23"/>
        <v>10100</v>
      </c>
      <c r="U31" s="21">
        <f t="shared" si="23"/>
        <v>0</v>
      </c>
      <c r="V31" s="21">
        <f t="shared" si="23"/>
        <v>5500</v>
      </c>
      <c r="W31" s="21">
        <f t="shared" si="23"/>
        <v>0</v>
      </c>
    </row>
    <row r="32" spans="1:23">
      <c r="A32" s="16" t="s">
        <v>96</v>
      </c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</row>
    <row r="33" spans="1:23">
      <c r="A33" s="13" t="s">
        <v>95</v>
      </c>
      <c r="B33" s="14">
        <f>ROUND(B27*12%,0)</f>
        <v>661</v>
      </c>
      <c r="C33" s="14">
        <f>ROUND(C27*12%,0)</f>
        <v>661</v>
      </c>
      <c r="D33" s="14">
        <f t="shared" ref="D33:W33" si="25">ROUND(D27*12%,0)</f>
        <v>560</v>
      </c>
      <c r="E33" s="14">
        <f t="shared" si="25"/>
        <v>477</v>
      </c>
      <c r="F33" s="14">
        <f t="shared" si="25"/>
        <v>560</v>
      </c>
      <c r="G33" s="14">
        <f t="shared" si="25"/>
        <v>324</v>
      </c>
      <c r="H33" s="14">
        <f t="shared" si="25"/>
        <v>555</v>
      </c>
      <c r="I33" s="14">
        <f t="shared" si="25"/>
        <v>555</v>
      </c>
      <c r="J33" s="14">
        <f>ROUND(J27*12%,0)</f>
        <v>853</v>
      </c>
      <c r="K33" s="14">
        <f>ROUND(K27*12%,0)</f>
        <v>853</v>
      </c>
      <c r="L33" s="14">
        <f t="shared" si="25"/>
        <v>530</v>
      </c>
      <c r="M33" s="14">
        <f t="shared" si="25"/>
        <v>530</v>
      </c>
      <c r="N33" s="14">
        <f t="shared" si="25"/>
        <v>530</v>
      </c>
      <c r="O33" s="14">
        <f t="shared" ref="O33" si="26">ROUND(O27*12%,0)</f>
        <v>530</v>
      </c>
      <c r="P33" s="14">
        <f t="shared" si="25"/>
        <v>0</v>
      </c>
      <c r="Q33" s="14">
        <f t="shared" si="25"/>
        <v>300</v>
      </c>
      <c r="R33" s="14">
        <f t="shared" si="25"/>
        <v>326</v>
      </c>
      <c r="S33" s="14">
        <f t="shared" si="25"/>
        <v>294</v>
      </c>
      <c r="T33" s="14">
        <f t="shared" si="25"/>
        <v>906</v>
      </c>
      <c r="U33" s="14">
        <f t="shared" si="25"/>
        <v>0</v>
      </c>
      <c r="V33" s="14">
        <f t="shared" si="25"/>
        <v>336</v>
      </c>
      <c r="W33" s="14">
        <f t="shared" si="25"/>
        <v>0</v>
      </c>
    </row>
    <row r="34" spans="1:23">
      <c r="A34" s="13" t="s">
        <v>91</v>
      </c>
      <c r="B34" s="14">
        <f>ROUNDUP(B31*1.75%,0)</f>
        <v>138</v>
      </c>
      <c r="C34" s="14">
        <f>ROUNDUP(C31*1.75%,0)</f>
        <v>138</v>
      </c>
      <c r="D34" s="14">
        <f t="shared" ref="D34:W34" si="27">ROUNDUP(D31*1.75%,0)</f>
        <v>117</v>
      </c>
      <c r="E34" s="14">
        <f t="shared" si="27"/>
        <v>100</v>
      </c>
      <c r="F34" s="14">
        <f t="shared" si="27"/>
        <v>117</v>
      </c>
      <c r="G34" s="14">
        <f t="shared" si="27"/>
        <v>86</v>
      </c>
      <c r="H34" s="14">
        <f t="shared" si="27"/>
        <v>135</v>
      </c>
      <c r="I34" s="14">
        <f t="shared" si="27"/>
        <v>135</v>
      </c>
      <c r="J34" s="14">
        <f>ROUNDUP(J31*1.75%,0)</f>
        <v>125</v>
      </c>
      <c r="K34" s="14">
        <f>ROUNDUP(K31*1.75%,0)</f>
        <v>126</v>
      </c>
      <c r="L34" s="14">
        <f t="shared" si="27"/>
        <v>107</v>
      </c>
      <c r="M34" s="14">
        <f t="shared" si="27"/>
        <v>91</v>
      </c>
      <c r="N34" s="14">
        <f t="shared" si="27"/>
        <v>117</v>
      </c>
      <c r="O34" s="14">
        <f t="shared" ref="O34" si="28">ROUNDUP(O31*1.75%,0)</f>
        <v>117</v>
      </c>
      <c r="P34" s="14">
        <f t="shared" si="27"/>
        <v>0</v>
      </c>
      <c r="Q34" s="14">
        <f t="shared" si="27"/>
        <v>70</v>
      </c>
      <c r="R34" s="14">
        <f t="shared" si="27"/>
        <v>95</v>
      </c>
      <c r="S34" s="14">
        <f t="shared" si="27"/>
        <v>86</v>
      </c>
      <c r="T34" s="14">
        <f t="shared" si="27"/>
        <v>177</v>
      </c>
      <c r="U34" s="14">
        <f t="shared" si="27"/>
        <v>0</v>
      </c>
      <c r="V34" s="14">
        <f t="shared" si="27"/>
        <v>97</v>
      </c>
      <c r="W34" s="14">
        <f t="shared" si="27"/>
        <v>0</v>
      </c>
    </row>
    <row r="35" spans="1:23">
      <c r="A35" s="13" t="s">
        <v>190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>
        <v>110</v>
      </c>
      <c r="U35" s="14"/>
      <c r="V35" s="14"/>
      <c r="W35" s="14"/>
    </row>
    <row r="36" spans="1:23">
      <c r="A36" s="13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</row>
    <row r="37" spans="1:23">
      <c r="A37" s="22" t="s">
        <v>28</v>
      </c>
      <c r="B37" s="23">
        <f>SUM(B33:B36)</f>
        <v>799</v>
      </c>
      <c r="C37" s="23">
        <f t="shared" ref="C37:W37" si="29">SUM(C33:C36)</f>
        <v>799</v>
      </c>
      <c r="D37" s="23">
        <f t="shared" si="29"/>
        <v>677</v>
      </c>
      <c r="E37" s="23">
        <f t="shared" si="29"/>
        <v>577</v>
      </c>
      <c r="F37" s="23">
        <f t="shared" si="29"/>
        <v>677</v>
      </c>
      <c r="G37" s="23">
        <f t="shared" si="29"/>
        <v>410</v>
      </c>
      <c r="H37" s="23">
        <f t="shared" si="29"/>
        <v>690</v>
      </c>
      <c r="I37" s="23">
        <f t="shared" si="29"/>
        <v>690</v>
      </c>
      <c r="J37" s="23">
        <f t="shared" si="29"/>
        <v>978</v>
      </c>
      <c r="K37" s="23">
        <f t="shared" si="29"/>
        <v>979</v>
      </c>
      <c r="L37" s="23">
        <f t="shared" si="29"/>
        <v>637</v>
      </c>
      <c r="M37" s="23">
        <f t="shared" si="29"/>
        <v>621</v>
      </c>
      <c r="N37" s="23">
        <f t="shared" si="29"/>
        <v>647</v>
      </c>
      <c r="O37" s="23">
        <f t="shared" si="29"/>
        <v>647</v>
      </c>
      <c r="P37" s="23">
        <f t="shared" si="29"/>
        <v>0</v>
      </c>
      <c r="Q37" s="23">
        <f t="shared" si="29"/>
        <v>370</v>
      </c>
      <c r="R37" s="23">
        <f t="shared" si="29"/>
        <v>421</v>
      </c>
      <c r="S37" s="23">
        <f t="shared" si="29"/>
        <v>380</v>
      </c>
      <c r="T37" s="23">
        <f t="shared" si="29"/>
        <v>1193</v>
      </c>
      <c r="U37" s="23">
        <f t="shared" si="29"/>
        <v>0</v>
      </c>
      <c r="V37" s="23">
        <f t="shared" si="29"/>
        <v>433</v>
      </c>
      <c r="W37" s="23">
        <f t="shared" si="29"/>
        <v>0</v>
      </c>
    </row>
    <row r="38" spans="1:23">
      <c r="A38" s="22" t="s">
        <v>97</v>
      </c>
      <c r="B38" s="23">
        <f>B31-B37</f>
        <v>7071</v>
      </c>
      <c r="C38" s="23">
        <f>C31-C37</f>
        <v>7071</v>
      </c>
      <c r="D38" s="23">
        <f t="shared" ref="D38:W38" si="30">D31-D37</f>
        <v>5991.9999999999991</v>
      </c>
      <c r="E38" s="23">
        <f t="shared" si="30"/>
        <v>5099</v>
      </c>
      <c r="F38" s="23">
        <f t="shared" si="30"/>
        <v>5991.9999999999991</v>
      </c>
      <c r="G38" s="23">
        <f t="shared" si="30"/>
        <v>4500</v>
      </c>
      <c r="H38" s="23">
        <f t="shared" si="30"/>
        <v>7021</v>
      </c>
      <c r="I38" s="23">
        <f t="shared" si="30"/>
        <v>7021</v>
      </c>
      <c r="J38" s="23">
        <f>J31-J37</f>
        <v>6130</v>
      </c>
      <c r="K38" s="23">
        <f>K31-K37</f>
        <v>6221</v>
      </c>
      <c r="L38" s="23">
        <f t="shared" si="30"/>
        <v>5463</v>
      </c>
      <c r="M38" s="23">
        <f t="shared" si="30"/>
        <v>4579</v>
      </c>
      <c r="N38" s="23">
        <f t="shared" si="30"/>
        <v>6023</v>
      </c>
      <c r="O38" s="23">
        <f t="shared" ref="O38" si="31">O31-O37</f>
        <v>6023</v>
      </c>
      <c r="P38" s="23">
        <f t="shared" si="30"/>
        <v>0</v>
      </c>
      <c r="Q38" s="23">
        <f t="shared" si="30"/>
        <v>3630</v>
      </c>
      <c r="R38" s="23">
        <f t="shared" si="30"/>
        <v>5004</v>
      </c>
      <c r="S38" s="23">
        <f t="shared" si="30"/>
        <v>4520</v>
      </c>
      <c r="T38" s="23">
        <f t="shared" si="30"/>
        <v>8907</v>
      </c>
      <c r="U38" s="23">
        <f t="shared" si="30"/>
        <v>0</v>
      </c>
      <c r="V38" s="23">
        <f t="shared" si="30"/>
        <v>5067</v>
      </c>
      <c r="W38" s="23">
        <f t="shared" si="30"/>
        <v>0</v>
      </c>
    </row>
    <row r="39" spans="1:23">
      <c r="A39" s="13" t="s">
        <v>92</v>
      </c>
      <c r="B39" s="14">
        <f>(B26/12)</f>
        <v>655.83333333333337</v>
      </c>
      <c r="C39" s="14">
        <f>(C26/12)</f>
        <v>655.83333333333337</v>
      </c>
      <c r="D39" s="14">
        <f t="shared" ref="D39:W39" si="32">(D26/12)</f>
        <v>555.75</v>
      </c>
      <c r="E39" s="14">
        <f t="shared" si="32"/>
        <v>473</v>
      </c>
      <c r="F39" s="14">
        <f t="shared" si="32"/>
        <v>555.75</v>
      </c>
      <c r="G39" s="14">
        <f t="shared" si="32"/>
        <v>409.16666666666669</v>
      </c>
      <c r="H39" s="14">
        <f t="shared" si="32"/>
        <v>642.58333333333337</v>
      </c>
      <c r="I39" s="14">
        <f t="shared" si="32"/>
        <v>642.58333333333337</v>
      </c>
      <c r="J39" s="14">
        <f>(J26/12)</f>
        <v>592.33333333333337</v>
      </c>
      <c r="K39" s="14">
        <f>(K26/12)</f>
        <v>600</v>
      </c>
      <c r="L39" s="14">
        <f t="shared" si="32"/>
        <v>508.33333333333331</v>
      </c>
      <c r="M39" s="14">
        <f t="shared" si="32"/>
        <v>433.33333333333331</v>
      </c>
      <c r="N39" s="14">
        <f t="shared" si="32"/>
        <v>555.83333333333337</v>
      </c>
      <c r="O39" s="14">
        <f t="shared" ref="O39" si="33">(O26/12)</f>
        <v>555.83333333333337</v>
      </c>
      <c r="P39" s="14">
        <f t="shared" si="32"/>
        <v>0</v>
      </c>
      <c r="Q39" s="14">
        <f t="shared" si="32"/>
        <v>333.33333333333331</v>
      </c>
      <c r="R39" s="14">
        <f t="shared" si="32"/>
        <v>452.08333333333331</v>
      </c>
      <c r="S39" s="14">
        <f t="shared" si="32"/>
        <v>408.33333333333331</v>
      </c>
      <c r="T39" s="14">
        <f t="shared" si="32"/>
        <v>841.66666666666663</v>
      </c>
      <c r="U39" s="14">
        <f t="shared" si="32"/>
        <v>0</v>
      </c>
      <c r="V39" s="14">
        <f t="shared" si="32"/>
        <v>458.33333333333331</v>
      </c>
      <c r="W39" s="14">
        <f t="shared" si="32"/>
        <v>0</v>
      </c>
    </row>
    <row r="40" spans="1:23">
      <c r="A40" s="22" t="s">
        <v>98</v>
      </c>
      <c r="B40" s="23">
        <f>B38+B39</f>
        <v>7726.833333333333</v>
      </c>
      <c r="C40" s="23">
        <f>C38+C39</f>
        <v>7726.833333333333</v>
      </c>
      <c r="D40" s="23">
        <f t="shared" ref="D40:W40" si="34">D38+D39</f>
        <v>6547.7499999999991</v>
      </c>
      <c r="E40" s="23">
        <f t="shared" si="34"/>
        <v>5572</v>
      </c>
      <c r="F40" s="23">
        <f t="shared" si="34"/>
        <v>6547.7499999999991</v>
      </c>
      <c r="G40" s="23">
        <f t="shared" si="34"/>
        <v>4909.166666666667</v>
      </c>
      <c r="H40" s="23">
        <f t="shared" si="34"/>
        <v>7663.583333333333</v>
      </c>
      <c r="I40" s="23">
        <f t="shared" si="34"/>
        <v>7663.583333333333</v>
      </c>
      <c r="J40" s="23">
        <f>J38+J39</f>
        <v>6722.333333333333</v>
      </c>
      <c r="K40" s="23">
        <f>K38+K39</f>
        <v>6821</v>
      </c>
      <c r="L40" s="23">
        <f t="shared" si="34"/>
        <v>5971.333333333333</v>
      </c>
      <c r="M40" s="23">
        <f t="shared" si="34"/>
        <v>5012.333333333333</v>
      </c>
      <c r="N40" s="23">
        <f t="shared" si="34"/>
        <v>6578.833333333333</v>
      </c>
      <c r="O40" s="23">
        <f t="shared" ref="O40" si="35">O38+O39</f>
        <v>6578.833333333333</v>
      </c>
      <c r="P40" s="23">
        <f t="shared" si="34"/>
        <v>0</v>
      </c>
      <c r="Q40" s="23">
        <f t="shared" si="34"/>
        <v>3963.3333333333335</v>
      </c>
      <c r="R40" s="23">
        <f t="shared" si="34"/>
        <v>5456.083333333333</v>
      </c>
      <c r="S40" s="23">
        <f t="shared" si="34"/>
        <v>4928.333333333333</v>
      </c>
      <c r="T40" s="23">
        <f t="shared" si="34"/>
        <v>9748.6666666666661</v>
      </c>
      <c r="U40" s="23">
        <f t="shared" si="34"/>
        <v>0</v>
      </c>
      <c r="V40" s="23">
        <f t="shared" si="34"/>
        <v>5525.333333333333</v>
      </c>
      <c r="W40" s="23">
        <f t="shared" si="34"/>
        <v>0</v>
      </c>
    </row>
  </sheetData>
  <mergeCells count="26">
    <mergeCell ref="N4:O4"/>
    <mergeCell ref="P4:Q4"/>
    <mergeCell ref="N3:O3"/>
    <mergeCell ref="P3:Q3"/>
    <mergeCell ref="A4:A5"/>
    <mergeCell ref="B4:C4"/>
    <mergeCell ref="J4:K4"/>
    <mergeCell ref="D4:E4"/>
    <mergeCell ref="F4:G4"/>
    <mergeCell ref="H4:I4"/>
    <mergeCell ref="R4:S4"/>
    <mergeCell ref="T4:U4"/>
    <mergeCell ref="V4:W4"/>
    <mergeCell ref="A24:A25"/>
    <mergeCell ref="B24:C24"/>
    <mergeCell ref="J24:K24"/>
    <mergeCell ref="D24:E24"/>
    <mergeCell ref="F24:G24"/>
    <mergeCell ref="H24:I24"/>
    <mergeCell ref="L24:M24"/>
    <mergeCell ref="N24:O24"/>
    <mergeCell ref="P24:Q24"/>
    <mergeCell ref="R24:S24"/>
    <mergeCell ref="T24:U24"/>
    <mergeCell ref="V24:W24"/>
    <mergeCell ref="L4:M4"/>
  </mergeCells>
  <printOptions horizontalCentered="1"/>
  <pageMargins left="0" right="0" top="0.19685039370078741" bottom="0" header="0" footer="0"/>
  <pageSetup paperSize="9" scale="9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Wage Sheet</vt:lpstr>
      <vt:lpstr>Master Sheet</vt:lpstr>
      <vt:lpstr>Payslip</vt:lpstr>
      <vt:lpstr>Client Name &amp; Address</vt:lpstr>
      <vt:lpstr>Rate </vt:lpstr>
      <vt:lpstr>Sheet1</vt:lpstr>
      <vt:lpstr>'Master Sheet'!Print_Area</vt:lpstr>
      <vt:lpstr>Payslip!Print_Area</vt:lpstr>
      <vt:lpstr>'Wage Sheet'!Print_Area</vt:lpstr>
      <vt:lpstr>'Wage Sheet'!Print_Titles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Sunder Agarwal</dc:creator>
  <cp:lastModifiedBy>LENOVO</cp:lastModifiedBy>
  <cp:lastPrinted>2017-04-03T13:15:14Z</cp:lastPrinted>
  <dcterms:created xsi:type="dcterms:W3CDTF">2015-11-25T10:31:25Z</dcterms:created>
  <dcterms:modified xsi:type="dcterms:W3CDTF">2017-04-13T07:57:42Z</dcterms:modified>
</cp:coreProperties>
</file>