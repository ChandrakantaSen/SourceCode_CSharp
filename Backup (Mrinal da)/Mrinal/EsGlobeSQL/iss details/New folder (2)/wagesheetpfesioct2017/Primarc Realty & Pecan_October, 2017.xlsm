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510" windowWidth="19440" windowHeight="7575" tabRatio="778" activeTab="3"/>
  </bookViews>
  <sheets>
    <sheet name="HO " sheetId="28" r:id="rId1"/>
    <sheet name="Electrician" sheetId="32" r:id="rId2"/>
    <sheet name="Lovelock" sheetId="34" r:id="rId3"/>
    <sheet name="Gangetica" sheetId="35" r:id="rId4"/>
    <sheet name="Aura" sheetId="37" r:id="rId5"/>
    <sheet name="Allure" sheetId="39" r:id="rId6"/>
    <sheet name="Pecan" sheetId="40" r:id="rId7"/>
    <sheet name="Rate - 01.01.2017-30.06.2017" sheetId="23" r:id="rId8"/>
  </sheets>
  <functionGroups builtInGroupCount="17"/>
  <definedNames>
    <definedName name="list">#REF!</definedName>
    <definedName name="_xlnm.Print_Area" localSheetId="5">Allure!$A$1:$Y$15</definedName>
    <definedName name="_xlnm.Print_Area" localSheetId="4">Aura!$A$1:$Y$18</definedName>
    <definedName name="_xlnm.Print_Area" localSheetId="1">Electrician!$A$1:$Y$11</definedName>
    <definedName name="_xlnm.Print_Area" localSheetId="3">Gangetica!$A$1:$Y$23</definedName>
    <definedName name="_xlnm.Print_Area" localSheetId="0">'HO '!$A$1:$Y$29</definedName>
    <definedName name="_xlnm.Print_Area" localSheetId="2">Lovelock!$A$1:$Y$14</definedName>
    <definedName name="_xlnm.Print_Area" localSheetId="6">Pecan!$A$1:$Y$18</definedName>
    <definedName name="_xlnm.Print_Area" localSheetId="7">'Rate - 01.01.2017-30.06.2017'!#REF!</definedName>
  </definedNames>
  <calcPr calcId="145621"/>
  <fileRecoveryPr autoRecover="0"/>
</workbook>
</file>

<file path=xl/calcChain.xml><?xml version="1.0" encoding="utf-8"?>
<calcChain xmlns="http://schemas.openxmlformats.org/spreadsheetml/2006/main">
  <c r="F13" i="39" l="1"/>
  <c r="G13" i="39" s="1"/>
  <c r="K13" i="39"/>
  <c r="Z13" i="39" s="1"/>
  <c r="O13" i="39" s="1"/>
  <c r="V13" i="39"/>
  <c r="W13" i="39"/>
  <c r="G20" i="28"/>
  <c r="M20" i="28" s="1"/>
  <c r="N20" i="28" s="1"/>
  <c r="K20" i="28"/>
  <c r="Z20" i="28" s="1"/>
  <c r="AA20" i="28" s="1"/>
  <c r="L20" i="28"/>
  <c r="V20" i="28"/>
  <c r="W20" i="28"/>
  <c r="AB20" i="28"/>
  <c r="P20" i="28" s="1"/>
  <c r="G21" i="28"/>
  <c r="M21" i="28" s="1"/>
  <c r="K21" i="28"/>
  <c r="L21" i="28"/>
  <c r="V21" i="28"/>
  <c r="W21" i="28"/>
  <c r="Z21" i="28"/>
  <c r="O21" i="28" s="1"/>
  <c r="M13" i="39" l="1"/>
  <c r="AB13" i="39"/>
  <c r="AA13" i="39"/>
  <c r="L13" i="39"/>
  <c r="N13" i="39" s="1"/>
  <c r="AA21" i="28"/>
  <c r="N21" i="28"/>
  <c r="Q20" i="28"/>
  <c r="Q21" i="28"/>
  <c r="O20" i="28"/>
  <c r="T20" i="28" s="1"/>
  <c r="U20" i="28" s="1"/>
  <c r="X20" i="28" s="1"/>
  <c r="AB21" i="28"/>
  <c r="AC20" i="28"/>
  <c r="F16" i="35"/>
  <c r="G16" i="35" s="1"/>
  <c r="K16" i="35"/>
  <c r="Z16" i="35" s="1"/>
  <c r="O16" i="35" s="1"/>
  <c r="V16" i="35"/>
  <c r="W16" i="35"/>
  <c r="F17" i="35"/>
  <c r="L17" i="35" s="1"/>
  <c r="K17" i="35"/>
  <c r="Z17" i="35" s="1"/>
  <c r="O17" i="35" s="1"/>
  <c r="V17" i="35"/>
  <c r="W17" i="35"/>
  <c r="Q13" i="39" l="1"/>
  <c r="P13" i="39"/>
  <c r="T13" i="39" s="1"/>
  <c r="U13" i="39" s="1"/>
  <c r="X13" i="39" s="1"/>
  <c r="AC13" i="39"/>
  <c r="P21" i="28"/>
  <c r="T21" i="28" s="1"/>
  <c r="U21" i="28" s="1"/>
  <c r="X21" i="28" s="1"/>
  <c r="AC21" i="28"/>
  <c r="M16" i="35"/>
  <c r="AB16" i="35"/>
  <c r="G17" i="35"/>
  <c r="AA16" i="35"/>
  <c r="L16" i="35"/>
  <c r="AA17" i="35"/>
  <c r="I23" i="28"/>
  <c r="AB17" i="35" l="1"/>
  <c r="M17" i="35"/>
  <c r="N17" i="35" s="1"/>
  <c r="N16" i="35"/>
  <c r="AC16" i="35"/>
  <c r="P16" i="35"/>
  <c r="Q17" i="35" l="1"/>
  <c r="P17" i="35"/>
  <c r="AC17" i="35"/>
  <c r="Q16" i="35"/>
  <c r="T16" i="35" s="1"/>
  <c r="U16" i="35" s="1"/>
  <c r="X16" i="35" s="1"/>
  <c r="T17" i="35" l="1"/>
  <c r="U17" i="35" s="1"/>
  <c r="X17" i="35" s="1"/>
  <c r="K12" i="39"/>
  <c r="Z12" i="39" s="1"/>
  <c r="O12" i="39" s="1"/>
  <c r="V12" i="39"/>
  <c r="W12" i="39"/>
  <c r="F12" i="39"/>
  <c r="G12" i="39" s="1"/>
  <c r="AB12" i="39" s="1"/>
  <c r="P12" i="39" s="1"/>
  <c r="M12" i="39" l="1"/>
  <c r="L12" i="39"/>
  <c r="AC12" i="39"/>
  <c r="AA12" i="39"/>
  <c r="A3" i="40"/>
  <c r="A3" i="39"/>
  <c r="A3" i="37"/>
  <c r="A3" i="35"/>
  <c r="A3" i="32"/>
  <c r="A3" i="34" s="1"/>
  <c r="N12" i="39" l="1"/>
  <c r="Q12" i="39" s="1"/>
  <c r="T12" i="39" s="1"/>
  <c r="U12" i="39" s="1"/>
  <c r="X12" i="39" s="1"/>
  <c r="C11" i="23"/>
  <c r="D11" i="23"/>
  <c r="E11" i="23"/>
  <c r="F11" i="23"/>
  <c r="G11" i="23"/>
  <c r="H11" i="23"/>
  <c r="I11" i="23"/>
  <c r="J11" i="23"/>
  <c r="B11" i="23"/>
  <c r="Y22" i="37" l="1"/>
  <c r="S22" i="37"/>
  <c r="R22" i="37"/>
  <c r="J22" i="37"/>
  <c r="I22" i="37"/>
  <c r="X21" i="37"/>
  <c r="W20" i="37"/>
  <c r="V20" i="37"/>
  <c r="L20" i="37"/>
  <c r="K20" i="37"/>
  <c r="Z20" i="37" s="1"/>
  <c r="AA20" i="37" s="1"/>
  <c r="G20" i="37"/>
  <c r="AB20" i="37" s="1"/>
  <c r="W19" i="37"/>
  <c r="V19" i="37"/>
  <c r="L19" i="37"/>
  <c r="K19" i="37"/>
  <c r="G19" i="37"/>
  <c r="AB19" i="37" s="1"/>
  <c r="L22" i="37" l="1"/>
  <c r="W22" i="37"/>
  <c r="K22" i="37"/>
  <c r="V22" i="37"/>
  <c r="AB22" i="37"/>
  <c r="AC19" i="37"/>
  <c r="P19" i="37"/>
  <c r="AC20" i="37"/>
  <c r="P20" i="37"/>
  <c r="O20" i="37"/>
  <c r="M19" i="37"/>
  <c r="Z19" i="37"/>
  <c r="AA19" i="37" s="1"/>
  <c r="M20" i="37"/>
  <c r="N20" i="37" s="1"/>
  <c r="F15" i="35"/>
  <c r="G15" i="35" s="1"/>
  <c r="K15" i="35"/>
  <c r="Z15" i="35" s="1"/>
  <c r="O15" i="35" s="1"/>
  <c r="V15" i="35"/>
  <c r="W15" i="35"/>
  <c r="Q20" i="37" l="1"/>
  <c r="T20" i="37" s="1"/>
  <c r="U20" i="37" s="1"/>
  <c r="X20" i="37" s="1"/>
  <c r="M22" i="37"/>
  <c r="N19" i="37"/>
  <c r="AC22" i="37"/>
  <c r="O19" i="37"/>
  <c r="Z22" i="37"/>
  <c r="P22" i="37"/>
  <c r="M15" i="35"/>
  <c r="AB15" i="35"/>
  <c r="AA15" i="35"/>
  <c r="L15" i="35"/>
  <c r="N15" i="35" s="1"/>
  <c r="Q19" i="37" l="1"/>
  <c r="Q22" i="37" s="1"/>
  <c r="N22" i="37"/>
  <c r="AA22" i="37"/>
  <c r="O22" i="37"/>
  <c r="Q15" i="35"/>
  <c r="P15" i="35"/>
  <c r="AC15" i="35"/>
  <c r="T15" i="35" l="1"/>
  <c r="U15" i="35" s="1"/>
  <c r="X15" i="35" s="1"/>
  <c r="T19" i="37"/>
  <c r="T22" i="37" s="1"/>
  <c r="U19" i="37" l="1"/>
  <c r="X19" i="37" s="1"/>
  <c r="X22" i="37" s="1"/>
  <c r="U22" i="37" l="1"/>
  <c r="I18" i="40"/>
  <c r="W10" i="34" l="1"/>
  <c r="W11" i="34"/>
  <c r="W12" i="34"/>
  <c r="W9" i="34"/>
  <c r="W9" i="32"/>
  <c r="W27" i="28"/>
  <c r="W24" i="28"/>
  <c r="W18" i="28"/>
  <c r="W13" i="28"/>
  <c r="W14" i="28"/>
  <c r="W10" i="28"/>
  <c r="W16" i="28"/>
  <c r="W15" i="28"/>
  <c r="W17" i="28"/>
  <c r="W11" i="28"/>
  <c r="W12" i="28"/>
  <c r="W19" i="28"/>
  <c r="W9" i="28"/>
  <c r="Y18" i="40"/>
  <c r="S18" i="40"/>
  <c r="R18" i="40"/>
  <c r="J18" i="40"/>
  <c r="W16" i="40"/>
  <c r="V16" i="40"/>
  <c r="L16" i="40"/>
  <c r="K16" i="40"/>
  <c r="G16" i="40"/>
  <c r="AB16" i="40" s="1"/>
  <c r="W15" i="40"/>
  <c r="V15" i="40"/>
  <c r="L15" i="40"/>
  <c r="K15" i="40"/>
  <c r="Z15" i="40" s="1"/>
  <c r="G15" i="40"/>
  <c r="AB15" i="40" s="1"/>
  <c r="W14" i="40"/>
  <c r="V14" i="40"/>
  <c r="L14" i="40"/>
  <c r="K14" i="40"/>
  <c r="G14" i="40"/>
  <c r="AB14" i="40" s="1"/>
  <c r="AC14" i="40" s="1"/>
  <c r="W13" i="40"/>
  <c r="V13" i="40"/>
  <c r="L13" i="40"/>
  <c r="K13" i="40"/>
  <c r="G13" i="40"/>
  <c r="AB13" i="40" s="1"/>
  <c r="R15" i="39"/>
  <c r="S15" i="39"/>
  <c r="Y15" i="39"/>
  <c r="J15" i="39"/>
  <c r="I15" i="39"/>
  <c r="X14" i="39"/>
  <c r="N14" i="39"/>
  <c r="V18" i="40" l="1"/>
  <c r="K18" i="40"/>
  <c r="M16" i="40"/>
  <c r="N16" i="40" s="1"/>
  <c r="Q16" i="40" s="1"/>
  <c r="L18" i="40"/>
  <c r="W18" i="40"/>
  <c r="M14" i="40"/>
  <c r="N14" i="40" s="1"/>
  <c r="Q14" i="40" s="1"/>
  <c r="O15" i="40"/>
  <c r="AA15" i="40"/>
  <c r="AC16" i="40"/>
  <c r="P16" i="40"/>
  <c r="AB18" i="40"/>
  <c r="AC13" i="40"/>
  <c r="P13" i="40"/>
  <c r="AC15" i="40"/>
  <c r="P15" i="40"/>
  <c r="Z14" i="40"/>
  <c r="Z16" i="40"/>
  <c r="M13" i="40"/>
  <c r="N13" i="40" s="1"/>
  <c r="Z13" i="40"/>
  <c r="P14" i="40"/>
  <c r="M15" i="40"/>
  <c r="N15" i="40" s="1"/>
  <c r="Q13" i="40" l="1"/>
  <c r="N18" i="40"/>
  <c r="Q15" i="40"/>
  <c r="T15" i="40" s="1"/>
  <c r="U15" i="40" s="1"/>
  <c r="X15" i="40" s="1"/>
  <c r="O13" i="40"/>
  <c r="Z18" i="40"/>
  <c r="AA13" i="40"/>
  <c r="AA16" i="40"/>
  <c r="O16" i="40"/>
  <c r="T16" i="40" s="1"/>
  <c r="U16" i="40" s="1"/>
  <c r="X16" i="40" s="1"/>
  <c r="P18" i="40"/>
  <c r="M18" i="40"/>
  <c r="AA14" i="40"/>
  <c r="O14" i="40"/>
  <c r="T14" i="40" s="1"/>
  <c r="U14" i="40" s="1"/>
  <c r="X14" i="40" s="1"/>
  <c r="AC18" i="40"/>
  <c r="AA18" i="40" l="1"/>
  <c r="O18" i="40"/>
  <c r="T13" i="40"/>
  <c r="Q18" i="40"/>
  <c r="T18" i="40" l="1"/>
  <c r="U13" i="40"/>
  <c r="U18" i="40" l="1"/>
  <c r="X13" i="40"/>
  <c r="X18" i="40" s="1"/>
  <c r="R15" i="37" l="1"/>
  <c r="S15" i="37"/>
  <c r="Y15" i="37"/>
  <c r="J15" i="37"/>
  <c r="I15" i="37"/>
  <c r="X17" i="37"/>
  <c r="J18" i="37"/>
  <c r="R18" i="37"/>
  <c r="S18" i="37"/>
  <c r="Y18" i="37"/>
  <c r="I18" i="37"/>
  <c r="X14" i="37"/>
  <c r="N14" i="37"/>
  <c r="W16" i="37"/>
  <c r="V16" i="37"/>
  <c r="L16" i="37"/>
  <c r="K16" i="37"/>
  <c r="Z16" i="37" s="1"/>
  <c r="AA16" i="37" s="1"/>
  <c r="G16" i="37"/>
  <c r="AB16" i="37" s="1"/>
  <c r="R23" i="35"/>
  <c r="S23" i="35"/>
  <c r="Y23" i="35"/>
  <c r="J23" i="35"/>
  <c r="I23" i="35"/>
  <c r="R19" i="35"/>
  <c r="S19" i="35"/>
  <c r="Y19" i="35"/>
  <c r="J19" i="35"/>
  <c r="I19" i="35"/>
  <c r="X22" i="35"/>
  <c r="X18" i="35"/>
  <c r="N22" i="35"/>
  <c r="N18" i="35"/>
  <c r="Y29" i="28"/>
  <c r="S29" i="28"/>
  <c r="R29" i="28"/>
  <c r="J29" i="28"/>
  <c r="I29" i="28"/>
  <c r="W29" i="28"/>
  <c r="V27" i="28"/>
  <c r="V29" i="28" s="1"/>
  <c r="L27" i="28"/>
  <c r="L29" i="28" s="1"/>
  <c r="K27" i="28"/>
  <c r="K29" i="28" s="1"/>
  <c r="G27" i="28"/>
  <c r="AB27" i="28" s="1"/>
  <c r="Y26" i="28"/>
  <c r="S26" i="28"/>
  <c r="R26" i="28"/>
  <c r="J26" i="28"/>
  <c r="I26" i="28"/>
  <c r="W26" i="28"/>
  <c r="V24" i="28"/>
  <c r="V26" i="28" s="1"/>
  <c r="L24" i="28"/>
  <c r="L26" i="28" s="1"/>
  <c r="K24" i="28"/>
  <c r="K26" i="28" s="1"/>
  <c r="G24" i="28"/>
  <c r="AB24" i="28" s="1"/>
  <c r="L18" i="37" l="1"/>
  <c r="AB18" i="37"/>
  <c r="W18" i="37"/>
  <c r="V18" i="37"/>
  <c r="K18" i="37"/>
  <c r="P16" i="37"/>
  <c r="AC16" i="37"/>
  <c r="O16" i="37"/>
  <c r="Z18" i="37"/>
  <c r="M16" i="37"/>
  <c r="N16" i="37" s="1"/>
  <c r="AB29" i="28"/>
  <c r="AC27" i="28"/>
  <c r="AC29" i="28" s="1"/>
  <c r="P27" i="28"/>
  <c r="P29" i="28" s="1"/>
  <c r="M27" i="28"/>
  <c r="M29" i="28" s="1"/>
  <c r="Z27" i="28"/>
  <c r="P24" i="28"/>
  <c r="P26" i="28" s="1"/>
  <c r="AB26" i="28"/>
  <c r="AC24" i="28"/>
  <c r="AC26" i="28" s="1"/>
  <c r="M24" i="28"/>
  <c r="M26" i="28" s="1"/>
  <c r="Z24" i="28"/>
  <c r="P18" i="37" l="1"/>
  <c r="M18" i="37"/>
  <c r="AC18" i="37"/>
  <c r="AA18" i="37"/>
  <c r="O18" i="37"/>
  <c r="O27" i="28"/>
  <c r="Z29" i="28"/>
  <c r="AA27" i="28"/>
  <c r="AA29" i="28" s="1"/>
  <c r="N27" i="28"/>
  <c r="O24" i="28"/>
  <c r="AA24" i="28"/>
  <c r="AA26" i="28" s="1"/>
  <c r="Z26" i="28"/>
  <c r="N24" i="28"/>
  <c r="N18" i="37" l="1"/>
  <c r="Q27" i="28"/>
  <c r="Q29" i="28" s="1"/>
  <c r="N29" i="28"/>
  <c r="O29" i="28"/>
  <c r="Q24" i="28"/>
  <c r="Q26" i="28" s="1"/>
  <c r="N26" i="28"/>
  <c r="O26" i="28"/>
  <c r="T27" i="28" l="1"/>
  <c r="T24" i="28"/>
  <c r="T29" i="28" l="1"/>
  <c r="U27" i="28"/>
  <c r="T26" i="28"/>
  <c r="U24" i="28"/>
  <c r="U29" i="28" l="1"/>
  <c r="X27" i="28"/>
  <c r="X29" i="28" s="1"/>
  <c r="U26" i="28"/>
  <c r="X24" i="28"/>
  <c r="X26" i="28" s="1"/>
  <c r="W21" i="35" l="1"/>
  <c r="V21" i="35"/>
  <c r="L21" i="35"/>
  <c r="K21" i="35"/>
  <c r="G21" i="35"/>
  <c r="AB21" i="35" s="1"/>
  <c r="W20" i="35"/>
  <c r="V20" i="35"/>
  <c r="L20" i="35"/>
  <c r="K20" i="35"/>
  <c r="G20" i="35"/>
  <c r="AB20" i="35" s="1"/>
  <c r="F10" i="40"/>
  <c r="K10" i="40"/>
  <c r="V10" i="40"/>
  <c r="W10" i="40"/>
  <c r="Y12" i="40"/>
  <c r="S12" i="40"/>
  <c r="R12" i="40"/>
  <c r="J12" i="40"/>
  <c r="I12" i="40"/>
  <c r="W9" i="40"/>
  <c r="V9" i="40"/>
  <c r="K9" i="40"/>
  <c r="F9" i="40"/>
  <c r="W11" i="39"/>
  <c r="V11" i="39"/>
  <c r="K11" i="39"/>
  <c r="F11" i="39"/>
  <c r="W10" i="39"/>
  <c r="V10" i="39"/>
  <c r="K10" i="39"/>
  <c r="F10" i="39"/>
  <c r="W9" i="39"/>
  <c r="V9" i="39"/>
  <c r="K9" i="39"/>
  <c r="K15" i="39" s="1"/>
  <c r="F9" i="39"/>
  <c r="W15" i="39" l="1"/>
  <c r="V15" i="39"/>
  <c r="L9" i="39"/>
  <c r="AB23" i="35"/>
  <c r="L10" i="39"/>
  <c r="L11" i="39"/>
  <c r="L9" i="40"/>
  <c r="G10" i="40"/>
  <c r="AB10" i="40" s="1"/>
  <c r="K23" i="35"/>
  <c r="V23" i="35"/>
  <c r="L23" i="35"/>
  <c r="W23" i="35"/>
  <c r="Z10" i="40"/>
  <c r="O10" i="40" s="1"/>
  <c r="Z10" i="39"/>
  <c r="AA10" i="39" s="1"/>
  <c r="Z11" i="39"/>
  <c r="AA11" i="39" s="1"/>
  <c r="Z20" i="35"/>
  <c r="AA20" i="35" s="1"/>
  <c r="AC21" i="35"/>
  <c r="P21" i="35"/>
  <c r="M21" i="35"/>
  <c r="N21" i="35" s="1"/>
  <c r="P20" i="35"/>
  <c r="AC20" i="35"/>
  <c r="Z21" i="35"/>
  <c r="M20" i="35"/>
  <c r="M23" i="35" s="1"/>
  <c r="G9" i="39"/>
  <c r="AB9" i="39" s="1"/>
  <c r="P9" i="39" s="1"/>
  <c r="V12" i="40"/>
  <c r="L10" i="40"/>
  <c r="L12" i="40" s="1"/>
  <c r="K12" i="40"/>
  <c r="W12" i="40"/>
  <c r="G9" i="40"/>
  <c r="Z9" i="40"/>
  <c r="G10" i="39"/>
  <c r="AB10" i="39" s="1"/>
  <c r="P10" i="39" s="1"/>
  <c r="G11" i="39"/>
  <c r="AB11" i="39" s="1"/>
  <c r="P11" i="39" s="1"/>
  <c r="Z9" i="39"/>
  <c r="M11" i="39"/>
  <c r="M10" i="39" l="1"/>
  <c r="N10" i="39" s="1"/>
  <c r="M10" i="40"/>
  <c r="P23" i="35"/>
  <c r="AC23" i="35"/>
  <c r="N11" i="39"/>
  <c r="O11" i="39"/>
  <c r="M9" i="39"/>
  <c r="N9" i="39" s="1"/>
  <c r="O10" i="39"/>
  <c r="AC10" i="39"/>
  <c r="Z15" i="39"/>
  <c r="AC9" i="39"/>
  <c r="L15" i="39"/>
  <c r="AB15" i="39"/>
  <c r="P15" i="39"/>
  <c r="O20" i="35"/>
  <c r="Z23" i="35"/>
  <c r="AA10" i="40"/>
  <c r="N10" i="40"/>
  <c r="AC11" i="39"/>
  <c r="N20" i="35"/>
  <c r="AA21" i="35"/>
  <c r="AA23" i="35" s="1"/>
  <c r="O21" i="35"/>
  <c r="AC10" i="40"/>
  <c r="P10" i="40"/>
  <c r="Z12" i="40"/>
  <c r="AA9" i="40"/>
  <c r="O9" i="40"/>
  <c r="AB9" i="40"/>
  <c r="M9" i="40"/>
  <c r="N9" i="40" s="1"/>
  <c r="AA9" i="39"/>
  <c r="AA15" i="39" s="1"/>
  <c r="O9" i="39"/>
  <c r="O15" i="39" l="1"/>
  <c r="AC15" i="39"/>
  <c r="M15" i="39"/>
  <c r="AA12" i="40"/>
  <c r="N15" i="39"/>
  <c r="N23" i="35"/>
  <c r="O23" i="35"/>
  <c r="AB12" i="40"/>
  <c r="AC9" i="40"/>
  <c r="P9" i="40"/>
  <c r="M12" i="40"/>
  <c r="O12" i="40"/>
  <c r="AC12" i="40" l="1"/>
  <c r="P12" i="40"/>
  <c r="W13" i="37" l="1"/>
  <c r="V13" i="37"/>
  <c r="K13" i="37"/>
  <c r="F13" i="37"/>
  <c r="W12" i="37"/>
  <c r="V12" i="37"/>
  <c r="K12" i="37"/>
  <c r="F12" i="37"/>
  <c r="W11" i="37"/>
  <c r="V11" i="37"/>
  <c r="K11" i="37"/>
  <c r="F11" i="37"/>
  <c r="W10" i="37"/>
  <c r="V10" i="37"/>
  <c r="K10" i="37"/>
  <c r="F10" i="37"/>
  <c r="W9" i="37"/>
  <c r="W15" i="37" s="1"/>
  <c r="V9" i="37"/>
  <c r="K9" i="37"/>
  <c r="F9" i="37"/>
  <c r="W10" i="35"/>
  <c r="W11" i="35"/>
  <c r="W12" i="35"/>
  <c r="W14" i="35"/>
  <c r="W13" i="35"/>
  <c r="W9" i="35"/>
  <c r="V13" i="35"/>
  <c r="K13" i="35"/>
  <c r="F13" i="35"/>
  <c r="V14" i="35"/>
  <c r="K14" i="35"/>
  <c r="F14" i="35"/>
  <c r="V12" i="35"/>
  <c r="K12" i="35"/>
  <c r="F12" i="35"/>
  <c r="V11" i="35"/>
  <c r="K11" i="35"/>
  <c r="F11" i="35"/>
  <c r="V10" i="35"/>
  <c r="K10" i="35"/>
  <c r="F10" i="35"/>
  <c r="V9" i="35"/>
  <c r="K9" i="35"/>
  <c r="F9" i="35"/>
  <c r="F10" i="34"/>
  <c r="K10" i="34"/>
  <c r="V10" i="34"/>
  <c r="Z10" i="34"/>
  <c r="F11" i="34"/>
  <c r="K11" i="34"/>
  <c r="Z11" i="34" s="1"/>
  <c r="V11" i="34"/>
  <c r="F12" i="34"/>
  <c r="K12" i="34"/>
  <c r="Z12" i="34" s="1"/>
  <c r="V12" i="34"/>
  <c r="F9" i="34"/>
  <c r="V15" i="37" l="1"/>
  <c r="K19" i="35"/>
  <c r="L9" i="37"/>
  <c r="L10" i="37"/>
  <c r="L11" i="37"/>
  <c r="L12" i="37"/>
  <c r="L13" i="37"/>
  <c r="L9" i="35"/>
  <c r="L11" i="35"/>
  <c r="L14" i="35"/>
  <c r="L10" i="35"/>
  <c r="L12" i="35"/>
  <c r="L13" i="35"/>
  <c r="G12" i="34"/>
  <c r="M12" i="34" s="1"/>
  <c r="G11" i="34"/>
  <c r="M11" i="34" s="1"/>
  <c r="G10" i="34"/>
  <c r="M10" i="34" s="1"/>
  <c r="V19" i="35"/>
  <c r="W19" i="35"/>
  <c r="K15" i="37"/>
  <c r="Z10" i="37"/>
  <c r="AA10" i="37" s="1"/>
  <c r="Z11" i="37"/>
  <c r="AA11" i="37" s="1"/>
  <c r="Z12" i="37"/>
  <c r="AA12" i="37" s="1"/>
  <c r="Z13" i="37"/>
  <c r="AA13" i="37" s="1"/>
  <c r="Z10" i="35"/>
  <c r="AA10" i="35" s="1"/>
  <c r="Z12" i="35"/>
  <c r="AA12" i="35" s="1"/>
  <c r="Z13" i="35"/>
  <c r="AA13" i="35" s="1"/>
  <c r="Z11" i="35"/>
  <c r="O11" i="35" s="1"/>
  <c r="Z14" i="35"/>
  <c r="AA14" i="35" s="1"/>
  <c r="AA11" i="34"/>
  <c r="AA12" i="34"/>
  <c r="AA10" i="34"/>
  <c r="L12" i="34"/>
  <c r="N12" i="34" s="1"/>
  <c r="L11" i="34"/>
  <c r="N11" i="34" s="1"/>
  <c r="L10" i="34"/>
  <c r="G9" i="35"/>
  <c r="AB9" i="35" s="1"/>
  <c r="G10" i="35"/>
  <c r="AB10" i="35" s="1"/>
  <c r="P10" i="35" s="1"/>
  <c r="G11" i="35"/>
  <c r="AB11" i="35" s="1"/>
  <c r="AC11" i="35" s="1"/>
  <c r="G12" i="35"/>
  <c r="AB12" i="35" s="1"/>
  <c r="P12" i="35" s="1"/>
  <c r="G14" i="35"/>
  <c r="AB14" i="35" s="1"/>
  <c r="AC14" i="35" s="1"/>
  <c r="G13" i="35"/>
  <c r="AB13" i="35" s="1"/>
  <c r="P13" i="35" s="1"/>
  <c r="G9" i="37"/>
  <c r="G10" i="37"/>
  <c r="G11" i="37"/>
  <c r="G12" i="37"/>
  <c r="G13" i="37"/>
  <c r="Z9" i="37"/>
  <c r="AA9" i="37" s="1"/>
  <c r="Z9" i="35"/>
  <c r="O11" i="34"/>
  <c r="O10" i="34"/>
  <c r="O12" i="34"/>
  <c r="AB12" i="34"/>
  <c r="AB10" i="34"/>
  <c r="AB11" i="34" l="1"/>
  <c r="M11" i="35"/>
  <c r="N11" i="35" s="1"/>
  <c r="N10" i="34"/>
  <c r="O14" i="35"/>
  <c r="L19" i="35"/>
  <c r="M14" i="35"/>
  <c r="N14" i="35" s="1"/>
  <c r="M9" i="35"/>
  <c r="N9" i="35" s="1"/>
  <c r="O11" i="37"/>
  <c r="AA11" i="35"/>
  <c r="O12" i="35"/>
  <c r="P14" i="35"/>
  <c r="O13" i="37"/>
  <c r="L15" i="37"/>
  <c r="P11" i="35"/>
  <c r="O13" i="35"/>
  <c r="AC12" i="35"/>
  <c r="O10" i="35"/>
  <c r="Z15" i="37"/>
  <c r="O10" i="37"/>
  <c r="O12" i="37"/>
  <c r="Z19" i="35"/>
  <c r="AC13" i="35"/>
  <c r="AC10" i="35"/>
  <c r="AB19" i="35"/>
  <c r="P9" i="35"/>
  <c r="AC9" i="35"/>
  <c r="M13" i="35"/>
  <c r="N13" i="35" s="1"/>
  <c r="M12" i="35"/>
  <c r="N12" i="35" s="1"/>
  <c r="M10" i="35"/>
  <c r="N10" i="35" s="1"/>
  <c r="AB13" i="37"/>
  <c r="M13" i="37"/>
  <c r="N13" i="37" s="1"/>
  <c r="AB11" i="37"/>
  <c r="M11" i="37"/>
  <c r="N11" i="37" s="1"/>
  <c r="AB9" i="37"/>
  <c r="M9" i="37"/>
  <c r="AA15" i="37"/>
  <c r="O9" i="37"/>
  <c r="AB12" i="37"/>
  <c r="M12" i="37"/>
  <c r="N12" i="37" s="1"/>
  <c r="AB10" i="37"/>
  <c r="M10" i="37"/>
  <c r="N10" i="37" s="1"/>
  <c r="AA9" i="35"/>
  <c r="O9" i="35"/>
  <c r="P12" i="34"/>
  <c r="AC12" i="34"/>
  <c r="P11" i="34"/>
  <c r="AC11" i="34"/>
  <c r="P10" i="34"/>
  <c r="AC10" i="34"/>
  <c r="AA19" i="35" l="1"/>
  <c r="P19" i="35"/>
  <c r="O19" i="35"/>
  <c r="O15" i="37"/>
  <c r="AC19" i="35"/>
  <c r="AB15" i="37"/>
  <c r="M15" i="37"/>
  <c r="N9" i="37"/>
  <c r="N19" i="35"/>
  <c r="M19" i="35"/>
  <c r="P12" i="37"/>
  <c r="AC12" i="37"/>
  <c r="AC9" i="37"/>
  <c r="P9" i="37"/>
  <c r="AC11" i="37"/>
  <c r="P11" i="37"/>
  <c r="P13" i="37"/>
  <c r="AC13" i="37"/>
  <c r="P10" i="37"/>
  <c r="AC10" i="37"/>
  <c r="Y14" i="34"/>
  <c r="S14" i="34"/>
  <c r="R14" i="34"/>
  <c r="J14" i="34"/>
  <c r="I14" i="34"/>
  <c r="W14" i="34"/>
  <c r="V9" i="34"/>
  <c r="V14" i="34" s="1"/>
  <c r="L9" i="34"/>
  <c r="L14" i="34" s="1"/>
  <c r="K9" i="34"/>
  <c r="G9" i="34"/>
  <c r="V9" i="32"/>
  <c r="P15" i="37" l="1"/>
  <c r="AC15" i="37"/>
  <c r="N15" i="37"/>
  <c r="K14" i="34"/>
  <c r="AB9" i="34"/>
  <c r="P9" i="34" s="1"/>
  <c r="P14" i="34" s="1"/>
  <c r="M9" i="34"/>
  <c r="N9" i="34" s="1"/>
  <c r="Z9" i="34"/>
  <c r="M14" i="34" l="1"/>
  <c r="AB14" i="34"/>
  <c r="AC9" i="34"/>
  <c r="AC14" i="34" s="1"/>
  <c r="Z14" i="34"/>
  <c r="AA9" i="34"/>
  <c r="AA14" i="34" s="1"/>
  <c r="O9" i="34"/>
  <c r="O14" i="34" l="1"/>
  <c r="Y11" i="32" l="1"/>
  <c r="S11" i="32"/>
  <c r="R11" i="32"/>
  <c r="J11" i="32"/>
  <c r="I11" i="32"/>
  <c r="W11" i="32"/>
  <c r="V11" i="32"/>
  <c r="L9" i="32"/>
  <c r="L11" i="32" s="1"/>
  <c r="K9" i="32"/>
  <c r="G9" i="32"/>
  <c r="AB9" i="32" s="1"/>
  <c r="Z9" i="32" l="1"/>
  <c r="O9" i="32" s="1"/>
  <c r="K11" i="32"/>
  <c r="AB11" i="32"/>
  <c r="AC9" i="32"/>
  <c r="AC11" i="32" s="1"/>
  <c r="P9" i="32"/>
  <c r="P11" i="32" s="1"/>
  <c r="M9" i="32"/>
  <c r="N9" i="32" s="1"/>
  <c r="Z11" i="32" l="1"/>
  <c r="AA9" i="32"/>
  <c r="AA11" i="32" s="1"/>
  <c r="M11" i="32"/>
  <c r="O11" i="32"/>
  <c r="J13" i="23" l="1"/>
  <c r="I13" i="23"/>
  <c r="H13" i="23"/>
  <c r="G13" i="23"/>
  <c r="F13" i="23"/>
  <c r="E13" i="23"/>
  <c r="D13" i="23"/>
  <c r="C13" i="23"/>
  <c r="B13" i="23"/>
  <c r="J9" i="23"/>
  <c r="I9" i="23"/>
  <c r="H9" i="23"/>
  <c r="G9" i="23"/>
  <c r="F9" i="23"/>
  <c r="E9" i="23"/>
  <c r="D7" i="23"/>
  <c r="D9" i="23" s="1"/>
  <c r="C7" i="23"/>
  <c r="C9" i="23" s="1"/>
  <c r="B7" i="23"/>
  <c r="B9" i="23" s="1"/>
  <c r="B12" i="23" l="1"/>
  <c r="B16" i="23" s="1"/>
  <c r="B17" i="23" s="1"/>
  <c r="D12" i="23"/>
  <c r="D16" i="23" s="1"/>
  <c r="C12" i="23"/>
  <c r="C16" i="23" s="1"/>
  <c r="E12" i="23"/>
  <c r="E16" i="23" s="1"/>
  <c r="G12" i="23"/>
  <c r="G16" i="23" s="1"/>
  <c r="I12" i="23"/>
  <c r="I16" i="23" s="1"/>
  <c r="F12" i="23"/>
  <c r="F16" i="23" s="1"/>
  <c r="H12" i="23"/>
  <c r="H16" i="23" s="1"/>
  <c r="J12" i="23"/>
  <c r="J16" i="23" s="1"/>
  <c r="D17" i="23" l="1"/>
  <c r="D19" i="23" s="1"/>
  <c r="D20" i="23" s="1"/>
  <c r="J17" i="23"/>
  <c r="J19" i="23" s="1"/>
  <c r="J20" i="23" s="1"/>
  <c r="F17" i="23"/>
  <c r="F19" i="23" s="1"/>
  <c r="F20" i="23" s="1"/>
  <c r="G17" i="23"/>
  <c r="G19" i="23" s="1"/>
  <c r="G20" i="23" s="1"/>
  <c r="B19" i="23"/>
  <c r="B20" i="23" s="1"/>
  <c r="I17" i="23"/>
  <c r="I19" i="23" s="1"/>
  <c r="I20" i="23" s="1"/>
  <c r="E17" i="23"/>
  <c r="E19" i="23" s="1"/>
  <c r="E20" i="23" s="1"/>
  <c r="C17" i="23"/>
  <c r="C19" i="23" s="1"/>
  <c r="C20" i="23" s="1"/>
  <c r="H17" i="23"/>
  <c r="H19" i="23" s="1"/>
  <c r="H20" i="23" s="1"/>
  <c r="R23" i="28" l="1"/>
  <c r="S23" i="28"/>
  <c r="W23" i="28"/>
  <c r="Y23" i="28"/>
  <c r="J23" i="28"/>
  <c r="V19" i="28"/>
  <c r="L19" i="28"/>
  <c r="K19" i="28"/>
  <c r="Z19" i="28" s="1"/>
  <c r="G19" i="28"/>
  <c r="AB19" i="28" s="1"/>
  <c r="V12" i="28"/>
  <c r="L12" i="28"/>
  <c r="K12" i="28"/>
  <c r="Z12" i="28" s="1"/>
  <c r="G12" i="28"/>
  <c r="AB12" i="28" s="1"/>
  <c r="O19" i="28" l="1"/>
  <c r="AA19" i="28"/>
  <c r="AC19" i="28"/>
  <c r="P19" i="28"/>
  <c r="M19" i="28"/>
  <c r="N19" i="28" s="1"/>
  <c r="O12" i="28"/>
  <c r="AA12" i="28"/>
  <c r="P12" i="28"/>
  <c r="AC12" i="28"/>
  <c r="M12" i="28"/>
  <c r="N12" i="28" s="1"/>
  <c r="Q19" i="28" l="1"/>
  <c r="Q12" i="28"/>
  <c r="T12" i="28" s="1"/>
  <c r="U12" i="28" l="1"/>
  <c r="X12" i="28" s="1"/>
  <c r="T19" i="28"/>
  <c r="U19" i="28" s="1"/>
  <c r="X19" i="28" s="1"/>
  <c r="V11" i="28"/>
  <c r="L11" i="28"/>
  <c r="K11" i="28"/>
  <c r="Z11" i="28" s="1"/>
  <c r="G11" i="28"/>
  <c r="AB11" i="28" s="1"/>
  <c r="V17" i="28"/>
  <c r="L17" i="28"/>
  <c r="K17" i="28"/>
  <c r="Z17" i="28" s="1"/>
  <c r="G17" i="28"/>
  <c r="AB17" i="28" s="1"/>
  <c r="V15" i="28"/>
  <c r="L15" i="28"/>
  <c r="K15" i="28"/>
  <c r="Z15" i="28" s="1"/>
  <c r="G15" i="28"/>
  <c r="AB15" i="28" s="1"/>
  <c r="V16" i="28"/>
  <c r="L16" i="28"/>
  <c r="K16" i="28"/>
  <c r="Z16" i="28" s="1"/>
  <c r="G16" i="28"/>
  <c r="AB16" i="28" s="1"/>
  <c r="AC16" i="28" l="1"/>
  <c r="P16" i="28"/>
  <c r="AA15" i="28"/>
  <c r="O15" i="28"/>
  <c r="AC17" i="28"/>
  <c r="P17" i="28"/>
  <c r="O11" i="28"/>
  <c r="AA11" i="28"/>
  <c r="O16" i="28"/>
  <c r="AA16" i="28"/>
  <c r="AC15" i="28"/>
  <c r="P15" i="28"/>
  <c r="O17" i="28"/>
  <c r="AA17" i="28"/>
  <c r="AC11" i="28"/>
  <c r="P11" i="28"/>
  <c r="M16" i="28"/>
  <c r="N16" i="28" s="1"/>
  <c r="M15" i="28"/>
  <c r="N15" i="28" s="1"/>
  <c r="M17" i="28"/>
  <c r="N17" i="28" s="1"/>
  <c r="M11" i="28"/>
  <c r="N11" i="28" s="1"/>
  <c r="Q11" i="28" l="1"/>
  <c r="T11" i="28" s="1"/>
  <c r="U11" i="28" s="1"/>
  <c r="X11" i="28" s="1"/>
  <c r="Q15" i="28"/>
  <c r="Q17" i="28"/>
  <c r="T17" i="28" s="1"/>
  <c r="Q16" i="28"/>
  <c r="U17" i="28" l="1"/>
  <c r="X17" i="28" s="1"/>
  <c r="T16" i="28"/>
  <c r="U16" i="28" s="1"/>
  <c r="X16" i="28" s="1"/>
  <c r="T15" i="28"/>
  <c r="U15" i="28" s="1"/>
  <c r="X15" i="28" s="1"/>
  <c r="G10" i="28"/>
  <c r="M10" i="28" s="1"/>
  <c r="K10" i="28"/>
  <c r="Z10" i="28" s="1"/>
  <c r="AA10" i="28" s="1"/>
  <c r="L10" i="28"/>
  <c r="V10" i="28"/>
  <c r="AB10" i="28" l="1"/>
  <c r="N10" i="28"/>
  <c r="O10" i="28"/>
  <c r="Q10" i="28" l="1"/>
  <c r="AC10" i="28"/>
  <c r="P10" i="28"/>
  <c r="T10" i="28" l="1"/>
  <c r="U10" i="28" s="1"/>
  <c r="X10" i="28" s="1"/>
  <c r="G14" i="28"/>
  <c r="M14" i="28" s="1"/>
  <c r="K14" i="28"/>
  <c r="Z14" i="28" s="1"/>
  <c r="O14" i="28" s="1"/>
  <c r="L14" i="28"/>
  <c r="V14" i="28"/>
  <c r="V13" i="28"/>
  <c r="L13" i="28"/>
  <c r="K13" i="28"/>
  <c r="Z13" i="28" s="1"/>
  <c r="G13" i="28"/>
  <c r="AB13" i="28" s="1"/>
  <c r="V18" i="28"/>
  <c r="L18" i="28"/>
  <c r="K18" i="28"/>
  <c r="Z18" i="28" s="1"/>
  <c r="G18" i="28"/>
  <c r="AB18" i="28" s="1"/>
  <c r="V9" i="28"/>
  <c r="L9" i="28"/>
  <c r="K9" i="28"/>
  <c r="G9" i="28"/>
  <c r="M9" i="28" s="1"/>
  <c r="L23" i="28" l="1"/>
  <c r="V23" i="28"/>
  <c r="K23" i="28"/>
  <c r="Z9" i="28"/>
  <c r="Z23" i="28" s="1"/>
  <c r="AB14" i="28"/>
  <c r="AC14" i="28" s="1"/>
  <c r="N14" i="28"/>
  <c r="AA14" i="28"/>
  <c r="AB9" i="28"/>
  <c r="M13" i="28"/>
  <c r="N13" i="28" s="1"/>
  <c r="AC18" i="28"/>
  <c r="P18" i="28"/>
  <c r="O18" i="28"/>
  <c r="AA18" i="28"/>
  <c r="P13" i="28"/>
  <c r="AC13" i="28"/>
  <c r="AA13" i="28"/>
  <c r="O13" i="28"/>
  <c r="N9" i="28"/>
  <c r="M18" i="28"/>
  <c r="N18" i="28" s="1"/>
  <c r="AB23" i="28" l="1"/>
  <c r="Q18" i="28"/>
  <c r="T18" i="28" s="1"/>
  <c r="Q13" i="28"/>
  <c r="Q9" i="28"/>
  <c r="Q14" i="28"/>
  <c r="M23" i="28"/>
  <c r="N23" i="28"/>
  <c r="P14" i="28"/>
  <c r="AA9" i="28"/>
  <c r="AA23" i="28" s="1"/>
  <c r="O9" i="28"/>
  <c r="O23" i="28" s="1"/>
  <c r="AC9" i="28"/>
  <c r="AC23" i="28" s="1"/>
  <c r="P9" i="28"/>
  <c r="P23" i="28" l="1"/>
  <c r="T14" i="28"/>
  <c r="U14" i="28" s="1"/>
  <c r="X14" i="28" s="1"/>
  <c r="T13" i="28"/>
  <c r="U13" i="28" s="1"/>
  <c r="X13" i="28" s="1"/>
  <c r="Q23" i="28"/>
  <c r="U18" i="28"/>
  <c r="T9" i="28"/>
  <c r="T23" i="28" l="1"/>
  <c r="X18" i="28"/>
  <c r="U9" i="28"/>
  <c r="U23" i="28" s="1"/>
  <c r="X9" i="28" l="1"/>
  <c r="X23" i="28" l="1"/>
  <c r="N11" i="32" l="1"/>
  <c r="Q9" i="32"/>
  <c r="Q11" i="32" s="1"/>
  <c r="T9" i="32" l="1"/>
  <c r="U9" i="32" l="1"/>
  <c r="X9" i="32" s="1"/>
  <c r="T11" i="32"/>
  <c r="U11" i="32" l="1"/>
  <c r="X11" i="32"/>
  <c r="Q9" i="34"/>
  <c r="T9" i="34" s="1"/>
  <c r="U9" i="34" s="1"/>
  <c r="X9" i="34" s="1"/>
  <c r="Q12" i="34" l="1"/>
  <c r="T12" i="34" s="1"/>
  <c r="U12" i="34" s="1"/>
  <c r="X12" i="34" s="1"/>
  <c r="N14" i="34"/>
  <c r="Q10" i="34"/>
  <c r="T10" i="34" s="1"/>
  <c r="U10" i="34" s="1"/>
  <c r="X10" i="34" s="1"/>
  <c r="Q11" i="34"/>
  <c r="T11" i="34" s="1"/>
  <c r="U11" i="34" s="1"/>
  <c r="X11" i="34" s="1"/>
  <c r="Q14" i="34" l="1"/>
  <c r="T14" i="34" l="1"/>
  <c r="X14" i="34"/>
  <c r="U14" i="34"/>
  <c r="Q9" i="35"/>
  <c r="T9" i="35" l="1"/>
  <c r="U9" i="35" s="1"/>
  <c r="X9" i="35" l="1"/>
  <c r="Q13" i="35"/>
  <c r="T13" i="35" s="1"/>
  <c r="U13" i="35" s="1"/>
  <c r="X13" i="35" s="1"/>
  <c r="Q14" i="35"/>
  <c r="T14" i="35" s="1"/>
  <c r="U14" i="35" s="1"/>
  <c r="X14" i="35" s="1"/>
  <c r="Q11" i="35"/>
  <c r="T11" i="35" s="1"/>
  <c r="U11" i="35" s="1"/>
  <c r="X11" i="35" s="1"/>
  <c r="Q10" i="35"/>
  <c r="Q12" i="35"/>
  <c r="T12" i="35" s="1"/>
  <c r="U12" i="35" s="1"/>
  <c r="X12" i="35" s="1"/>
  <c r="Q19" i="35" l="1"/>
  <c r="T10" i="35"/>
  <c r="T19" i="35" s="1"/>
  <c r="U10" i="35" l="1"/>
  <c r="X10" i="35" l="1"/>
  <c r="X19" i="35" s="1"/>
  <c r="U19" i="35"/>
  <c r="Q20" i="35"/>
  <c r="T20" i="35" l="1"/>
  <c r="U20" i="35" l="1"/>
  <c r="X20" i="35" l="1"/>
  <c r="Q21" i="35"/>
  <c r="Q23" i="35" s="1"/>
  <c r="T21" i="35" l="1"/>
  <c r="T23" i="35" s="1"/>
  <c r="U21" i="35" l="1"/>
  <c r="Q9" i="37"/>
  <c r="X21" i="35" l="1"/>
  <c r="U23" i="35"/>
  <c r="T9" i="37"/>
  <c r="X23" i="35" l="1"/>
  <c r="U9" i="37"/>
  <c r="X9" i="37" l="1"/>
  <c r="Q12" i="37"/>
  <c r="T12" i="37" s="1"/>
  <c r="U12" i="37" s="1"/>
  <c r="X12" i="37" s="1"/>
  <c r="Q11" i="37"/>
  <c r="T11" i="37" s="1"/>
  <c r="U11" i="37" s="1"/>
  <c r="X11" i="37" s="1"/>
  <c r="Q13" i="37"/>
  <c r="T13" i="37" s="1"/>
  <c r="U13" i="37" s="1"/>
  <c r="X13" i="37" s="1"/>
  <c r="Q10" i="37"/>
  <c r="Q15" i="37" l="1"/>
  <c r="T10" i="37"/>
  <c r="T15" i="37" s="1"/>
  <c r="U10" i="37" l="1"/>
  <c r="X10" i="37" l="1"/>
  <c r="X15" i="37" s="1"/>
  <c r="U15" i="37"/>
  <c r="Q16" i="37" l="1"/>
  <c r="Q18" i="37" l="1"/>
  <c r="T16" i="37"/>
  <c r="T18" i="37" s="1"/>
  <c r="U16" i="37" l="1"/>
  <c r="Q9" i="39"/>
  <c r="X16" i="37" l="1"/>
  <c r="X18" i="37" s="1"/>
  <c r="U18" i="37"/>
  <c r="T9" i="39"/>
  <c r="U9" i="39" l="1"/>
  <c r="X9" i="39" l="1"/>
  <c r="Q11" i="39"/>
  <c r="T11" i="39" s="1"/>
  <c r="U11" i="39" s="1"/>
  <c r="X11" i="39" s="1"/>
  <c r="Q10" i="39"/>
  <c r="Q15" i="39" l="1"/>
  <c r="T10" i="39"/>
  <c r="T15" i="39" s="1"/>
  <c r="U10" i="39" l="1"/>
  <c r="Q9" i="40"/>
  <c r="X10" i="39" l="1"/>
  <c r="X15" i="39" s="1"/>
  <c r="U15" i="39"/>
  <c r="T9" i="40"/>
  <c r="U9" i="40" l="1"/>
  <c r="X9" i="40" s="1"/>
  <c r="N12" i="40" l="1"/>
  <c r="Q10" i="40"/>
  <c r="Q12" i="40" s="1"/>
  <c r="T10" i="40" l="1"/>
  <c r="U10" i="40" l="1"/>
  <c r="X10" i="40" s="1"/>
  <c r="T12" i="40"/>
  <c r="U12" i="40" l="1"/>
  <c r="X12" i="40"/>
</calcChain>
</file>

<file path=xl/sharedStrings.xml><?xml version="1.0" encoding="utf-8"?>
<sst xmlns="http://schemas.openxmlformats.org/spreadsheetml/2006/main" count="442" uniqueCount="174">
  <si>
    <t>Sl. No.</t>
  </si>
  <si>
    <t>Name</t>
  </si>
  <si>
    <t>Designation</t>
  </si>
  <si>
    <t>Basic</t>
  </si>
  <si>
    <t>Other Allowance</t>
  </si>
  <si>
    <t>Gross 
Salary</t>
  </si>
  <si>
    <t>Days in the Month</t>
  </si>
  <si>
    <t>Payable Days</t>
  </si>
  <si>
    <t>Earned Basic</t>
  </si>
  <si>
    <t>Gross Salary Payable</t>
  </si>
  <si>
    <t>PF Wages</t>
  </si>
  <si>
    <t>Employer's PF Contribution</t>
  </si>
  <si>
    <t>ESI Wages</t>
  </si>
  <si>
    <t>Employer's ESI Contribution</t>
  </si>
  <si>
    <t>Provident Fund</t>
  </si>
  <si>
    <t>ESI</t>
  </si>
  <si>
    <t>Professional Tax</t>
  </si>
  <si>
    <t>Advance Adjustment</t>
  </si>
  <si>
    <t>Miscellaneous Deduction</t>
  </si>
  <si>
    <t>Total 
Deduction</t>
  </si>
  <si>
    <t>Net Salary Payable</t>
  </si>
  <si>
    <t>Bonus</t>
  </si>
  <si>
    <t>Total Payable</t>
  </si>
  <si>
    <t>Signature</t>
  </si>
  <si>
    <t>Security Guard</t>
  </si>
  <si>
    <t>Earned Other Allowance</t>
  </si>
  <si>
    <t>Security Supervisor</t>
  </si>
  <si>
    <t>Security Officer</t>
  </si>
  <si>
    <t>Housekeeper</t>
  </si>
  <si>
    <t>Electrician</t>
  </si>
  <si>
    <t>Receptionist</t>
  </si>
  <si>
    <t xml:space="preserve">Description </t>
  </si>
  <si>
    <t>Housekeeper Semi Skilled</t>
  </si>
  <si>
    <t>Duty Hrs =&gt;</t>
  </si>
  <si>
    <t>12 Hrs</t>
  </si>
  <si>
    <t>8 Hrs</t>
  </si>
  <si>
    <t>Gross Salary</t>
  </si>
  <si>
    <t>Employer's Contribution Towards:-</t>
  </si>
  <si>
    <t>Sub Total A</t>
  </si>
  <si>
    <t>ID Card No.</t>
  </si>
  <si>
    <t>Extra Duty</t>
  </si>
  <si>
    <t>Washing Allowance</t>
  </si>
  <si>
    <t>Integrated Security Service</t>
  </si>
  <si>
    <t>PGE Homes LLP</t>
  </si>
  <si>
    <t>Bablu Mitra</t>
  </si>
  <si>
    <t>Prosanto Choudhury</t>
  </si>
  <si>
    <t>Amit Mallik</t>
  </si>
  <si>
    <t>Sanjit Mondal</t>
  </si>
  <si>
    <t>Pulak Guha</t>
  </si>
  <si>
    <t>Lalu Oran</t>
  </si>
  <si>
    <t>Haru Das</t>
  </si>
  <si>
    <t>Amit Gayan</t>
  </si>
  <si>
    <t>Ranjit Mondal</t>
  </si>
  <si>
    <t>Arpan Basu</t>
  </si>
  <si>
    <t>Debashis Ghosh</t>
  </si>
  <si>
    <t>Ajay Sadhukhan</t>
  </si>
  <si>
    <t>Uniform Charges</t>
  </si>
  <si>
    <t>Collection Boy (Southwinds)</t>
  </si>
  <si>
    <t xml:space="preserve">Other Allowance </t>
  </si>
  <si>
    <t>Extra Duty in case of 10 hrs. /12 hrs. duty</t>
  </si>
  <si>
    <t>ESIC @ 4.75 % (on Gross Salary)</t>
  </si>
  <si>
    <t>Bonus on MW/-</t>
  </si>
  <si>
    <t xml:space="preserve">Operational Charges @ 7% </t>
  </si>
  <si>
    <t>Total Cost for the Company (for 26 days )</t>
  </si>
  <si>
    <t>Kamaluddin Khan</t>
  </si>
  <si>
    <t>Extra Duty Allowance</t>
  </si>
  <si>
    <t>Luminous Developers LLP</t>
  </si>
  <si>
    <t>Subhas Ch. Sardar</t>
  </si>
  <si>
    <t>Swapan Das</t>
  </si>
  <si>
    <t>Sumanta Dutta</t>
  </si>
  <si>
    <t>SK Hossain</t>
  </si>
  <si>
    <t>Srimanta Naskar</t>
  </si>
  <si>
    <t>Paritosh Shikari</t>
  </si>
  <si>
    <t>Suman Shikari</t>
  </si>
  <si>
    <t>Partha Naskar</t>
  </si>
  <si>
    <t>Pratap Duley</t>
  </si>
  <si>
    <t>Primarc Projects Pvt. Ltd</t>
  </si>
  <si>
    <t>Primarc-Riya Projects LLP</t>
  </si>
  <si>
    <t xml:space="preserve">Primarc Pecan Retail Pvt. Ltd. </t>
  </si>
  <si>
    <t>Primarc HO</t>
  </si>
  <si>
    <t>Housekeeping</t>
  </si>
  <si>
    <t>7, Love Lock Street, Kolkata</t>
  </si>
  <si>
    <t xml:space="preserve">Gangetica, Chandannagar, Hooghly </t>
  </si>
  <si>
    <t>Aura, Mankundu</t>
  </si>
  <si>
    <t>Allura, 14 Tangra Road, Kolkata</t>
  </si>
  <si>
    <t>Josephine Paul</t>
  </si>
  <si>
    <t>6A, Elgin Road, 2nd Floor, Kolkata - 700 020</t>
  </si>
  <si>
    <t>80A, Balaram Dey Street, Kolkata -700 006 </t>
  </si>
  <si>
    <t>Client Name :</t>
  </si>
  <si>
    <t>Client Address :</t>
  </si>
  <si>
    <t>Site Name &amp; Location :</t>
  </si>
  <si>
    <t>Anwar Hossain</t>
  </si>
  <si>
    <t>Pijush Bala</t>
  </si>
  <si>
    <t>Amul Paul</t>
  </si>
  <si>
    <t>Rakesh Mukherjee</t>
  </si>
  <si>
    <t>Sanjay Ghosh</t>
  </si>
  <si>
    <t>Robin Sen</t>
  </si>
  <si>
    <t>Mintu Das</t>
  </si>
  <si>
    <t>Sukumar Debnath</t>
  </si>
  <si>
    <t>Samiran Mallick</t>
  </si>
  <si>
    <t>Manoj Podder</t>
  </si>
  <si>
    <t>Kalipada Nandi</t>
  </si>
  <si>
    <t>Laxmi Narayan Kisku</t>
  </si>
  <si>
    <t>Prabin Kumar Mishra</t>
  </si>
  <si>
    <t>Santu Hela</t>
  </si>
  <si>
    <t>Samiran Malik</t>
  </si>
  <si>
    <t>Primarc HO/HK/001</t>
  </si>
  <si>
    <t>Primarc HO/HK/002</t>
  </si>
  <si>
    <t>Primarc HO/HK/003</t>
  </si>
  <si>
    <t>Primarc HO/HK/004</t>
  </si>
  <si>
    <t>Primarc HO/HK/005</t>
  </si>
  <si>
    <t>Primarc HO/HK/006</t>
  </si>
  <si>
    <t>Primarc HO/HK/007</t>
  </si>
  <si>
    <t>Primarc HO/HK/008</t>
  </si>
  <si>
    <t>Primarc HO/HK/009</t>
  </si>
  <si>
    <t>Primarc HO/HK/010</t>
  </si>
  <si>
    <t>Primarc HO/HK/011</t>
  </si>
  <si>
    <t>Primarc HO/HK (S)/001</t>
  </si>
  <si>
    <t>Primarc HO/ Elec/001</t>
  </si>
  <si>
    <t>Lovelock/SG/001</t>
  </si>
  <si>
    <t>Lovelock/SG/002</t>
  </si>
  <si>
    <t>Lovelock/SG/003</t>
  </si>
  <si>
    <t>Lovelock/SG/004</t>
  </si>
  <si>
    <t>Primarc HO/ Recept/ 001</t>
  </si>
  <si>
    <t>Gangetica/SG/001</t>
  </si>
  <si>
    <t>Gangetica/SG/002</t>
  </si>
  <si>
    <t>Gangetica/SG/003</t>
  </si>
  <si>
    <t>Gangetica/SG/004</t>
  </si>
  <si>
    <t>Gangetica/SG/005</t>
  </si>
  <si>
    <t>Gangetica/SG/006</t>
  </si>
  <si>
    <t>Gangetica/HK/001</t>
  </si>
  <si>
    <t>Gangetica/HK/002</t>
  </si>
  <si>
    <t>Aura/SG/001</t>
  </si>
  <si>
    <t>Aura/SG/002</t>
  </si>
  <si>
    <t>Aura/SG/003</t>
  </si>
  <si>
    <t>Aura/SG/004</t>
  </si>
  <si>
    <t>Aura/SG/005</t>
  </si>
  <si>
    <t>Aura/HK/001</t>
  </si>
  <si>
    <t>Aura/HK/002</t>
  </si>
  <si>
    <t>Aura/HK/003</t>
  </si>
  <si>
    <t>Allure/SG/001</t>
  </si>
  <si>
    <t>Allure/SG/002</t>
  </si>
  <si>
    <t>Allure/SG/004</t>
  </si>
  <si>
    <t>Pecan/HK/001</t>
  </si>
  <si>
    <t>Pecan/HK/002</t>
  </si>
  <si>
    <t>Pecan/HK/003</t>
  </si>
  <si>
    <t>Pecan/HK/004</t>
  </si>
  <si>
    <t>Pecan/SG/001</t>
  </si>
  <si>
    <t>Pecan/SG/002</t>
  </si>
  <si>
    <t>Warehouse, 70E, D C Dey Road, Tangra, Kolkata - 700015</t>
  </si>
  <si>
    <t>210, Building #2B, Sanjay Mittal Industrial Estate, Above Cafe Coffee Day, Andheri-Kurla Road, Marol Naka, Andheri (East), Mumbai – 400059, Maharashtra.</t>
  </si>
  <si>
    <t>Housekeeping - Semi Skilled</t>
  </si>
  <si>
    <t>Housekeeping - Reliver</t>
  </si>
  <si>
    <t>Security Guard - Reliver</t>
  </si>
  <si>
    <t>Umesh Jana</t>
  </si>
  <si>
    <t>Mithun Das</t>
  </si>
  <si>
    <t>Gangetica/SG/007</t>
  </si>
  <si>
    <t>Utpal Bhattacharya</t>
  </si>
  <si>
    <t>Wages Rates :- 1st July, 2017 to 31st Dec, 2017</t>
  </si>
  <si>
    <t>PF @ 13.15% on Total</t>
  </si>
  <si>
    <t xml:space="preserve">Security Guard </t>
  </si>
  <si>
    <t>Allure/SG/005</t>
  </si>
  <si>
    <t>Gangetica/SG/008</t>
  </si>
  <si>
    <t>Gangetica/SG/009</t>
  </si>
  <si>
    <t>Kashinath Das</t>
  </si>
  <si>
    <t>SK Abdul Malek</t>
  </si>
  <si>
    <t>Wage Sheet for the month of October, 2017</t>
  </si>
  <si>
    <t>Primarc HO/HK/012</t>
  </si>
  <si>
    <t>Primarc HO/HK/013</t>
  </si>
  <si>
    <t>Roni Sikder</t>
  </si>
  <si>
    <t>Argha Sarkar</t>
  </si>
  <si>
    <t>Manas Singh</t>
  </si>
  <si>
    <t>Allure/SG/006</t>
  </si>
  <si>
    <t>tushar dutta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</si>
</sst>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 * #,##0_ ;_ * \-#,##0_ ;_ * &quot;-&quot;_ ;_ @_ "/>
    <numFmt numFmtId="43" formatCode="_ * #,##0.00_ ;_ * \-#,##0.00_ ;_ * &quot;-&quot;??_ ;_ @_ "/>
    <numFmt numFmtId="164" formatCode="_(* #,##0.00_);_(* \(#,##0.00\);_(* &quot;-&quot;??_);_(@_)"/>
    <numFmt numFmtId="165" formatCode="_ * #,##0.0000_ ;_ * \-#,##0.0000_ ;_ * &quot;-&quot;??_ ;_ @_ "/>
    <numFmt numFmtId="166" formatCode="_ * #,##0_ ;_ * \-#,##0_ ;_ * &quot;-&quot;??_ ;_ @_ 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mbria"/>
      <family val="1"/>
      <scheme val="major"/>
    </font>
    <font>
      <sz val="10"/>
      <name val="Arial"/>
      <family val="2"/>
    </font>
    <font>
      <sz val="10"/>
      <color indexed="16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b/>
      <u/>
      <sz val="10"/>
      <color indexed="16"/>
      <name val="Verdana"/>
      <family val="2"/>
    </font>
    <font>
      <sz val="10"/>
      <color theme="1"/>
      <name val="Verdana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20"/>
      <color theme="1"/>
      <name val="Algerian"/>
      <family val="5"/>
    </font>
    <font>
      <b/>
      <sz val="12"/>
      <color theme="1"/>
      <name val="Trebuchet MS"/>
      <family val="2"/>
    </font>
    <font>
      <b/>
      <u/>
      <sz val="14"/>
      <color theme="1"/>
      <name val="Trebuchet MS"/>
      <family val="2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43" fontId="5" fillId="0" borderId="0" applyFont="0" applyFill="0" applyBorder="0" applyAlignment="0" applyProtection="0"/>
    <xf numFmtId="0" fontId="13" fillId="0" borderId="0"/>
    <xf numFmtId="43" fontId="5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164" fontId="5" fillId="0" borderId="0" applyFont="0" applyFill="0" applyBorder="0" applyAlignment="0" applyProtection="0"/>
  </cellStyleXfs>
  <cellXfs count="91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2" borderId="0" xfId="0" applyFill="1"/>
    <xf numFmtId="41" fontId="9" fillId="2" borderId="1" xfId="0" applyNumberFormat="1" applyFont="1" applyFill="1" applyBorder="1" applyAlignment="1">
      <alignment vertical="center"/>
    </xf>
    <xf numFmtId="41" fontId="6" fillId="3" borderId="1" xfId="1" applyNumberFormat="1" applyFont="1" applyFill="1" applyBorder="1" applyAlignment="1">
      <alignment horizontal="center" vertical="center"/>
    </xf>
    <xf numFmtId="41" fontId="9" fillId="2" borderId="1" xfId="0" applyNumberFormat="1" applyFont="1" applyFill="1" applyBorder="1" applyAlignment="1">
      <alignment horizontal="center" vertical="center"/>
    </xf>
    <xf numFmtId="41" fontId="10" fillId="4" borderId="1" xfId="1" applyNumberFormat="1" applyFont="1" applyFill="1" applyBorder="1" applyAlignment="1">
      <alignment horizontal="center" vertical="center"/>
    </xf>
    <xf numFmtId="41" fontId="8" fillId="2" borderId="1" xfId="1" applyNumberFormat="1" applyFont="1" applyFill="1" applyBorder="1" applyAlignment="1">
      <alignment horizontal="center" vertical="center"/>
    </xf>
    <xf numFmtId="41" fontId="8" fillId="0" borderId="1" xfId="1" applyNumberFormat="1" applyFont="1" applyFill="1" applyBorder="1" applyAlignment="1">
      <alignment horizontal="center" vertical="center"/>
    </xf>
    <xf numFmtId="41" fontId="6" fillId="5" borderId="1" xfId="1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 wrapText="1"/>
    </xf>
    <xf numFmtId="43" fontId="6" fillId="7" borderId="1" xfId="1" applyNumberFormat="1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left" vertical="center" wrapText="1"/>
    </xf>
    <xf numFmtId="41" fontId="11" fillId="7" borderId="1" xfId="0" applyNumberFormat="1" applyFont="1" applyFill="1" applyBorder="1" applyAlignment="1">
      <alignment vertical="center"/>
    </xf>
    <xf numFmtId="0" fontId="7" fillId="6" borderId="1" xfId="2" applyFont="1" applyFill="1" applyBorder="1" applyAlignment="1">
      <alignment horizontal="center" vertical="center"/>
    </xf>
    <xf numFmtId="0" fontId="7" fillId="6" borderId="1" xfId="2" applyFont="1" applyFill="1" applyBorder="1" applyAlignment="1">
      <alignment horizontal="center" vertical="center" wrapText="1"/>
    </xf>
    <xf numFmtId="0" fontId="9" fillId="2" borderId="0" xfId="0" applyFont="1" applyFill="1"/>
    <xf numFmtId="0" fontId="14" fillId="8" borderId="1" xfId="0" applyFont="1" applyFill="1" applyBorder="1" applyAlignment="1">
      <alignment horizontal="left" vertical="center" wrapText="1"/>
    </xf>
    <xf numFmtId="41" fontId="15" fillId="2" borderId="1" xfId="1" applyNumberFormat="1" applyFont="1" applyFill="1" applyBorder="1" applyAlignment="1">
      <alignment horizontal="right"/>
    </xf>
    <xf numFmtId="41" fontId="15" fillId="2" borderId="1" xfId="1" applyNumberFormat="1" applyFont="1" applyFill="1" applyBorder="1" applyAlignment="1">
      <alignment horizontal="center" vertical="center"/>
    </xf>
    <xf numFmtId="41" fontId="15" fillId="2" borderId="1" xfId="1" applyNumberFormat="1" applyFont="1" applyFill="1" applyBorder="1" applyAlignment="1">
      <alignment horizontal="right" vertical="center"/>
    </xf>
    <xf numFmtId="0" fontId="15" fillId="2" borderId="1" xfId="2" applyFont="1" applyFill="1" applyBorder="1" applyAlignment="1">
      <alignment horizontal="left"/>
    </xf>
    <xf numFmtId="0" fontId="17" fillId="8" borderId="1" xfId="0" applyFont="1" applyFill="1" applyBorder="1" applyAlignment="1">
      <alignment horizontal="left" vertical="center" wrapText="1"/>
    </xf>
    <xf numFmtId="41" fontId="16" fillId="2" borderId="1" xfId="1" applyNumberFormat="1" applyFont="1" applyFill="1" applyBorder="1" applyAlignment="1">
      <alignment horizontal="right"/>
    </xf>
    <xf numFmtId="41" fontId="18" fillId="2" borderId="1" xfId="0" applyNumberFormat="1" applyFont="1" applyFill="1" applyBorder="1"/>
    <xf numFmtId="165" fontId="0" fillId="2" borderId="0" xfId="0" applyNumberFormat="1" applyFill="1"/>
    <xf numFmtId="0" fontId="0" fillId="2" borderId="0" xfId="0" applyFill="1"/>
    <xf numFmtId="41" fontId="3" fillId="2" borderId="1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wrapText="1"/>
    </xf>
    <xf numFmtId="0" fontId="0" fillId="2" borderId="0" xfId="0" applyFill="1" applyAlignment="1">
      <alignment horizontal="left" wrapText="1"/>
    </xf>
    <xf numFmtId="1" fontId="21" fillId="2" borderId="1" xfId="0" applyNumberFormat="1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left" vertical="center" wrapText="1"/>
    </xf>
    <xf numFmtId="41" fontId="22" fillId="4" borderId="1" xfId="1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/>
    </xf>
    <xf numFmtId="164" fontId="0" fillId="2" borderId="0" xfId="0" applyNumberFormat="1" applyFill="1"/>
    <xf numFmtId="0" fontId="16" fillId="9" borderId="1" xfId="2" applyFont="1" applyFill="1" applyBorder="1" applyAlignment="1"/>
    <xf numFmtId="41" fontId="16" fillId="9" borderId="1" xfId="1" applyNumberFormat="1" applyFont="1" applyFill="1" applyBorder="1" applyAlignment="1">
      <alignment horizontal="right"/>
    </xf>
    <xf numFmtId="0" fontId="16" fillId="9" borderId="1" xfId="2" applyFont="1" applyFill="1" applyBorder="1" applyAlignment="1">
      <alignment horizontal="left" vertical="center" wrapText="1"/>
    </xf>
    <xf numFmtId="41" fontId="16" fillId="9" borderId="1" xfId="1" applyNumberFormat="1" applyFont="1" applyFill="1" applyBorder="1" applyAlignment="1">
      <alignment horizontal="right" vertical="center"/>
    </xf>
    <xf numFmtId="166" fontId="15" fillId="2" borderId="1" xfId="1" applyNumberFormat="1" applyFont="1" applyFill="1" applyBorder="1" applyAlignment="1">
      <alignment horizontal="right"/>
    </xf>
    <xf numFmtId="43" fontId="16" fillId="9" borderId="1" xfId="1" applyNumberFormat="1" applyFont="1" applyFill="1" applyBorder="1" applyAlignment="1">
      <alignment horizontal="right" vertical="center"/>
    </xf>
    <xf numFmtId="41" fontId="0" fillId="2" borderId="0" xfId="0" applyNumberFormat="1" applyFill="1"/>
    <xf numFmtId="0" fontId="11" fillId="7" borderId="1" xfId="0" applyFont="1" applyFill="1" applyBorder="1" applyAlignment="1">
      <alignment horizontal="center" vertical="center"/>
    </xf>
    <xf numFmtId="41" fontId="2" fillId="2" borderId="1" xfId="0" applyNumberFormat="1" applyFont="1" applyFill="1" applyBorder="1" applyAlignment="1">
      <alignment horizontal="center" vertical="center"/>
    </xf>
    <xf numFmtId="41" fontId="2" fillId="2" borderId="1" xfId="0" applyNumberFormat="1" applyFont="1" applyFill="1" applyBorder="1" applyAlignment="1">
      <alignment vertical="center"/>
    </xf>
    <xf numFmtId="41" fontId="24" fillId="3" borderId="1" xfId="1" applyNumberFormat="1" applyFont="1" applyFill="1" applyBorder="1" applyAlignment="1">
      <alignment horizontal="center" vertical="center"/>
    </xf>
    <xf numFmtId="43" fontId="24" fillId="7" borderId="1" xfId="1" applyNumberFormat="1" applyFont="1" applyFill="1" applyBorder="1" applyAlignment="1">
      <alignment horizontal="center" vertical="center"/>
    </xf>
    <xf numFmtId="41" fontId="7" fillId="4" borderId="1" xfId="1" applyNumberFormat="1" applyFont="1" applyFill="1" applyBorder="1" applyAlignment="1">
      <alignment horizontal="center" vertical="center"/>
    </xf>
    <xf numFmtId="41" fontId="3" fillId="0" borderId="1" xfId="1" applyNumberFormat="1" applyFont="1" applyFill="1" applyBorder="1" applyAlignment="1">
      <alignment horizontal="center" vertical="center"/>
    </xf>
    <xf numFmtId="41" fontId="24" fillId="5" borderId="1" xfId="1" applyNumberFormat="1" applyFont="1" applyFill="1" applyBorder="1" applyAlignment="1">
      <alignment horizontal="center" vertical="center"/>
    </xf>
    <xf numFmtId="41" fontId="4" fillId="7" borderId="1" xfId="0" applyNumberFormat="1" applyFont="1" applyFill="1" applyBorder="1" applyAlignment="1">
      <alignment vertical="center"/>
    </xf>
    <xf numFmtId="41" fontId="20" fillId="4" borderId="1" xfId="1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 wrapText="1"/>
    </xf>
    <xf numFmtId="1" fontId="9" fillId="2" borderId="1" xfId="0" applyNumberFormat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11" fillId="7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166" fontId="6" fillId="7" borderId="1" xfId="1" applyNumberFormat="1" applyFont="1" applyFill="1" applyBorder="1" applyAlignment="1">
      <alignment horizontal="center" vertical="center"/>
    </xf>
    <xf numFmtId="0" fontId="0" fillId="2" borderId="0" xfId="0" applyFill="1" applyAlignment="1"/>
    <xf numFmtId="0" fontId="0" fillId="2" borderId="0" xfId="0" applyFill="1" applyBorder="1" applyAlignment="1"/>
    <xf numFmtId="0" fontId="0" fillId="2" borderId="0" xfId="0" applyFill="1" applyAlignment="1">
      <alignment vertical="center"/>
    </xf>
    <xf numFmtId="0" fontId="10" fillId="6" borderId="1" xfId="0" applyFont="1" applyFill="1" applyBorder="1" applyAlignment="1">
      <alignment horizontal="center" vertical="center" wrapText="1"/>
    </xf>
    <xf numFmtId="0" fontId="10" fillId="6" borderId="1" xfId="0" applyNumberFormat="1" applyFont="1" applyFill="1" applyBorder="1" applyAlignment="1">
      <alignment horizontal="center" vertical="center" wrapText="1"/>
    </xf>
    <xf numFmtId="4" fontId="10" fillId="6" borderId="1" xfId="1" applyNumberFormat="1" applyFont="1" applyFill="1" applyBorder="1" applyAlignment="1">
      <alignment horizontal="center" vertical="center" wrapText="1"/>
    </xf>
    <xf numFmtId="3" fontId="10" fillId="6" borderId="1" xfId="1" applyNumberFormat="1" applyFont="1" applyFill="1" applyBorder="1" applyAlignment="1">
      <alignment horizontal="center" vertical="center" wrapText="1"/>
    </xf>
    <xf numFmtId="164" fontId="10" fillId="6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41" fontId="1" fillId="7" borderId="1" xfId="0" applyNumberFormat="1" applyFont="1" applyFill="1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1" fontId="2" fillId="2" borderId="1" xfId="0" applyNumberFormat="1" applyFont="1" applyFill="1" applyBorder="1" applyAlignment="1">
      <alignment horizontal="left" vertical="center" wrapText="1"/>
    </xf>
    <xf numFmtId="0" fontId="11" fillId="7" borderId="1" xfId="0" applyFont="1" applyFill="1" applyBorder="1" applyAlignment="1">
      <alignment horizontal="left" vertical="center"/>
    </xf>
    <xf numFmtId="1" fontId="9" fillId="2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vertical="center" wrapText="1"/>
    </xf>
    <xf numFmtId="1" fontId="0" fillId="2" borderId="0" xfId="0" applyNumberFormat="1" applyFill="1"/>
    <xf numFmtId="0" fontId="8" fillId="2" borderId="1" xfId="2" applyFont="1" applyFill="1" applyBorder="1" applyAlignment="1">
      <alignment vertical="center" wrapText="1"/>
    </xf>
    <xf numFmtId="0" fontId="25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/>
    </xf>
    <xf numFmtId="0" fontId="28" fillId="2" borderId="0" xfId="0" applyFont="1" applyFill="1" applyBorder="1" applyAlignment="1">
      <alignment horizontal="left" vertical="center" wrapText="1"/>
    </xf>
    <xf numFmtId="0" fontId="28" fillId="2" borderId="2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/>
    </xf>
    <xf numFmtId="0" fontId="27" fillId="0" borderId="0" xfId="0" applyFont="1" applyAlignment="1">
      <alignment horizontal="center"/>
    </xf>
    <xf numFmtId="0" fontId="1" fillId="2" borderId="2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23" fillId="9" borderId="0" xfId="0" applyFont="1" applyFill="1" applyAlignment="1">
      <alignment horizontal="center" vertical="center"/>
    </xf>
  </cellXfs>
  <cellStyles count="9">
    <cellStyle name="Comma" xfId="1" builtinId="3"/>
    <cellStyle name="Comma 2" xfId="4"/>
    <cellStyle name="Comma 3" xfId="3"/>
    <cellStyle name="Comma 4" xfId="8"/>
    <cellStyle name="Normal" xfId="0" builtinId="0"/>
    <cellStyle name="Normal 2" xfId="2"/>
    <cellStyle name="Normal 2 2" xfId="5"/>
    <cellStyle name="Normal 4" xfId="6"/>
    <cellStyle name="Style 1" xfId="7"/>
  </cellStyles>
  <dxfs count="0"/>
  <tableStyles count="0" defaultTableStyle="TableStyleMedium9" defaultPivotStyle="PivotStyleLight16"/>
  <colors>
    <mruColors>
      <color rgb="FFFFDF79"/>
      <color rgb="FFFFD03B"/>
      <color rgb="FF9FACD5"/>
      <color rgb="FF993366"/>
      <color rgb="FFCCFF33"/>
      <color rgb="FFFF99FF"/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29"/>
  <sheetViews>
    <sheetView zoomScaleNormal="100" zoomScaleSheetLayoutView="100" workbookViewId="0">
      <pane xSplit="9" ySplit="8" topLeftCell="J18" activePane="bottomRight" state="frozen"/>
      <selection activeCell="J19" sqref="J19"/>
      <selection pane="topRight" activeCell="J19" sqref="J19"/>
      <selection pane="bottomLeft" activeCell="J19" sqref="J19"/>
      <selection pane="bottomRight" activeCell="I23" sqref="I23:J23"/>
    </sheetView>
  </sheetViews>
  <sheetFormatPr defaultRowHeight="15" x14ac:dyDescent="0.25"/>
  <cols>
    <col min="1" max="1" width="3.7109375" style="62" customWidth="1"/>
    <col min="2" max="2" width="19.85546875" style="62" bestFit="1" customWidth="1"/>
    <col min="3" max="3" width="14.42578125" style="62" customWidth="1"/>
    <col min="4" max="4" width="12.28515625" style="62" bestFit="1" customWidth="1"/>
    <col min="5" max="5" width="6.28515625" style="62" hidden="1" customWidth="1"/>
    <col min="6" max="6" width="8" style="62" hidden="1" customWidth="1"/>
    <col min="7" max="7" width="6.7109375" style="62" bestFit="1" customWidth="1"/>
    <col min="8" max="8" width="6.42578125" style="62" bestFit="1" customWidth="1"/>
    <col min="9" max="9" width="7.28515625" style="62" bestFit="1" customWidth="1"/>
    <col min="10" max="10" width="5.42578125" style="62" customWidth="1"/>
    <col min="11" max="11" width="7.28515625" style="62" customWidth="1"/>
    <col min="12" max="12" width="8.42578125" style="62" customWidth="1"/>
    <col min="13" max="13" width="8" style="62" customWidth="1"/>
    <col min="14" max="14" width="7.28515625" style="62" bestFit="1" customWidth="1"/>
    <col min="15" max="15" width="7.85546875" style="62" bestFit="1" customWidth="1"/>
    <col min="16" max="16" width="6.28515625" style="62" bestFit="1" customWidth="1"/>
    <col min="17" max="17" width="9.7109375" style="62" bestFit="1" customWidth="1"/>
    <col min="18" max="18" width="9.28515625" style="62" bestFit="1" customWidth="1"/>
    <col min="19" max="19" width="11.140625" style="62" bestFit="1" customWidth="1"/>
    <col min="20" max="20" width="8.28515625" style="62" bestFit="1" customWidth="1"/>
    <col min="21" max="21" width="8.5703125" style="71" bestFit="1" customWidth="1"/>
    <col min="22" max="22" width="8.5703125" style="62" customWidth="1"/>
    <col min="23" max="23" width="6.28515625" style="62" bestFit="1" customWidth="1"/>
    <col min="24" max="24" width="7.28515625" style="71" bestFit="1" customWidth="1"/>
    <col min="25" max="25" width="22.85546875" style="62" customWidth="1"/>
    <col min="26" max="26" width="8.5703125" style="62" bestFit="1" customWidth="1"/>
    <col min="27" max="27" width="11.140625" style="62" bestFit="1" customWidth="1"/>
    <col min="28" max="28" width="9" style="62" bestFit="1" customWidth="1"/>
    <col min="29" max="29" width="11.42578125" style="62" customWidth="1"/>
    <col min="30" max="16384" width="9.140625" style="62"/>
  </cols>
  <sheetData>
    <row r="1" spans="1:37" ht="28.5" x14ac:dyDescent="0.25">
      <c r="A1" s="82" t="s">
        <v>42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</row>
    <row r="2" spans="1:37" ht="18" x14ac:dyDescent="0.35">
      <c r="A2" s="83" t="s">
        <v>87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</row>
    <row r="3" spans="1:37" ht="18.75" x14ac:dyDescent="0.3">
      <c r="A3" s="87" t="s">
        <v>166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</row>
    <row r="5" spans="1:37" x14ac:dyDescent="0.25">
      <c r="A5" s="84" t="s">
        <v>88</v>
      </c>
      <c r="B5" s="84"/>
      <c r="C5" s="84"/>
      <c r="D5" s="86" t="s">
        <v>76</v>
      </c>
      <c r="E5" s="86"/>
      <c r="F5" s="86"/>
      <c r="G5" s="86"/>
      <c r="H5" s="86"/>
      <c r="I5" s="86"/>
    </row>
    <row r="6" spans="1:37" x14ac:dyDescent="0.25">
      <c r="A6" s="84" t="s">
        <v>89</v>
      </c>
      <c r="B6" s="84"/>
      <c r="C6" s="84"/>
      <c r="D6" s="86" t="s">
        <v>86</v>
      </c>
      <c r="E6" s="86"/>
      <c r="F6" s="86"/>
      <c r="G6" s="86"/>
      <c r="H6" s="86"/>
      <c r="I6" s="86"/>
    </row>
    <row r="7" spans="1:37" ht="20.25" customHeight="1" x14ac:dyDescent="0.25">
      <c r="A7" s="85" t="s">
        <v>90</v>
      </c>
      <c r="B7" s="85"/>
      <c r="C7" s="85"/>
      <c r="D7" s="86" t="s">
        <v>79</v>
      </c>
      <c r="E7" s="86"/>
      <c r="F7" s="86"/>
      <c r="G7" s="86"/>
      <c r="H7" s="86"/>
      <c r="I7" s="86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</row>
    <row r="8" spans="1:37" ht="48" x14ac:dyDescent="0.25">
      <c r="A8" s="63" t="s">
        <v>0</v>
      </c>
      <c r="B8" s="63" t="s">
        <v>39</v>
      </c>
      <c r="C8" s="63" t="s">
        <v>1</v>
      </c>
      <c r="D8" s="64" t="s">
        <v>2</v>
      </c>
      <c r="E8" s="65" t="s">
        <v>3</v>
      </c>
      <c r="F8" s="65" t="s">
        <v>4</v>
      </c>
      <c r="G8" s="65" t="s">
        <v>5</v>
      </c>
      <c r="H8" s="66" t="s">
        <v>6</v>
      </c>
      <c r="I8" s="66" t="s">
        <v>7</v>
      </c>
      <c r="J8" s="66" t="s">
        <v>40</v>
      </c>
      <c r="K8" s="66" t="s">
        <v>8</v>
      </c>
      <c r="L8" s="66" t="s">
        <v>25</v>
      </c>
      <c r="M8" s="66" t="s">
        <v>65</v>
      </c>
      <c r="N8" s="65" t="s">
        <v>9</v>
      </c>
      <c r="O8" s="65" t="s">
        <v>14</v>
      </c>
      <c r="P8" s="65" t="s">
        <v>15</v>
      </c>
      <c r="Q8" s="65" t="s">
        <v>16</v>
      </c>
      <c r="R8" s="65" t="s">
        <v>17</v>
      </c>
      <c r="S8" s="65" t="s">
        <v>18</v>
      </c>
      <c r="T8" s="65" t="s">
        <v>19</v>
      </c>
      <c r="U8" s="65" t="s">
        <v>20</v>
      </c>
      <c r="V8" s="65" t="s">
        <v>41</v>
      </c>
      <c r="W8" s="65" t="s">
        <v>21</v>
      </c>
      <c r="X8" s="65" t="s">
        <v>22</v>
      </c>
      <c r="Y8" s="65" t="s">
        <v>23</v>
      </c>
      <c r="Z8" s="67" t="s">
        <v>10</v>
      </c>
      <c r="AA8" s="65" t="s">
        <v>11</v>
      </c>
      <c r="AB8" s="67" t="s">
        <v>12</v>
      </c>
      <c r="AC8" s="65" t="s">
        <v>13</v>
      </c>
    </row>
    <row r="9" spans="1:37" ht="24.95" customHeight="1" x14ac:dyDescent="0.25">
      <c r="A9" s="68">
        <v>1</v>
      </c>
      <c r="B9" s="77" t="s">
        <v>106</v>
      </c>
      <c r="C9" s="35" t="s">
        <v>44</v>
      </c>
      <c r="D9" s="69" t="s">
        <v>80</v>
      </c>
      <c r="E9" s="3">
        <v>7546</v>
      </c>
      <c r="F9" s="3">
        <v>0</v>
      </c>
      <c r="G9" s="4">
        <f>E9+F9</f>
        <v>7546</v>
      </c>
      <c r="H9" s="5">
        <v>26</v>
      </c>
      <c r="I9" s="11">
        <v>26</v>
      </c>
      <c r="J9" s="11">
        <v>2</v>
      </c>
      <c r="K9" s="3">
        <f>E9/H9*I9</f>
        <v>7546</v>
      </c>
      <c r="L9" s="3">
        <f>F9/H9*I9</f>
        <v>0</v>
      </c>
      <c r="M9" s="3">
        <f>G9/H9*J9</f>
        <v>580.46153846153845</v>
      </c>
      <c r="N9" s="6">
        <f>ROUND(K9+L9+M9,0)</f>
        <v>8126</v>
      </c>
      <c r="O9" s="7">
        <f>ROUND(Z9*12%,0)</f>
        <v>906</v>
      </c>
      <c r="P9" s="7">
        <f>ROUNDUP(AB9*1.75%,0)</f>
        <v>143</v>
      </c>
      <c r="Q9" s="8">
        <f>IF(N9&gt;40000,200,IF(N9&gt;25000,150,IF(N9&gt;15000,130,IF(N9&gt;10000,110,IF(N9&gt;8500,0,)))))</f>
        <v>0</v>
      </c>
      <c r="R9" s="3"/>
      <c r="S9" s="3">
        <v>0</v>
      </c>
      <c r="T9" s="9">
        <f>SUM(O9:S9)</f>
        <v>1049</v>
      </c>
      <c r="U9" s="53">
        <f>N9-T9</f>
        <v>7077</v>
      </c>
      <c r="V9" s="7">
        <f>ROUND((E9/H9*J9)*13.36%,0)</f>
        <v>78</v>
      </c>
      <c r="W9" s="5">
        <f>ROUND((E9/12)/H9*(I9),0)</f>
        <v>629</v>
      </c>
      <c r="X9" s="53">
        <f>U9+W9+V9</f>
        <v>7784</v>
      </c>
      <c r="Y9" s="7"/>
      <c r="Z9" s="7">
        <f>ROUND(IF(($K9)&gt;15000,15000,IF(($K9)&lt;=15000,($K9))),0)</f>
        <v>7546</v>
      </c>
      <c r="AA9" s="7">
        <f>ROUND(Z9*13.36%,0)</f>
        <v>1008</v>
      </c>
      <c r="AB9" s="7">
        <f>ROUND($G9/$H9*($I9+J9),0)</f>
        <v>8126</v>
      </c>
      <c r="AC9" s="7">
        <f>ROUNDUP(AB9*4.75%,0)</f>
        <v>386</v>
      </c>
    </row>
    <row r="10" spans="1:37" ht="24.95" customHeight="1" x14ac:dyDescent="0.25">
      <c r="A10" s="68">
        <v>2</v>
      </c>
      <c r="B10" s="77" t="s">
        <v>107</v>
      </c>
      <c r="C10" s="35" t="s">
        <v>52</v>
      </c>
      <c r="D10" s="69" t="s">
        <v>80</v>
      </c>
      <c r="E10" s="3">
        <v>7546</v>
      </c>
      <c r="F10" s="3">
        <v>0</v>
      </c>
      <c r="G10" s="4">
        <f t="shared" ref="G10:G11" si="0">E10+F10</f>
        <v>7546</v>
      </c>
      <c r="H10" s="5">
        <v>26</v>
      </c>
      <c r="I10" s="11">
        <v>22</v>
      </c>
      <c r="J10" s="11"/>
      <c r="K10" s="3">
        <f t="shared" ref="K10:K11" si="1">E10/H10*I10</f>
        <v>6385.0769230769229</v>
      </c>
      <c r="L10" s="3">
        <f t="shared" ref="L10:L11" si="2">F10/H10*I10</f>
        <v>0</v>
      </c>
      <c r="M10" s="3">
        <f t="shared" ref="M10:M11" si="3">G10/H10*J10</f>
        <v>0</v>
      </c>
      <c r="N10" s="6">
        <f t="shared" ref="N10:N11" si="4">ROUND(K10+L10+M10,0)</f>
        <v>6385</v>
      </c>
      <c r="O10" s="7">
        <f t="shared" ref="O10:O11" si="5">ROUND(Z10*12%,0)</f>
        <v>766</v>
      </c>
      <c r="P10" s="7">
        <f t="shared" ref="P10:P11" si="6">ROUNDUP(AB10*1.75%,0)</f>
        <v>112</v>
      </c>
      <c r="Q10" s="8">
        <f>IF(N10&gt;40000,200,IF(N10&gt;25000,150,IF(N10&gt;15000,130,IF(N10&gt;10000,110,IF(N10&gt;8500,0,)))))</f>
        <v>0</v>
      </c>
      <c r="R10" s="3"/>
      <c r="S10" s="3">
        <v>0</v>
      </c>
      <c r="T10" s="9">
        <f t="shared" ref="T10:T19" si="7">SUM(O10:S10)</f>
        <v>878</v>
      </c>
      <c r="U10" s="53">
        <f t="shared" ref="U10:U11" si="8">N10-T10</f>
        <v>5507</v>
      </c>
      <c r="V10" s="7">
        <f t="shared" ref="V10:V11" si="9">ROUND((E10/H10*J10)*13.36%,0)</f>
        <v>0</v>
      </c>
      <c r="W10" s="5">
        <f>ROUND((E10/12)/H10*(I10),0)</f>
        <v>532</v>
      </c>
      <c r="X10" s="53">
        <f t="shared" ref="X10:X11" si="10">U10+W10+V10</f>
        <v>6039</v>
      </c>
      <c r="Y10" s="7"/>
      <c r="Z10" s="7">
        <f>ROUND(IF(($K10)&gt;15000,15000,IF(($K10)&lt;=15000,($K10))),0)</f>
        <v>6385</v>
      </c>
      <c r="AA10" s="7">
        <f t="shared" ref="AA10:AA11" si="11">ROUND(Z10*13.36%,0)</f>
        <v>853</v>
      </c>
      <c r="AB10" s="7">
        <f>ROUND($G10/$H10*($I10+J10),0)</f>
        <v>6385</v>
      </c>
      <c r="AC10" s="7">
        <f t="shared" ref="AC10:AC11" si="12">ROUNDUP(AB10*4.75%,0)</f>
        <v>304</v>
      </c>
    </row>
    <row r="11" spans="1:37" ht="24.95" customHeight="1" x14ac:dyDescent="0.25">
      <c r="A11" s="68">
        <v>3</v>
      </c>
      <c r="B11" s="77" t="s">
        <v>108</v>
      </c>
      <c r="C11" s="10" t="s">
        <v>48</v>
      </c>
      <c r="D11" s="69" t="s">
        <v>80</v>
      </c>
      <c r="E11" s="3">
        <v>7546</v>
      </c>
      <c r="F11" s="3">
        <v>0</v>
      </c>
      <c r="G11" s="4">
        <f t="shared" si="0"/>
        <v>7546</v>
      </c>
      <c r="H11" s="5">
        <v>26</v>
      </c>
      <c r="I11" s="11">
        <v>26</v>
      </c>
      <c r="J11" s="11">
        <v>3</v>
      </c>
      <c r="K11" s="3">
        <f t="shared" si="1"/>
        <v>7546</v>
      </c>
      <c r="L11" s="3">
        <f t="shared" si="2"/>
        <v>0</v>
      </c>
      <c r="M11" s="3">
        <f t="shared" si="3"/>
        <v>870.69230769230762</v>
      </c>
      <c r="N11" s="6">
        <f t="shared" si="4"/>
        <v>8417</v>
      </c>
      <c r="O11" s="7">
        <f t="shared" si="5"/>
        <v>906</v>
      </c>
      <c r="P11" s="7">
        <f t="shared" si="6"/>
        <v>148</v>
      </c>
      <c r="Q11" s="8">
        <f>IF(N11&gt;40000,200,IF(N11&gt;25000,150,IF(N11&gt;15000,130,IF(N11&gt;10000,110,IF(N11&gt;8500,0,)))))</f>
        <v>0</v>
      </c>
      <c r="R11" s="3"/>
      <c r="S11" s="3">
        <v>0</v>
      </c>
      <c r="T11" s="9">
        <f t="shared" si="7"/>
        <v>1054</v>
      </c>
      <c r="U11" s="53">
        <f t="shared" si="8"/>
        <v>7363</v>
      </c>
      <c r="V11" s="7">
        <f t="shared" si="9"/>
        <v>116</v>
      </c>
      <c r="W11" s="5">
        <f>ROUND((E11/12)/H11*(I11),0)</f>
        <v>629</v>
      </c>
      <c r="X11" s="53">
        <f t="shared" si="10"/>
        <v>8108</v>
      </c>
      <c r="Y11" s="7"/>
      <c r="Z11" s="7">
        <f>ROUND(IF(($K11)&gt;15000,15000,IF(($K11)&lt;=15000,($K11))),0)</f>
        <v>7546</v>
      </c>
      <c r="AA11" s="7">
        <f t="shared" si="11"/>
        <v>1008</v>
      </c>
      <c r="AB11" s="7">
        <f>ROUND($G11/$H11*($I11+J11),0)</f>
        <v>8417</v>
      </c>
      <c r="AC11" s="7">
        <f t="shared" si="12"/>
        <v>400</v>
      </c>
    </row>
    <row r="12" spans="1:37" ht="24.95" customHeight="1" x14ac:dyDescent="0.25">
      <c r="A12" s="68">
        <v>4</v>
      </c>
      <c r="B12" s="77" t="s">
        <v>109</v>
      </c>
      <c r="C12" s="10" t="s">
        <v>54</v>
      </c>
      <c r="D12" s="69" t="s">
        <v>80</v>
      </c>
      <c r="E12" s="3">
        <v>7546</v>
      </c>
      <c r="F12" s="3">
        <v>0</v>
      </c>
      <c r="G12" s="4">
        <f t="shared" ref="G12" si="13">E12+F12</f>
        <v>7546</v>
      </c>
      <c r="H12" s="5">
        <v>26</v>
      </c>
      <c r="I12" s="11">
        <v>26</v>
      </c>
      <c r="J12" s="11">
        <v>1</v>
      </c>
      <c r="K12" s="3">
        <f t="shared" ref="K12" si="14">E12/H12*I12</f>
        <v>7546</v>
      </c>
      <c r="L12" s="3">
        <f t="shared" ref="L12" si="15">F12/H12*I12</f>
        <v>0</v>
      </c>
      <c r="M12" s="3">
        <f t="shared" ref="M12" si="16">G12/H12*J12</f>
        <v>290.23076923076923</v>
      </c>
      <c r="N12" s="6">
        <f t="shared" ref="N12" si="17">ROUND(K12+L12+M12,0)</f>
        <v>7836</v>
      </c>
      <c r="O12" s="7">
        <f t="shared" ref="O12" si="18">ROUND(Z12*12%,0)</f>
        <v>906</v>
      </c>
      <c r="P12" s="7">
        <f t="shared" ref="P12" si="19">ROUNDUP(AB12*1.75%,0)</f>
        <v>138</v>
      </c>
      <c r="Q12" s="8">
        <f>IF(N12&gt;40000,200,IF(N12&gt;25000,150,IF(N12&gt;15000,130,IF(N12&gt;10000,110,IF(N12&gt;8500,0,)))))</f>
        <v>0</v>
      </c>
      <c r="R12" s="3"/>
      <c r="S12" s="3">
        <v>0</v>
      </c>
      <c r="T12" s="9">
        <f t="shared" si="7"/>
        <v>1044</v>
      </c>
      <c r="U12" s="53">
        <f t="shared" ref="U12" si="20">N12-T12</f>
        <v>6792</v>
      </c>
      <c r="V12" s="7">
        <f t="shared" ref="V12" si="21">ROUND((E12/H12*J12)*13.36%,0)</f>
        <v>39</v>
      </c>
      <c r="W12" s="5">
        <f>ROUND((E12/12)/H12*(I12),0)</f>
        <v>629</v>
      </c>
      <c r="X12" s="53">
        <f t="shared" ref="X12" si="22">U12+W12+V12</f>
        <v>7460</v>
      </c>
      <c r="Y12" s="7"/>
      <c r="Z12" s="7">
        <f>ROUND(IF(($K12)&gt;15000,15000,IF(($K12)&lt;=15000,($K12))),0)</f>
        <v>7546</v>
      </c>
      <c r="AA12" s="7">
        <f t="shared" ref="AA12" si="23">ROUND(Z12*13.36%,0)</f>
        <v>1008</v>
      </c>
      <c r="AB12" s="7">
        <f>ROUND($G12/$H12*($I12+J12),0)</f>
        <v>7836</v>
      </c>
      <c r="AC12" s="7">
        <f t="shared" ref="AC12" si="24">ROUNDUP(AB12*4.75%,0)</f>
        <v>373</v>
      </c>
    </row>
    <row r="13" spans="1:37" ht="24.95" customHeight="1" x14ac:dyDescent="0.25">
      <c r="A13" s="68">
        <v>5</v>
      </c>
      <c r="B13" s="77" t="s">
        <v>110</v>
      </c>
      <c r="C13" s="10" t="s">
        <v>46</v>
      </c>
      <c r="D13" s="69" t="s">
        <v>80</v>
      </c>
      <c r="E13" s="3">
        <v>7546</v>
      </c>
      <c r="F13" s="3">
        <v>0</v>
      </c>
      <c r="G13" s="4">
        <f t="shared" ref="G13" si="25">E13+F13</f>
        <v>7546</v>
      </c>
      <c r="H13" s="5">
        <v>26</v>
      </c>
      <c r="I13" s="11">
        <v>25</v>
      </c>
      <c r="J13" s="11"/>
      <c r="K13" s="3">
        <f t="shared" ref="K13" si="26">E13/H13*I13</f>
        <v>7255.7692307692305</v>
      </c>
      <c r="L13" s="3">
        <f t="shared" ref="L13" si="27">F13/H13*I13</f>
        <v>0</v>
      </c>
      <c r="M13" s="3">
        <f t="shared" ref="M13" si="28">G13/H13*J13</f>
        <v>0</v>
      </c>
      <c r="N13" s="6">
        <f t="shared" ref="N13" si="29">ROUND(K13+L13+M13,0)</f>
        <v>7256</v>
      </c>
      <c r="O13" s="7">
        <f t="shared" ref="O13" si="30">ROUND(Z13*12%,0)</f>
        <v>871</v>
      </c>
      <c r="P13" s="7">
        <f t="shared" ref="P13" si="31">ROUNDUP(AB13*1.75%,0)</f>
        <v>127</v>
      </c>
      <c r="Q13" s="8">
        <f t="shared" ref="Q13:Q19" si="32">IF(N13&gt;40000,200,IF(N13&gt;25000,150,IF(N13&gt;15000,130,IF(N13&gt;10000,110,IF(N13&gt;8500,0,)))))</f>
        <v>0</v>
      </c>
      <c r="R13" s="3"/>
      <c r="S13" s="3">
        <v>0</v>
      </c>
      <c r="T13" s="9">
        <f t="shared" si="7"/>
        <v>998</v>
      </c>
      <c r="U13" s="53">
        <f t="shared" ref="U13" si="33">N13-T13</f>
        <v>6258</v>
      </c>
      <c r="V13" s="7">
        <f t="shared" ref="V13" si="34">ROUND((E13/H13*J13)*13.36%,0)</f>
        <v>0</v>
      </c>
      <c r="W13" s="5">
        <f t="shared" ref="W13:W19" si="35">ROUND((E13/12)/H13*(I13),0)</f>
        <v>605</v>
      </c>
      <c r="X13" s="53">
        <f t="shared" ref="X13" si="36">U13+W13+V13</f>
        <v>6863</v>
      </c>
      <c r="Y13" s="7"/>
      <c r="Z13" s="7">
        <f t="shared" ref="Z13:Z21" si="37">ROUND(IF(($K13)&gt;15000,15000,IF(($K13)&lt;=15000,($K13))),0)</f>
        <v>7256</v>
      </c>
      <c r="AA13" s="7">
        <f t="shared" ref="AA13" si="38">ROUND(Z13*13.36%,0)</f>
        <v>969</v>
      </c>
      <c r="AB13" s="7">
        <f t="shared" ref="AB13" si="39">ROUND($G13/$H13*($I13+J13),0)</f>
        <v>7256</v>
      </c>
      <c r="AC13" s="7">
        <f t="shared" ref="AC13" si="40">ROUNDUP(AB13*4.75%,0)</f>
        <v>345</v>
      </c>
    </row>
    <row r="14" spans="1:37" ht="24.95" customHeight="1" x14ac:dyDescent="0.25">
      <c r="A14" s="68">
        <v>6</v>
      </c>
      <c r="B14" s="77" t="s">
        <v>111</v>
      </c>
      <c r="C14" s="10" t="s">
        <v>47</v>
      </c>
      <c r="D14" s="69" t="s">
        <v>80</v>
      </c>
      <c r="E14" s="3">
        <v>7546</v>
      </c>
      <c r="F14" s="3">
        <v>0</v>
      </c>
      <c r="G14" s="4">
        <f t="shared" ref="G14" si="41">E14+F14</f>
        <v>7546</v>
      </c>
      <c r="H14" s="5">
        <v>26</v>
      </c>
      <c r="I14" s="11">
        <v>21</v>
      </c>
      <c r="J14" s="11"/>
      <c r="K14" s="3">
        <f t="shared" ref="K14" si="42">E14/H14*I14</f>
        <v>6094.8461538461534</v>
      </c>
      <c r="L14" s="3">
        <f t="shared" ref="L14" si="43">F14/H14*I14</f>
        <v>0</v>
      </c>
      <c r="M14" s="3">
        <f t="shared" ref="M14" si="44">G14/H14*J14</f>
        <v>0</v>
      </c>
      <c r="N14" s="6">
        <f t="shared" ref="N14" si="45">ROUND(K14+L14+M14,0)</f>
        <v>6095</v>
      </c>
      <c r="O14" s="7">
        <f t="shared" ref="O14" si="46">ROUND(Z14*12%,0)</f>
        <v>731</v>
      </c>
      <c r="P14" s="7">
        <f t="shared" ref="P14" si="47">ROUNDUP(AB14*1.75%,0)</f>
        <v>107</v>
      </c>
      <c r="Q14" s="8">
        <f t="shared" si="32"/>
        <v>0</v>
      </c>
      <c r="R14" s="3"/>
      <c r="S14" s="3">
        <v>0</v>
      </c>
      <c r="T14" s="9">
        <f t="shared" si="7"/>
        <v>838</v>
      </c>
      <c r="U14" s="53">
        <f t="shared" ref="U14" si="48">N14-T14</f>
        <v>5257</v>
      </c>
      <c r="V14" s="7">
        <f t="shared" ref="V14" si="49">ROUND((E14/H14*J14)*13.36%,0)</f>
        <v>0</v>
      </c>
      <c r="W14" s="5">
        <f t="shared" si="35"/>
        <v>508</v>
      </c>
      <c r="X14" s="53">
        <f t="shared" ref="X14" si="50">U14+W14+V14</f>
        <v>5765</v>
      </c>
      <c r="Y14" s="7"/>
      <c r="Z14" s="7">
        <f t="shared" si="37"/>
        <v>6095</v>
      </c>
      <c r="AA14" s="7">
        <f t="shared" ref="AA14" si="51">ROUND(Z14*13.36%,0)</f>
        <v>814</v>
      </c>
      <c r="AB14" s="7">
        <f t="shared" ref="AB14" si="52">ROUND($G14/$H14*($I14+J14),0)</f>
        <v>6095</v>
      </c>
      <c r="AC14" s="7">
        <f t="shared" ref="AC14" si="53">ROUNDUP(AB14*4.75%,0)</f>
        <v>290</v>
      </c>
    </row>
    <row r="15" spans="1:37" ht="24.95" customHeight="1" x14ac:dyDescent="0.25">
      <c r="A15" s="68">
        <v>7</v>
      </c>
      <c r="B15" s="77" t="s">
        <v>112</v>
      </c>
      <c r="C15" s="10" t="s">
        <v>50</v>
      </c>
      <c r="D15" s="69" t="s">
        <v>80</v>
      </c>
      <c r="E15" s="3">
        <v>7546</v>
      </c>
      <c r="F15" s="3">
        <v>0</v>
      </c>
      <c r="G15" s="4">
        <f>E15+F15</f>
        <v>7546</v>
      </c>
      <c r="H15" s="5">
        <v>26</v>
      </c>
      <c r="I15" s="11">
        <v>26</v>
      </c>
      <c r="J15" s="11">
        <v>2</v>
      </c>
      <c r="K15" s="3">
        <f>E15/H15*I15</f>
        <v>7546</v>
      </c>
      <c r="L15" s="3">
        <f>F15/H15*I15</f>
        <v>0</v>
      </c>
      <c r="M15" s="3">
        <f>G15/H15*J15</f>
        <v>580.46153846153845</v>
      </c>
      <c r="N15" s="6">
        <f>ROUND(K15+L15+M15,0)</f>
        <v>8126</v>
      </c>
      <c r="O15" s="7">
        <f>ROUND(Z15*12%,0)</f>
        <v>906</v>
      </c>
      <c r="P15" s="7">
        <f>ROUNDUP(AB15*1.75%,0)</f>
        <v>143</v>
      </c>
      <c r="Q15" s="8">
        <f>IF(N15&gt;40000,200,IF(N15&gt;25000,150,IF(N15&gt;15000,130,IF(N15&gt;10000,110,IF(N15&gt;8500,0,)))))</f>
        <v>0</v>
      </c>
      <c r="R15" s="3"/>
      <c r="S15" s="3">
        <v>0</v>
      </c>
      <c r="T15" s="9">
        <f t="shared" si="7"/>
        <v>1049</v>
      </c>
      <c r="U15" s="53">
        <f>N15-T15</f>
        <v>7077</v>
      </c>
      <c r="V15" s="7">
        <f>ROUND((E15/H15*J15)*13.36%,0)</f>
        <v>78</v>
      </c>
      <c r="W15" s="5">
        <f>ROUND((E15/12)/H15*(I15),0)</f>
        <v>629</v>
      </c>
      <c r="X15" s="53">
        <f>U15+W15+V15</f>
        <v>7784</v>
      </c>
      <c r="Y15" s="7"/>
      <c r="Z15" s="7">
        <f>ROUND(IF(($K15)&gt;15000,15000,IF(($K15)&lt;=15000,($K15))),0)</f>
        <v>7546</v>
      </c>
      <c r="AA15" s="7">
        <f>ROUND(Z15*13.36%,0)</f>
        <v>1008</v>
      </c>
      <c r="AB15" s="7">
        <f>ROUND($G15/$H15*($I15+J15),0)</f>
        <v>8126</v>
      </c>
      <c r="AC15" s="7">
        <f>ROUNDUP(AB15*4.75%,0)</f>
        <v>386</v>
      </c>
    </row>
    <row r="16" spans="1:37" ht="24.95" customHeight="1" x14ac:dyDescent="0.25">
      <c r="A16" s="68">
        <v>8</v>
      </c>
      <c r="B16" s="77" t="s">
        <v>113</v>
      </c>
      <c r="C16" s="10" t="s">
        <v>49</v>
      </c>
      <c r="D16" s="69" t="s">
        <v>80</v>
      </c>
      <c r="E16" s="3">
        <v>7546</v>
      </c>
      <c r="F16" s="3">
        <v>0</v>
      </c>
      <c r="G16" s="4">
        <f>E16+F16</f>
        <v>7546</v>
      </c>
      <c r="H16" s="5">
        <v>26</v>
      </c>
      <c r="I16" s="11">
        <v>26</v>
      </c>
      <c r="J16" s="11">
        <v>5</v>
      </c>
      <c r="K16" s="3">
        <f>E16/H16*I16</f>
        <v>7546</v>
      </c>
      <c r="L16" s="3">
        <f>F16/H16*I16</f>
        <v>0</v>
      </c>
      <c r="M16" s="3">
        <f>G16/H16*J16</f>
        <v>1451.1538461538462</v>
      </c>
      <c r="N16" s="6">
        <f>ROUND(K16+L16+M16,0)</f>
        <v>8997</v>
      </c>
      <c r="O16" s="7">
        <f>ROUND(Z16*12%,0)</f>
        <v>906</v>
      </c>
      <c r="P16" s="7">
        <f>ROUNDUP(AB16*1.75%,0)</f>
        <v>158</v>
      </c>
      <c r="Q16" s="8">
        <f>IF(N16&gt;40000,200,IF(N16&gt;25000,150,IF(N16&gt;15000,130,IF(N16&gt;10000,110,IF(N16&gt;8500,0,)))))</f>
        <v>0</v>
      </c>
      <c r="R16" s="3"/>
      <c r="S16" s="3">
        <v>0</v>
      </c>
      <c r="T16" s="9">
        <f t="shared" si="7"/>
        <v>1064</v>
      </c>
      <c r="U16" s="53">
        <f>N16-T16</f>
        <v>7933</v>
      </c>
      <c r="V16" s="7">
        <f>ROUND((E16/H16*J16)*13.36%,0)</f>
        <v>194</v>
      </c>
      <c r="W16" s="5">
        <f>ROUND((E16/12)/H16*(I16),0)</f>
        <v>629</v>
      </c>
      <c r="X16" s="53">
        <f>U16+W16+V16</f>
        <v>8756</v>
      </c>
      <c r="Y16" s="7"/>
      <c r="Z16" s="7">
        <f>ROUND(IF(($K16)&gt;15000,15000,IF(($K16)&lt;=15000,($K16))),0)</f>
        <v>7546</v>
      </c>
      <c r="AA16" s="7">
        <f>ROUND(Z16*13.36%,0)</f>
        <v>1008</v>
      </c>
      <c r="AB16" s="7">
        <f>ROUND($G16/$H16*($I16+J16),0)</f>
        <v>8997</v>
      </c>
      <c r="AC16" s="7">
        <f>ROUNDUP(AB16*4.75%,0)</f>
        <v>428</v>
      </c>
    </row>
    <row r="17" spans="1:29" ht="24.95" customHeight="1" x14ac:dyDescent="0.25">
      <c r="A17" s="68">
        <v>9</v>
      </c>
      <c r="B17" s="77" t="s">
        <v>114</v>
      </c>
      <c r="C17" s="10" t="s">
        <v>51</v>
      </c>
      <c r="D17" s="69" t="s">
        <v>80</v>
      </c>
      <c r="E17" s="3">
        <v>7546</v>
      </c>
      <c r="F17" s="3">
        <v>0</v>
      </c>
      <c r="G17" s="4">
        <f>E17+F17</f>
        <v>7546</v>
      </c>
      <c r="H17" s="5">
        <v>26</v>
      </c>
      <c r="I17" s="11">
        <v>25</v>
      </c>
      <c r="J17" s="11"/>
      <c r="K17" s="3">
        <f>E17/H17*I17</f>
        <v>7255.7692307692305</v>
      </c>
      <c r="L17" s="3">
        <f>F17/H17*I17</f>
        <v>0</v>
      </c>
      <c r="M17" s="3">
        <f>G17/H17*J17</f>
        <v>0</v>
      </c>
      <c r="N17" s="6">
        <f>ROUND(K17+L17+M17,0)</f>
        <v>7256</v>
      </c>
      <c r="O17" s="7">
        <f>ROUND(Z17*12%,0)</f>
        <v>871</v>
      </c>
      <c r="P17" s="7">
        <f>ROUNDUP(AB17*1.75%,0)</f>
        <v>127</v>
      </c>
      <c r="Q17" s="8">
        <f>IF(N17&gt;40000,200,IF(N17&gt;25000,150,IF(N17&gt;15000,130,IF(N17&gt;10000,110,IF(N17&gt;8500,0,)))))</f>
        <v>0</v>
      </c>
      <c r="R17" s="3"/>
      <c r="S17" s="3">
        <v>0</v>
      </c>
      <c r="T17" s="9">
        <f t="shared" si="7"/>
        <v>998</v>
      </c>
      <c r="U17" s="53">
        <f>N17-T17</f>
        <v>6258</v>
      </c>
      <c r="V17" s="7">
        <f>ROUND((E17/H17*J17)*13.36%,0)</f>
        <v>0</v>
      </c>
      <c r="W17" s="5">
        <f>ROUND((E17/12)/H17*(I17),0)</f>
        <v>605</v>
      </c>
      <c r="X17" s="53">
        <f>U17+W17+V17</f>
        <v>6863</v>
      </c>
      <c r="Y17" s="7"/>
      <c r="Z17" s="7">
        <f>ROUND(IF(($K17)&gt;15000,15000,IF(($K17)&lt;=15000,($K17))),0)</f>
        <v>7256</v>
      </c>
      <c r="AA17" s="7">
        <f>ROUND(Z17*13.36%,0)</f>
        <v>969</v>
      </c>
      <c r="AB17" s="7">
        <f>ROUND($G17/$H17*($I17+J17),0)</f>
        <v>7256</v>
      </c>
      <c r="AC17" s="7">
        <f>ROUNDUP(AB17*4.75%,0)</f>
        <v>345</v>
      </c>
    </row>
    <row r="18" spans="1:29" ht="24.95" customHeight="1" x14ac:dyDescent="0.25">
      <c r="A18" s="68">
        <v>10</v>
      </c>
      <c r="B18" s="77" t="s">
        <v>115</v>
      </c>
      <c r="C18" s="10" t="s">
        <v>45</v>
      </c>
      <c r="D18" s="69" t="s">
        <v>152</v>
      </c>
      <c r="E18" s="3">
        <v>7546</v>
      </c>
      <c r="F18" s="3">
        <v>0</v>
      </c>
      <c r="G18" s="4">
        <f>E18+F18</f>
        <v>7546</v>
      </c>
      <c r="H18" s="5">
        <v>26</v>
      </c>
      <c r="I18" s="11">
        <v>24</v>
      </c>
      <c r="J18" s="11"/>
      <c r="K18" s="3">
        <f>E18/H18*I18</f>
        <v>6965.538461538461</v>
      </c>
      <c r="L18" s="3">
        <f>F18/H18*I18</f>
        <v>0</v>
      </c>
      <c r="M18" s="3">
        <f>G18/H18*J18</f>
        <v>0</v>
      </c>
      <c r="N18" s="6">
        <f>ROUND(K18+L18+M18,0)</f>
        <v>6966</v>
      </c>
      <c r="O18" s="7">
        <f>ROUND(Z18*12%,0)</f>
        <v>836</v>
      </c>
      <c r="P18" s="7">
        <f>ROUNDUP(AB18*1.75%,0)</f>
        <v>122</v>
      </c>
      <c r="Q18" s="8">
        <f>IF(N18&gt;40000,200,IF(N18&gt;25000,150,IF(N18&gt;15000,130,IF(N18&gt;10000,110,IF(N18&gt;8500,0,)))))</f>
        <v>0</v>
      </c>
      <c r="R18" s="3"/>
      <c r="S18" s="3">
        <v>0</v>
      </c>
      <c r="T18" s="9">
        <f t="shared" si="7"/>
        <v>958</v>
      </c>
      <c r="U18" s="53">
        <f>N18-T18</f>
        <v>6008</v>
      </c>
      <c r="V18" s="7">
        <f>ROUND((E18/H18*J18)*13.36%,0)</f>
        <v>0</v>
      </c>
      <c r="W18" s="5">
        <f>ROUND((E18/12)/H18*(I18),0)</f>
        <v>580</v>
      </c>
      <c r="X18" s="53">
        <f>U18+W18+V18</f>
        <v>6588</v>
      </c>
      <c r="Y18" s="7"/>
      <c r="Z18" s="7">
        <f>ROUND(IF(($K18)&gt;15000,15000,IF(($K18)&lt;=15000,($K18))),0)</f>
        <v>6966</v>
      </c>
      <c r="AA18" s="7">
        <f>ROUND(Z18*13.36%,0)</f>
        <v>931</v>
      </c>
      <c r="AB18" s="7">
        <f>ROUND($G18/$H18*($I18+J18),0)</f>
        <v>6966</v>
      </c>
      <c r="AC18" s="7">
        <f>ROUNDUP(AB18*4.75%,0)</f>
        <v>331</v>
      </c>
    </row>
    <row r="19" spans="1:29" ht="24.95" customHeight="1" x14ac:dyDescent="0.25">
      <c r="A19" s="68">
        <v>11</v>
      </c>
      <c r="B19" s="77" t="s">
        <v>116</v>
      </c>
      <c r="C19" s="35" t="s">
        <v>55</v>
      </c>
      <c r="D19" s="69" t="s">
        <v>152</v>
      </c>
      <c r="E19" s="3">
        <v>7546</v>
      </c>
      <c r="F19" s="3">
        <v>0</v>
      </c>
      <c r="G19" s="4">
        <f t="shared" ref="G19" si="54">E19+F19</f>
        <v>7546</v>
      </c>
      <c r="H19" s="5">
        <v>26</v>
      </c>
      <c r="I19" s="11">
        <v>12</v>
      </c>
      <c r="J19" s="11"/>
      <c r="K19" s="3">
        <f t="shared" ref="K19" si="55">E19/H19*I19</f>
        <v>3482.7692307692305</v>
      </c>
      <c r="L19" s="3">
        <f t="shared" ref="L19" si="56">F19/H19*I19</f>
        <v>0</v>
      </c>
      <c r="M19" s="3">
        <f t="shared" ref="M19" si="57">G19/H19*J19</f>
        <v>0</v>
      </c>
      <c r="N19" s="6">
        <f t="shared" ref="N19" si="58">ROUND(K19+L19+M19,0)</f>
        <v>3483</v>
      </c>
      <c r="O19" s="7">
        <f t="shared" ref="O19" si="59">ROUND(Z19*12%,0)</f>
        <v>418</v>
      </c>
      <c r="P19" s="7">
        <f t="shared" ref="P19" si="60">ROUNDUP(AB19*1.75%,0)</f>
        <v>61</v>
      </c>
      <c r="Q19" s="8">
        <f t="shared" si="32"/>
        <v>0</v>
      </c>
      <c r="R19" s="3"/>
      <c r="S19" s="3">
        <v>0</v>
      </c>
      <c r="T19" s="9">
        <f t="shared" si="7"/>
        <v>479</v>
      </c>
      <c r="U19" s="53">
        <f t="shared" ref="U19" si="61">N19-T19</f>
        <v>3004</v>
      </c>
      <c r="V19" s="7">
        <f t="shared" ref="V19" si="62">ROUND((E19/H19*J19)*13.36%,0)</f>
        <v>0</v>
      </c>
      <c r="W19" s="5">
        <f t="shared" si="35"/>
        <v>290</v>
      </c>
      <c r="X19" s="53">
        <f t="shared" ref="X19" si="63">U19+W19+V19</f>
        <v>3294</v>
      </c>
      <c r="Y19" s="7"/>
      <c r="Z19" s="7">
        <f t="shared" si="37"/>
        <v>3483</v>
      </c>
      <c r="AA19" s="7">
        <f t="shared" ref="AA19" si="64">ROUND(Z19*13.36%,0)</f>
        <v>465</v>
      </c>
      <c r="AB19" s="7">
        <f t="shared" ref="AB19" si="65">ROUND($G19/$H19*($I19+J19),0)</f>
        <v>3483</v>
      </c>
      <c r="AC19" s="7">
        <f t="shared" ref="AC19" si="66">ROUNDUP(AB19*4.75%,0)</f>
        <v>166</v>
      </c>
    </row>
    <row r="20" spans="1:29" ht="24.95" customHeight="1" x14ac:dyDescent="0.25">
      <c r="A20" s="68">
        <v>11</v>
      </c>
      <c r="B20" s="77" t="s">
        <v>167</v>
      </c>
      <c r="C20" s="35" t="s">
        <v>169</v>
      </c>
      <c r="D20" s="69" t="s">
        <v>152</v>
      </c>
      <c r="E20" s="3">
        <v>7546</v>
      </c>
      <c r="F20" s="3">
        <v>0</v>
      </c>
      <c r="G20" s="4">
        <f t="shared" ref="G20:G21" si="67">E20+F20</f>
        <v>7546</v>
      </c>
      <c r="H20" s="5">
        <v>26</v>
      </c>
      <c r="I20" s="11">
        <v>12</v>
      </c>
      <c r="J20" s="11"/>
      <c r="K20" s="3">
        <f t="shared" ref="K20:K21" si="68">E20/H20*I20</f>
        <v>3482.7692307692305</v>
      </c>
      <c r="L20" s="3">
        <f t="shared" ref="L20:L21" si="69">F20/H20*I20</f>
        <v>0</v>
      </c>
      <c r="M20" s="3">
        <f t="shared" ref="M20:M21" si="70">G20/H20*J20</f>
        <v>0</v>
      </c>
      <c r="N20" s="6">
        <f t="shared" ref="N20:N21" si="71">ROUND(K20+L20+M20,0)</f>
        <v>3483</v>
      </c>
      <c r="O20" s="7">
        <f t="shared" ref="O20:O21" si="72">ROUND(Z20*12%,0)</f>
        <v>418</v>
      </c>
      <c r="P20" s="7">
        <f t="shared" ref="P20:P21" si="73">ROUNDUP(AB20*1.75%,0)</f>
        <v>61</v>
      </c>
      <c r="Q20" s="8">
        <f t="shared" ref="Q20:Q21" si="74">IF(N20&gt;40000,200,IF(N20&gt;25000,150,IF(N20&gt;15000,130,IF(N20&gt;10000,110,IF(N20&gt;8500,0,)))))</f>
        <v>0</v>
      </c>
      <c r="R20" s="3"/>
      <c r="S20" s="3">
        <v>0</v>
      </c>
      <c r="T20" s="9">
        <f t="shared" ref="T20:T21" si="75">SUM(O20:S20)</f>
        <v>479</v>
      </c>
      <c r="U20" s="53">
        <f t="shared" ref="U20:U21" si="76">N20-T20</f>
        <v>3004</v>
      </c>
      <c r="V20" s="7">
        <f t="shared" ref="V20:V21" si="77">ROUND((E20/H20*J20)*13.36%,0)</f>
        <v>0</v>
      </c>
      <c r="W20" s="5">
        <f t="shared" ref="W20:W21" si="78">ROUND((E20/12)/H20*(I20),0)</f>
        <v>290</v>
      </c>
      <c r="X20" s="53">
        <f t="shared" ref="X20:X21" si="79">U20+W20+V20</f>
        <v>3294</v>
      </c>
      <c r="Y20" s="7"/>
      <c r="Z20" s="7">
        <f t="shared" si="37"/>
        <v>3483</v>
      </c>
      <c r="AA20" s="7">
        <f t="shared" ref="AA20:AA21" si="80">ROUND(Z20*13.36%,0)</f>
        <v>465</v>
      </c>
      <c r="AB20" s="7">
        <f t="shared" ref="AB20:AB21" si="81">ROUND($G20/$H20*($I20+J20),0)</f>
        <v>3483</v>
      </c>
      <c r="AC20" s="7">
        <f t="shared" ref="AC20:AC21" si="82">ROUNDUP(AB20*4.75%,0)</f>
        <v>166</v>
      </c>
    </row>
    <row r="21" spans="1:29" ht="24.95" customHeight="1" x14ac:dyDescent="0.25">
      <c r="A21" s="68">
        <v>11</v>
      </c>
      <c r="B21" s="77" t="s">
        <v>168</v>
      </c>
      <c r="C21" s="35" t="s">
        <v>170</v>
      </c>
      <c r="D21" s="69" t="s">
        <v>152</v>
      </c>
      <c r="E21" s="3">
        <v>7546</v>
      </c>
      <c r="F21" s="3">
        <v>0</v>
      </c>
      <c r="G21" s="4">
        <f t="shared" si="67"/>
        <v>7546</v>
      </c>
      <c r="H21" s="5">
        <v>26</v>
      </c>
      <c r="I21" s="11">
        <v>19</v>
      </c>
      <c r="J21" s="11"/>
      <c r="K21" s="3">
        <f t="shared" si="68"/>
        <v>5514.3846153846152</v>
      </c>
      <c r="L21" s="3">
        <f t="shared" si="69"/>
        <v>0</v>
      </c>
      <c r="M21" s="3">
        <f t="shared" si="70"/>
        <v>0</v>
      </c>
      <c r="N21" s="6">
        <f t="shared" si="71"/>
        <v>5514</v>
      </c>
      <c r="O21" s="7">
        <f t="shared" si="72"/>
        <v>662</v>
      </c>
      <c r="P21" s="7">
        <f t="shared" si="73"/>
        <v>97</v>
      </c>
      <c r="Q21" s="8">
        <f t="shared" si="74"/>
        <v>0</v>
      </c>
      <c r="R21" s="3"/>
      <c r="S21" s="3">
        <v>0</v>
      </c>
      <c r="T21" s="9">
        <f t="shared" si="75"/>
        <v>759</v>
      </c>
      <c r="U21" s="53">
        <f t="shared" si="76"/>
        <v>4755</v>
      </c>
      <c r="V21" s="7">
        <f t="shared" si="77"/>
        <v>0</v>
      </c>
      <c r="W21" s="5">
        <f t="shared" si="78"/>
        <v>460</v>
      </c>
      <c r="X21" s="53">
        <f t="shared" si="79"/>
        <v>5215</v>
      </c>
      <c r="Y21" s="7"/>
      <c r="Z21" s="7">
        <f t="shared" si="37"/>
        <v>5514</v>
      </c>
      <c r="AA21" s="7">
        <f t="shared" si="80"/>
        <v>737</v>
      </c>
      <c r="AB21" s="7">
        <f t="shared" si="81"/>
        <v>5514</v>
      </c>
      <c r="AC21" s="7">
        <f t="shared" si="82"/>
        <v>262</v>
      </c>
    </row>
    <row r="22" spans="1:29" ht="24.95" customHeight="1" x14ac:dyDescent="0.25">
      <c r="A22" s="68"/>
      <c r="B22" s="77"/>
      <c r="C22" s="35"/>
      <c r="D22" s="69"/>
      <c r="E22" s="3"/>
      <c r="F22" s="3"/>
      <c r="G22" s="4"/>
      <c r="H22" s="5"/>
      <c r="I22" s="11"/>
      <c r="J22" s="11"/>
      <c r="K22" s="3"/>
      <c r="L22" s="3"/>
      <c r="M22" s="3"/>
      <c r="N22" s="6"/>
      <c r="O22" s="7"/>
      <c r="P22" s="7"/>
      <c r="Q22" s="8"/>
      <c r="R22" s="3"/>
      <c r="S22" s="3"/>
      <c r="T22" s="9"/>
      <c r="U22" s="53"/>
      <c r="V22" s="7"/>
      <c r="W22" s="5"/>
      <c r="X22" s="53"/>
      <c r="Y22" s="7"/>
      <c r="Z22" s="7"/>
      <c r="AA22" s="7"/>
      <c r="AB22" s="7"/>
      <c r="AC22" s="7"/>
    </row>
    <row r="23" spans="1:29" ht="24.95" customHeight="1" x14ac:dyDescent="0.25">
      <c r="A23" s="44"/>
      <c r="B23" s="76"/>
      <c r="C23" s="44"/>
      <c r="D23" s="12"/>
      <c r="E23" s="13"/>
      <c r="F23" s="13"/>
      <c r="G23" s="13"/>
      <c r="H23" s="13"/>
      <c r="I23" s="11">
        <f t="shared" ref="I23:AC23" si="83">SUM(I9:I22)</f>
        <v>290</v>
      </c>
      <c r="J23" s="11">
        <f t="shared" si="83"/>
        <v>13</v>
      </c>
      <c r="K23" s="13">
        <f t="shared" si="83"/>
        <v>84166.923076923078</v>
      </c>
      <c r="L23" s="13">
        <f t="shared" si="83"/>
        <v>0</v>
      </c>
      <c r="M23" s="13">
        <f t="shared" si="83"/>
        <v>3773</v>
      </c>
      <c r="N23" s="13">
        <f t="shared" si="83"/>
        <v>87940</v>
      </c>
      <c r="O23" s="13">
        <f t="shared" si="83"/>
        <v>10103</v>
      </c>
      <c r="P23" s="13">
        <f t="shared" si="83"/>
        <v>1544</v>
      </c>
      <c r="Q23" s="13">
        <f t="shared" si="83"/>
        <v>0</v>
      </c>
      <c r="R23" s="13">
        <f t="shared" si="83"/>
        <v>0</v>
      </c>
      <c r="S23" s="13">
        <f t="shared" si="83"/>
        <v>0</v>
      </c>
      <c r="T23" s="13">
        <f t="shared" si="83"/>
        <v>11647</v>
      </c>
      <c r="U23" s="72">
        <f t="shared" si="83"/>
        <v>76293</v>
      </c>
      <c r="V23" s="13">
        <f t="shared" si="83"/>
        <v>505</v>
      </c>
      <c r="W23" s="13">
        <f t="shared" si="83"/>
        <v>7015</v>
      </c>
      <c r="X23" s="72">
        <f t="shared" si="83"/>
        <v>83813</v>
      </c>
      <c r="Y23" s="13">
        <f t="shared" si="83"/>
        <v>0</v>
      </c>
      <c r="Z23" s="13">
        <f t="shared" si="83"/>
        <v>84168</v>
      </c>
      <c r="AA23" s="13">
        <f t="shared" si="83"/>
        <v>11243</v>
      </c>
      <c r="AB23" s="13">
        <f t="shared" si="83"/>
        <v>87940</v>
      </c>
      <c r="AC23" s="13">
        <f t="shared" si="83"/>
        <v>4182</v>
      </c>
    </row>
    <row r="24" spans="1:29" ht="24.95" customHeight="1" x14ac:dyDescent="0.25">
      <c r="A24" s="68">
        <v>1</v>
      </c>
      <c r="B24" s="77" t="s">
        <v>117</v>
      </c>
      <c r="C24" s="35" t="s">
        <v>53</v>
      </c>
      <c r="D24" s="69" t="s">
        <v>151</v>
      </c>
      <c r="E24" s="3">
        <v>8301</v>
      </c>
      <c r="F24" s="3"/>
      <c r="G24" s="4">
        <f>E24+F24</f>
        <v>8301</v>
      </c>
      <c r="H24" s="5">
        <v>26</v>
      </c>
      <c r="I24" s="11">
        <v>25</v>
      </c>
      <c r="J24" s="11"/>
      <c r="K24" s="3">
        <f>E24/H24*I24</f>
        <v>7981.7307692307695</v>
      </c>
      <c r="L24" s="3">
        <f>F24/H24*I24</f>
        <v>0</v>
      </c>
      <c r="M24" s="3">
        <f>G24/H24*J24</f>
        <v>0</v>
      </c>
      <c r="N24" s="6">
        <f>ROUND(K24+L24+M24,0)</f>
        <v>7982</v>
      </c>
      <c r="O24" s="7">
        <f>ROUND(Z24*12%,0)</f>
        <v>958</v>
      </c>
      <c r="P24" s="7">
        <f>ROUNDUP(AB24*1.75%,0)</f>
        <v>140</v>
      </c>
      <c r="Q24" s="8">
        <f>IF(N24&gt;40000,200,IF(N24&gt;25000,150,IF(N24&gt;15000,130,IF(N24&gt;10000,110,IF(N24&gt;8500,0,)))))</f>
        <v>0</v>
      </c>
      <c r="R24" s="3">
        <v>0</v>
      </c>
      <c r="S24" s="3">
        <v>0</v>
      </c>
      <c r="T24" s="9">
        <f>SUM(O24:S24)</f>
        <v>1098</v>
      </c>
      <c r="U24" s="53">
        <f>N24-T24</f>
        <v>6884</v>
      </c>
      <c r="V24" s="7">
        <f>ROUND((E24/H24*J24)*13.36%,0)</f>
        <v>0</v>
      </c>
      <c r="W24" s="5">
        <f>ROUND((E24/12)/H24*(I24),0)</f>
        <v>665</v>
      </c>
      <c r="X24" s="53">
        <f>U24+W24+V24</f>
        <v>7549</v>
      </c>
      <c r="Y24" s="7"/>
      <c r="Z24" s="7">
        <f>ROUND(IF(($K24)&gt;15000,15000,IF(($K24)&lt;=15000,($K24))),0)</f>
        <v>7982</v>
      </c>
      <c r="AA24" s="7">
        <f>ROUND(Z24*13.36%,0)</f>
        <v>1066</v>
      </c>
      <c r="AB24" s="7">
        <f>ROUND($G24/$H24*($I24+J24),0)</f>
        <v>7982</v>
      </c>
      <c r="AC24" s="7">
        <f>ROUNDUP(AB24*4.75%,0)</f>
        <v>380</v>
      </c>
    </row>
    <row r="25" spans="1:29" ht="24.95" customHeight="1" x14ac:dyDescent="0.25">
      <c r="A25" s="68"/>
      <c r="B25" s="77"/>
      <c r="C25" s="35"/>
      <c r="D25" s="69"/>
      <c r="E25" s="3"/>
      <c r="F25" s="3"/>
      <c r="G25" s="4"/>
      <c r="H25" s="5"/>
      <c r="I25" s="11"/>
      <c r="J25" s="11"/>
      <c r="K25" s="3"/>
      <c r="L25" s="3"/>
      <c r="M25" s="3"/>
      <c r="N25" s="6"/>
      <c r="O25" s="7"/>
      <c r="P25" s="7"/>
      <c r="Q25" s="8"/>
      <c r="R25" s="3"/>
      <c r="S25" s="3"/>
      <c r="T25" s="9"/>
      <c r="U25" s="53"/>
      <c r="V25" s="7"/>
      <c r="W25" s="5"/>
      <c r="X25" s="53"/>
      <c r="Y25" s="7"/>
      <c r="Z25" s="7"/>
      <c r="AA25" s="7"/>
      <c r="AB25" s="7"/>
      <c r="AC25" s="7"/>
    </row>
    <row r="26" spans="1:29" ht="24.95" customHeight="1" x14ac:dyDescent="0.25">
      <c r="A26" s="44"/>
      <c r="B26" s="76"/>
      <c r="C26" s="44"/>
      <c r="D26" s="12"/>
      <c r="E26" s="13"/>
      <c r="F26" s="13"/>
      <c r="G26" s="13"/>
      <c r="H26" s="13"/>
      <c r="I26" s="11">
        <f t="shared" ref="I26:AC26" si="84">SUM(I24:I25)</f>
        <v>25</v>
      </c>
      <c r="J26" s="11">
        <f t="shared" si="84"/>
        <v>0</v>
      </c>
      <c r="K26" s="13">
        <f t="shared" si="84"/>
        <v>7981.7307692307695</v>
      </c>
      <c r="L26" s="13">
        <f t="shared" si="84"/>
        <v>0</v>
      </c>
      <c r="M26" s="13">
        <f t="shared" si="84"/>
        <v>0</v>
      </c>
      <c r="N26" s="13">
        <f t="shared" si="84"/>
        <v>7982</v>
      </c>
      <c r="O26" s="13">
        <f t="shared" si="84"/>
        <v>958</v>
      </c>
      <c r="P26" s="13">
        <f t="shared" si="84"/>
        <v>140</v>
      </c>
      <c r="Q26" s="13">
        <f t="shared" si="84"/>
        <v>0</v>
      </c>
      <c r="R26" s="13">
        <f t="shared" si="84"/>
        <v>0</v>
      </c>
      <c r="S26" s="13">
        <f t="shared" si="84"/>
        <v>0</v>
      </c>
      <c r="T26" s="13">
        <f t="shared" si="84"/>
        <v>1098</v>
      </c>
      <c r="U26" s="72">
        <f t="shared" si="84"/>
        <v>6884</v>
      </c>
      <c r="V26" s="13">
        <f t="shared" si="84"/>
        <v>0</v>
      </c>
      <c r="W26" s="13">
        <f t="shared" si="84"/>
        <v>665</v>
      </c>
      <c r="X26" s="72">
        <f t="shared" si="84"/>
        <v>7549</v>
      </c>
      <c r="Y26" s="13">
        <f t="shared" si="84"/>
        <v>0</v>
      </c>
      <c r="Z26" s="13">
        <f t="shared" si="84"/>
        <v>7982</v>
      </c>
      <c r="AA26" s="13">
        <f t="shared" si="84"/>
        <v>1066</v>
      </c>
      <c r="AB26" s="13">
        <f t="shared" si="84"/>
        <v>7982</v>
      </c>
      <c r="AC26" s="13">
        <f t="shared" si="84"/>
        <v>380</v>
      </c>
    </row>
    <row r="27" spans="1:29" ht="24.95" customHeight="1" x14ac:dyDescent="0.25">
      <c r="A27" s="68">
        <v>1</v>
      </c>
      <c r="B27" s="55" t="s">
        <v>123</v>
      </c>
      <c r="C27" s="10" t="s">
        <v>85</v>
      </c>
      <c r="D27" s="35" t="s">
        <v>30</v>
      </c>
      <c r="E27" s="3">
        <v>9132</v>
      </c>
      <c r="F27" s="3">
        <v>550</v>
      </c>
      <c r="G27" s="4">
        <f>E27+F27</f>
        <v>9682</v>
      </c>
      <c r="H27" s="5">
        <v>26</v>
      </c>
      <c r="I27" s="11">
        <v>13</v>
      </c>
      <c r="J27" s="11"/>
      <c r="K27" s="3">
        <f>E27/H27*I27</f>
        <v>4566</v>
      </c>
      <c r="L27" s="3">
        <f>F27/H27*I27</f>
        <v>275</v>
      </c>
      <c r="M27" s="3">
        <f>G27/H27*J27</f>
        <v>0</v>
      </c>
      <c r="N27" s="6">
        <f>SUM(K27:M27)</f>
        <v>4841</v>
      </c>
      <c r="O27" s="7">
        <f>ROUND(Z27*12%,0)</f>
        <v>548</v>
      </c>
      <c r="P27" s="7">
        <f>ROUNDUP(AB27*1.75%,0)</f>
        <v>85</v>
      </c>
      <c r="Q27" s="8">
        <f>IF(N27&gt;40000,200,IF(N27&gt;25000,150,IF(N27&gt;15000,130,IF(N27&gt;10000,110,IF(N27&gt;8500,0,)))))</f>
        <v>0</v>
      </c>
      <c r="R27" s="3">
        <v>0</v>
      </c>
      <c r="S27" s="3">
        <v>0</v>
      </c>
      <c r="T27" s="9">
        <f>SUM(O27:S27)</f>
        <v>633</v>
      </c>
      <c r="U27" s="53">
        <f>N27-T27</f>
        <v>4208</v>
      </c>
      <c r="V27" s="7">
        <f>((E27/H27*J27)*13.36%)</f>
        <v>0</v>
      </c>
      <c r="W27" s="5">
        <f>((E27/12)/H27*(I27))</f>
        <v>380.5</v>
      </c>
      <c r="X27" s="53">
        <f>U27+W27+V27</f>
        <v>4588.5</v>
      </c>
      <c r="Y27" s="7"/>
      <c r="Z27" s="7">
        <f>ROUND(IF(($K27)&gt;15000,15000,IF(($K27)&lt;=15000,($K27))),0)</f>
        <v>4566</v>
      </c>
      <c r="AA27" s="7">
        <f>ROUND(Z27*13.36%,0)</f>
        <v>610</v>
      </c>
      <c r="AB27" s="7">
        <f>ROUND($G27/$H27*($I27+J27),0)</f>
        <v>4841</v>
      </c>
      <c r="AC27" s="7">
        <f>ROUNDUP(AB27*4.75%,0)</f>
        <v>230</v>
      </c>
    </row>
    <row r="28" spans="1:29" ht="24.95" customHeight="1" x14ac:dyDescent="0.25">
      <c r="A28" s="68"/>
      <c r="B28" s="77"/>
      <c r="C28" s="35"/>
      <c r="D28" s="69"/>
      <c r="E28" s="3"/>
      <c r="F28" s="3"/>
      <c r="G28" s="4"/>
      <c r="H28" s="5"/>
      <c r="I28" s="11"/>
      <c r="J28" s="11"/>
      <c r="K28" s="3"/>
      <c r="L28" s="3"/>
      <c r="M28" s="3"/>
      <c r="N28" s="6"/>
      <c r="O28" s="7"/>
      <c r="P28" s="7"/>
      <c r="Q28" s="8"/>
      <c r="R28" s="3"/>
      <c r="S28" s="3"/>
      <c r="T28" s="9"/>
      <c r="U28" s="53"/>
      <c r="V28" s="7"/>
      <c r="W28" s="5"/>
      <c r="X28" s="53"/>
      <c r="Y28" s="7"/>
      <c r="Z28" s="7"/>
      <c r="AA28" s="7"/>
      <c r="AB28" s="7"/>
      <c r="AC28" s="7"/>
    </row>
    <row r="29" spans="1:29" ht="24.95" customHeight="1" x14ac:dyDescent="0.25">
      <c r="A29" s="44"/>
      <c r="B29" s="76"/>
      <c r="C29" s="44"/>
      <c r="D29" s="12"/>
      <c r="E29" s="13"/>
      <c r="F29" s="13"/>
      <c r="G29" s="13"/>
      <c r="H29" s="13"/>
      <c r="I29" s="11">
        <f t="shared" ref="I29:AC29" si="85">SUM(I27:I28)</f>
        <v>13</v>
      </c>
      <c r="J29" s="11">
        <f t="shared" si="85"/>
        <v>0</v>
      </c>
      <c r="K29" s="13">
        <f t="shared" si="85"/>
        <v>4566</v>
      </c>
      <c r="L29" s="13">
        <f t="shared" si="85"/>
        <v>275</v>
      </c>
      <c r="M29" s="13">
        <f t="shared" si="85"/>
        <v>0</v>
      </c>
      <c r="N29" s="13">
        <f t="shared" si="85"/>
        <v>4841</v>
      </c>
      <c r="O29" s="13">
        <f t="shared" si="85"/>
        <v>548</v>
      </c>
      <c r="P29" s="13">
        <f t="shared" si="85"/>
        <v>85</v>
      </c>
      <c r="Q29" s="13">
        <f t="shared" si="85"/>
        <v>0</v>
      </c>
      <c r="R29" s="13">
        <f t="shared" si="85"/>
        <v>0</v>
      </c>
      <c r="S29" s="13">
        <f t="shared" si="85"/>
        <v>0</v>
      </c>
      <c r="T29" s="13">
        <f t="shared" si="85"/>
        <v>633</v>
      </c>
      <c r="U29" s="72">
        <f t="shared" si="85"/>
        <v>4208</v>
      </c>
      <c r="V29" s="13">
        <f>SUM(V27:V28)</f>
        <v>0</v>
      </c>
      <c r="W29" s="13">
        <f t="shared" si="85"/>
        <v>380.5</v>
      </c>
      <c r="X29" s="72">
        <f t="shared" si="85"/>
        <v>4588.5</v>
      </c>
      <c r="Y29" s="13">
        <f t="shared" si="85"/>
        <v>0</v>
      </c>
      <c r="Z29" s="13">
        <f t="shared" si="85"/>
        <v>4566</v>
      </c>
      <c r="AA29" s="13">
        <f t="shared" si="85"/>
        <v>610</v>
      </c>
      <c r="AB29" s="13">
        <f t="shared" si="85"/>
        <v>4841</v>
      </c>
      <c r="AC29" s="13">
        <f t="shared" si="85"/>
        <v>230</v>
      </c>
    </row>
  </sheetData>
  <mergeCells count="9">
    <mergeCell ref="A1:Y1"/>
    <mergeCell ref="A2:Y2"/>
    <mergeCell ref="A5:C5"/>
    <mergeCell ref="A6:C6"/>
    <mergeCell ref="A7:C7"/>
    <mergeCell ref="D5:I5"/>
    <mergeCell ref="D6:I6"/>
    <mergeCell ref="D7:I7"/>
    <mergeCell ref="A3:Y3"/>
  </mergeCells>
  <printOptions horizontalCentered="1"/>
  <pageMargins left="0" right="0" top="0.23" bottom="0" header="0" footer="0"/>
  <pageSetup paperSize="9" scale="67" orientation="landscape" copies="2" r:id="rId1"/>
  <colBreaks count="1" manualBreakCount="1">
    <brk id="25" min="6" max="4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2"/>
  <sheetViews>
    <sheetView view="pageBreakPreview" zoomScaleNormal="100" zoomScaleSheetLayoutView="100" workbookViewId="0">
      <pane xSplit="9" ySplit="8" topLeftCell="J9" activePane="bottomRight" state="frozen"/>
      <selection activeCell="J19" sqref="J19"/>
      <selection pane="topRight" activeCell="J19" sqref="J19"/>
      <selection pane="bottomLeft" activeCell="J19" sqref="J19"/>
      <selection pane="bottomRight" activeCell="I10" sqref="I10"/>
    </sheetView>
  </sheetViews>
  <sheetFormatPr defaultRowHeight="15" x14ac:dyDescent="0.25"/>
  <cols>
    <col min="1" max="1" width="3.7109375" style="26" customWidth="1"/>
    <col min="2" max="2" width="11.5703125" style="26" customWidth="1"/>
    <col min="3" max="3" width="11.85546875" style="26" customWidth="1"/>
    <col min="4" max="4" width="9.42578125" style="26" bestFit="1" customWidth="1"/>
    <col min="5" max="5" width="7.140625" style="26" hidden="1" customWidth="1"/>
    <col min="6" max="6" width="8" style="26" hidden="1" customWidth="1"/>
    <col min="7" max="7" width="7.85546875" style="26" customWidth="1"/>
    <col min="8" max="8" width="6.28515625" style="26" bestFit="1" customWidth="1"/>
    <col min="9" max="9" width="6.5703125" style="26" bestFit="1" customWidth="1"/>
    <col min="10" max="10" width="5.42578125" style="26" customWidth="1"/>
    <col min="11" max="11" width="6.5703125" style="26" customWidth="1"/>
    <col min="12" max="12" width="8.28515625" style="26" customWidth="1"/>
    <col min="13" max="13" width="9.28515625" style="26" customWidth="1"/>
    <col min="14" max="14" width="8" style="26" customWidth="1"/>
    <col min="15" max="15" width="7.7109375" style="26" bestFit="1" customWidth="1"/>
    <col min="16" max="16" width="5.85546875" style="26" customWidth="1"/>
    <col min="17" max="17" width="9.5703125" style="26" bestFit="1" customWidth="1"/>
    <col min="18" max="18" width="9.140625" style="26" bestFit="1" customWidth="1"/>
    <col min="19" max="19" width="11" style="26" bestFit="1" customWidth="1"/>
    <col min="20" max="20" width="8.140625" style="26" bestFit="1" customWidth="1"/>
    <col min="21" max="21" width="8.42578125" style="26" bestFit="1" customWidth="1"/>
    <col min="22" max="22" width="8.5703125" style="26" customWidth="1"/>
    <col min="23" max="23" width="5.85546875" style="26" customWidth="1"/>
    <col min="24" max="24" width="7.5703125" style="26" customWidth="1"/>
    <col min="25" max="25" width="22.85546875" style="26" customWidth="1"/>
    <col min="26" max="26" width="8.42578125" style="26" bestFit="1" customWidth="1"/>
    <col min="27" max="27" width="11" style="26" bestFit="1" customWidth="1"/>
    <col min="28" max="28" width="8.85546875" style="26" bestFit="1" customWidth="1"/>
    <col min="29" max="29" width="11.42578125" style="26" customWidth="1"/>
    <col min="30" max="30" width="9.140625" style="26"/>
    <col min="31" max="31" width="9.5703125" style="26" bestFit="1" customWidth="1"/>
    <col min="32" max="32" width="8.7109375" style="26" bestFit="1" customWidth="1"/>
    <col min="33" max="16384" width="9.140625" style="26"/>
  </cols>
  <sheetData>
    <row r="1" spans="1:30" ht="28.5" x14ac:dyDescent="0.25">
      <c r="A1" s="82" t="s">
        <v>42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</row>
    <row r="2" spans="1:30" ht="18" x14ac:dyDescent="0.35">
      <c r="A2" s="83" t="s">
        <v>87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</row>
    <row r="3" spans="1:30" ht="18.75" x14ac:dyDescent="0.3">
      <c r="A3" s="87" t="str">
        <f>'HO '!A3:Y3</f>
        <v>Wage Sheet for the month of October, 2017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</row>
    <row r="4" spans="1:30" x14ac:dyDescent="0.25">
      <c r="A4" s="62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71"/>
      <c r="V4" s="62"/>
      <c r="W4" s="62"/>
      <c r="X4" s="71"/>
      <c r="Y4" s="62"/>
    </row>
    <row r="5" spans="1:30" ht="15" customHeight="1" x14ac:dyDescent="0.25">
      <c r="A5" s="84" t="s">
        <v>88</v>
      </c>
      <c r="B5" s="84"/>
      <c r="C5" s="84"/>
      <c r="D5" s="86" t="s">
        <v>76</v>
      </c>
      <c r="E5" s="86"/>
      <c r="F5" s="86"/>
      <c r="G5" s="86"/>
      <c r="H5" s="86"/>
      <c r="I5" s="86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71"/>
      <c r="V5" s="62"/>
      <c r="W5" s="62"/>
      <c r="X5" s="71"/>
      <c r="Y5" s="62"/>
    </row>
    <row r="6" spans="1:30" ht="15" customHeight="1" x14ac:dyDescent="0.25">
      <c r="A6" s="84" t="s">
        <v>89</v>
      </c>
      <c r="B6" s="84"/>
      <c r="C6" s="84"/>
      <c r="D6" s="86" t="s">
        <v>86</v>
      </c>
      <c r="E6" s="86"/>
      <c r="F6" s="86"/>
      <c r="G6" s="86"/>
      <c r="H6" s="86"/>
      <c r="I6" s="86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71"/>
      <c r="V6" s="62"/>
      <c r="W6" s="62"/>
      <c r="X6" s="71"/>
      <c r="Y6" s="62"/>
    </row>
    <row r="7" spans="1:30" ht="15" customHeight="1" x14ac:dyDescent="0.25">
      <c r="A7" s="85" t="s">
        <v>90</v>
      </c>
      <c r="B7" s="85"/>
      <c r="C7" s="85"/>
      <c r="D7" s="86" t="s">
        <v>81</v>
      </c>
      <c r="E7" s="86"/>
      <c r="F7" s="86"/>
      <c r="G7" s="86"/>
      <c r="H7" s="86"/>
      <c r="I7" s="86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71"/>
      <c r="V7" s="62"/>
      <c r="W7" s="62"/>
      <c r="X7" s="71"/>
      <c r="Y7" s="62"/>
    </row>
    <row r="8" spans="1:30" ht="36" x14ac:dyDescent="0.25">
      <c r="A8" s="63" t="s">
        <v>0</v>
      </c>
      <c r="B8" s="63" t="s">
        <v>39</v>
      </c>
      <c r="C8" s="63" t="s">
        <v>1</v>
      </c>
      <c r="D8" s="64" t="s">
        <v>2</v>
      </c>
      <c r="E8" s="65" t="s">
        <v>3</v>
      </c>
      <c r="F8" s="65" t="s">
        <v>4</v>
      </c>
      <c r="G8" s="65" t="s">
        <v>5</v>
      </c>
      <c r="H8" s="66" t="s">
        <v>6</v>
      </c>
      <c r="I8" s="66" t="s">
        <v>7</v>
      </c>
      <c r="J8" s="66" t="s">
        <v>40</v>
      </c>
      <c r="K8" s="66" t="s">
        <v>8</v>
      </c>
      <c r="L8" s="66" t="s">
        <v>25</v>
      </c>
      <c r="M8" s="66" t="s">
        <v>65</v>
      </c>
      <c r="N8" s="65" t="s">
        <v>9</v>
      </c>
      <c r="O8" s="65" t="s">
        <v>14</v>
      </c>
      <c r="P8" s="65" t="s">
        <v>15</v>
      </c>
      <c r="Q8" s="65" t="s">
        <v>16</v>
      </c>
      <c r="R8" s="65" t="s">
        <v>17</v>
      </c>
      <c r="S8" s="65" t="s">
        <v>18</v>
      </c>
      <c r="T8" s="65" t="s">
        <v>19</v>
      </c>
      <c r="U8" s="65" t="s">
        <v>20</v>
      </c>
      <c r="V8" s="65" t="s">
        <v>41</v>
      </c>
      <c r="W8" s="65" t="s">
        <v>21</v>
      </c>
      <c r="X8" s="65" t="s">
        <v>22</v>
      </c>
      <c r="Y8" s="65" t="s">
        <v>23</v>
      </c>
      <c r="Z8" s="67" t="s">
        <v>10</v>
      </c>
      <c r="AA8" s="65" t="s">
        <v>11</v>
      </c>
      <c r="AB8" s="67" t="s">
        <v>12</v>
      </c>
      <c r="AC8" s="65" t="s">
        <v>13</v>
      </c>
    </row>
    <row r="9" spans="1:30" ht="24" x14ac:dyDescent="0.25">
      <c r="A9" s="1">
        <v>1</v>
      </c>
      <c r="B9" s="54" t="s">
        <v>118</v>
      </c>
      <c r="C9" s="10" t="s">
        <v>64</v>
      </c>
      <c r="D9" s="35" t="s">
        <v>29</v>
      </c>
      <c r="E9" s="46">
        <v>7546</v>
      </c>
      <c r="F9" s="46">
        <v>7080</v>
      </c>
      <c r="G9" s="47">
        <f>E9+F9</f>
        <v>14626</v>
      </c>
      <c r="H9" s="45">
        <v>26</v>
      </c>
      <c r="I9" s="48">
        <v>26</v>
      </c>
      <c r="J9" s="48">
        <v>4</v>
      </c>
      <c r="K9" s="46">
        <f>E9/H9*I9</f>
        <v>7546</v>
      </c>
      <c r="L9" s="46">
        <f>F9/H9*I9</f>
        <v>7080</v>
      </c>
      <c r="M9" s="46">
        <f>G9/H9*J9</f>
        <v>2250.1538461538462</v>
      </c>
      <c r="N9" s="49">
        <f>SUM(K9:M9)</f>
        <v>16876.153846153848</v>
      </c>
      <c r="O9" s="27">
        <f>ROUND(Z9*12%,0)</f>
        <v>906</v>
      </c>
      <c r="P9" s="27">
        <f>ROUNDUP(AB9*1.75%,0)</f>
        <v>296</v>
      </c>
      <c r="Q9" s="50">
        <f>IF(N9&gt;40000,200,IF(N9&gt;25000,150,IF(N9&gt;15000,130,IF(N9&gt;10000,110,IF(N9&gt;8500,0,)))))</f>
        <v>130</v>
      </c>
      <c r="R9" s="46"/>
      <c r="S9" s="46">
        <v>6</v>
      </c>
      <c r="T9" s="51">
        <f>SUM(O9:S9)</f>
        <v>1338</v>
      </c>
      <c r="U9" s="53">
        <f>N9-T9</f>
        <v>15538.153846153848</v>
      </c>
      <c r="V9" s="27">
        <f>((E9/H9*J9)*13.36%)</f>
        <v>155.09932307692307</v>
      </c>
      <c r="W9" s="45">
        <f>((E9/12)/H9*(I9))</f>
        <v>628.83333333333337</v>
      </c>
      <c r="X9" s="53">
        <f>U9+W9+V9</f>
        <v>16322.086502564105</v>
      </c>
      <c r="Y9" s="27"/>
      <c r="Z9" s="7">
        <f>ROUND(IF(($K9)&gt;15000,15000,IF(($K9)&lt;=15000,($K9))),0)</f>
        <v>7546</v>
      </c>
      <c r="AA9" s="7">
        <f>ROUND(Z9*13.36%,0)</f>
        <v>1008</v>
      </c>
      <c r="AB9" s="7">
        <f>ROUND($G9/$H9*($I9+J9),0)</f>
        <v>16876</v>
      </c>
      <c r="AC9" s="7">
        <f>ROUNDUP(AB9*4.75%,0)</f>
        <v>802</v>
      </c>
    </row>
    <row r="10" spans="1:30" ht="15.75" x14ac:dyDescent="0.25">
      <c r="A10" s="1"/>
      <c r="B10" s="30"/>
      <c r="C10" s="31"/>
      <c r="D10" s="32"/>
      <c r="E10" s="46"/>
      <c r="F10" s="46"/>
      <c r="G10" s="47"/>
      <c r="H10" s="45"/>
      <c r="I10" s="48"/>
      <c r="J10" s="48"/>
      <c r="K10" s="46"/>
      <c r="L10" s="46"/>
      <c r="M10" s="46"/>
      <c r="N10" s="49"/>
      <c r="O10" s="27"/>
      <c r="P10" s="27"/>
      <c r="Q10" s="50"/>
      <c r="R10" s="46"/>
      <c r="S10" s="46"/>
      <c r="T10" s="51"/>
      <c r="U10" s="49"/>
      <c r="V10" s="27"/>
      <c r="W10" s="45"/>
      <c r="X10" s="49"/>
      <c r="Y10" s="27"/>
      <c r="Z10" s="7"/>
      <c r="AA10" s="7"/>
      <c r="AB10" s="7"/>
      <c r="AC10" s="7"/>
    </row>
    <row r="11" spans="1:30" x14ac:dyDescent="0.25">
      <c r="A11" s="44"/>
      <c r="B11" s="44"/>
      <c r="C11" s="44"/>
      <c r="D11" s="12"/>
      <c r="E11" s="52"/>
      <c r="F11" s="52"/>
      <c r="G11" s="52"/>
      <c r="H11" s="52"/>
      <c r="I11" s="48">
        <f t="shared" ref="I11:AC11" si="0">SUM(I9:I10)</f>
        <v>26</v>
      </c>
      <c r="J11" s="48">
        <f t="shared" si="0"/>
        <v>4</v>
      </c>
      <c r="K11" s="52">
        <f t="shared" si="0"/>
        <v>7546</v>
      </c>
      <c r="L11" s="52">
        <f t="shared" si="0"/>
        <v>7080</v>
      </c>
      <c r="M11" s="52">
        <f t="shared" si="0"/>
        <v>2250.1538461538462</v>
      </c>
      <c r="N11" s="52">
        <f t="shared" si="0"/>
        <v>16876.153846153848</v>
      </c>
      <c r="O11" s="52">
        <f t="shared" si="0"/>
        <v>906</v>
      </c>
      <c r="P11" s="52">
        <f t="shared" si="0"/>
        <v>296</v>
      </c>
      <c r="Q11" s="52">
        <f t="shared" si="0"/>
        <v>130</v>
      </c>
      <c r="R11" s="52">
        <f t="shared" si="0"/>
        <v>0</v>
      </c>
      <c r="S11" s="52">
        <f t="shared" si="0"/>
        <v>6</v>
      </c>
      <c r="T11" s="52">
        <f t="shared" si="0"/>
        <v>1338</v>
      </c>
      <c r="U11" s="52">
        <f t="shared" si="0"/>
        <v>15538.153846153848</v>
      </c>
      <c r="V11" s="52">
        <f>SUM(V9:V10)</f>
        <v>155.09932307692307</v>
      </c>
      <c r="W11" s="52">
        <f t="shared" si="0"/>
        <v>628.83333333333337</v>
      </c>
      <c r="X11" s="52">
        <f t="shared" si="0"/>
        <v>16322.086502564105</v>
      </c>
      <c r="Y11" s="52">
        <f t="shared" si="0"/>
        <v>0</v>
      </c>
      <c r="Z11" s="13">
        <f t="shared" si="0"/>
        <v>7546</v>
      </c>
      <c r="AA11" s="13">
        <f t="shared" si="0"/>
        <v>1008</v>
      </c>
      <c r="AB11" s="13">
        <f t="shared" si="0"/>
        <v>16876</v>
      </c>
      <c r="AC11" s="13">
        <f t="shared" si="0"/>
        <v>802</v>
      </c>
    </row>
    <row r="12" spans="1:30" x14ac:dyDescent="0.25">
      <c r="AD12" s="43"/>
    </row>
  </sheetData>
  <mergeCells count="9">
    <mergeCell ref="A7:C7"/>
    <mergeCell ref="D5:I5"/>
    <mergeCell ref="D6:I6"/>
    <mergeCell ref="D7:I7"/>
    <mergeCell ref="A1:Y1"/>
    <mergeCell ref="A2:Y2"/>
    <mergeCell ref="A3:Y3"/>
    <mergeCell ref="A5:C5"/>
    <mergeCell ref="A6:C6"/>
  </mergeCells>
  <printOptions horizontalCentered="1"/>
  <pageMargins left="0" right="0" top="0.23" bottom="0" header="0" footer="0"/>
  <pageSetup paperSize="9" scale="70" orientation="landscape" copies="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4"/>
  <sheetViews>
    <sheetView view="pageBreakPreview" zoomScaleNormal="100" zoomScaleSheetLayoutView="100" workbookViewId="0">
      <pane xSplit="9" ySplit="8" topLeftCell="J9" activePane="bottomRight" state="frozen"/>
      <selection activeCell="J19" sqref="J19"/>
      <selection pane="topRight" activeCell="J19" sqref="J19"/>
      <selection pane="bottomLeft" activeCell="J19" sqref="J19"/>
      <selection pane="bottomRight" activeCell="A4" sqref="A4"/>
    </sheetView>
  </sheetViews>
  <sheetFormatPr defaultRowHeight="15" x14ac:dyDescent="0.25"/>
  <cols>
    <col min="1" max="1" width="3.7109375" style="26" customWidth="1"/>
    <col min="2" max="2" width="13.7109375" style="26" bestFit="1" customWidth="1"/>
    <col min="3" max="3" width="10.7109375" style="28" customWidth="1"/>
    <col min="4" max="4" width="10.42578125" style="28" customWidth="1"/>
    <col min="5" max="5" width="5.7109375" style="26" bestFit="1" customWidth="1"/>
    <col min="6" max="6" width="8" style="26" customWidth="1"/>
    <col min="7" max="7" width="6.5703125" style="26" bestFit="1" customWidth="1"/>
    <col min="8" max="8" width="6.28515625" style="26" bestFit="1" customWidth="1"/>
    <col min="9" max="9" width="6.5703125" style="26" bestFit="1" customWidth="1"/>
    <col min="10" max="10" width="5.42578125" style="26" customWidth="1"/>
    <col min="11" max="11" width="6.5703125" style="26" bestFit="1" customWidth="1"/>
    <col min="12" max="12" width="8.28515625" style="26" bestFit="1" customWidth="1"/>
    <col min="13" max="13" width="8.5703125" style="26" bestFit="1" customWidth="1"/>
    <col min="14" max="14" width="6.5703125" style="26" bestFit="1" customWidth="1"/>
    <col min="15" max="15" width="7.7109375" style="26" bestFit="1" customWidth="1"/>
    <col min="16" max="16" width="5.85546875" style="26" customWidth="1"/>
    <col min="17" max="17" width="9.5703125" style="26" bestFit="1" customWidth="1"/>
    <col min="18" max="18" width="9.140625" style="26" bestFit="1" customWidth="1"/>
    <col min="19" max="19" width="11" style="26" bestFit="1" customWidth="1"/>
    <col min="20" max="20" width="8.140625" style="26" bestFit="1" customWidth="1"/>
    <col min="21" max="21" width="8.42578125" style="26" bestFit="1" customWidth="1"/>
    <col min="22" max="22" width="8.5703125" style="26" customWidth="1"/>
    <col min="23" max="23" width="5.85546875" style="26" customWidth="1"/>
    <col min="24" max="24" width="7.42578125" style="26" bestFit="1" customWidth="1"/>
    <col min="25" max="25" width="22.85546875" style="26" customWidth="1"/>
    <col min="26" max="26" width="8.42578125" style="26" bestFit="1" customWidth="1"/>
    <col min="27" max="27" width="11" style="26" bestFit="1" customWidth="1"/>
    <col min="28" max="28" width="8.85546875" style="26" bestFit="1" customWidth="1"/>
    <col min="29" max="29" width="11.42578125" style="26" customWidth="1"/>
    <col min="30" max="30" width="9.140625" style="26"/>
    <col min="31" max="31" width="9.5703125" style="26" bestFit="1" customWidth="1"/>
    <col min="32" max="32" width="8.7109375" style="26" bestFit="1" customWidth="1"/>
    <col min="33" max="16384" width="9.140625" style="26"/>
  </cols>
  <sheetData>
    <row r="1" spans="1:29" ht="28.5" x14ac:dyDescent="0.25">
      <c r="A1" s="82" t="s">
        <v>42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</row>
    <row r="2" spans="1:29" ht="18" x14ac:dyDescent="0.35">
      <c r="A2" s="83" t="s">
        <v>87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</row>
    <row r="3" spans="1:29" ht="18.75" x14ac:dyDescent="0.3">
      <c r="A3" s="87" t="str">
        <f>Electrician!A3</f>
        <v>Wage Sheet for the month of October, 2017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</row>
    <row r="4" spans="1:29" x14ac:dyDescent="0.25">
      <c r="A4" s="62"/>
      <c r="B4" s="62"/>
      <c r="C4" s="73"/>
      <c r="D4" s="73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71"/>
      <c r="V4" s="62"/>
      <c r="W4" s="62"/>
      <c r="X4" s="71"/>
      <c r="Y4" s="62"/>
    </row>
    <row r="5" spans="1:29" ht="15" customHeight="1" x14ac:dyDescent="0.25">
      <c r="A5" s="84" t="s">
        <v>88</v>
      </c>
      <c r="B5" s="84"/>
      <c r="C5" s="84"/>
      <c r="D5" s="86" t="s">
        <v>76</v>
      </c>
      <c r="E5" s="86"/>
      <c r="F5" s="86"/>
      <c r="G5" s="86"/>
      <c r="H5" s="86"/>
      <c r="I5" s="86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71"/>
      <c r="V5" s="62"/>
      <c r="W5" s="62"/>
      <c r="X5" s="71"/>
      <c r="Y5" s="62"/>
    </row>
    <row r="6" spans="1:29" ht="15" customHeight="1" x14ac:dyDescent="0.25">
      <c r="A6" s="84" t="s">
        <v>89</v>
      </c>
      <c r="B6" s="84"/>
      <c r="C6" s="84"/>
      <c r="D6" s="86" t="s">
        <v>86</v>
      </c>
      <c r="E6" s="86"/>
      <c r="F6" s="86"/>
      <c r="G6" s="86"/>
      <c r="H6" s="86"/>
      <c r="I6" s="86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71"/>
      <c r="V6" s="62"/>
      <c r="W6" s="62"/>
      <c r="X6" s="71"/>
      <c r="Y6" s="62"/>
    </row>
    <row r="7" spans="1:29" ht="15" customHeight="1" x14ac:dyDescent="0.25">
      <c r="A7" s="85" t="s">
        <v>90</v>
      </c>
      <c r="B7" s="85"/>
      <c r="C7" s="85"/>
      <c r="D7" s="86" t="s">
        <v>81</v>
      </c>
      <c r="E7" s="86"/>
      <c r="F7" s="86"/>
      <c r="G7" s="86"/>
      <c r="H7" s="86"/>
      <c r="I7" s="86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71"/>
      <c r="V7" s="62"/>
      <c r="W7" s="62"/>
      <c r="X7" s="71"/>
      <c r="Y7" s="62"/>
    </row>
    <row r="8" spans="1:29" ht="36" x14ac:dyDescent="0.25">
      <c r="A8" s="63" t="s">
        <v>0</v>
      </c>
      <c r="B8" s="63" t="s">
        <v>39</v>
      </c>
      <c r="C8" s="63" t="s">
        <v>1</v>
      </c>
      <c r="D8" s="64" t="s">
        <v>2</v>
      </c>
      <c r="E8" s="65" t="s">
        <v>3</v>
      </c>
      <c r="F8" s="65" t="s">
        <v>4</v>
      </c>
      <c r="G8" s="65" t="s">
        <v>5</v>
      </c>
      <c r="H8" s="66" t="s">
        <v>6</v>
      </c>
      <c r="I8" s="66" t="s">
        <v>7</v>
      </c>
      <c r="J8" s="66" t="s">
        <v>40</v>
      </c>
      <c r="K8" s="66" t="s">
        <v>8</v>
      </c>
      <c r="L8" s="66" t="s">
        <v>25</v>
      </c>
      <c r="M8" s="66" t="s">
        <v>65</v>
      </c>
      <c r="N8" s="65" t="s">
        <v>9</v>
      </c>
      <c r="O8" s="65" t="s">
        <v>14</v>
      </c>
      <c r="P8" s="65" t="s">
        <v>15</v>
      </c>
      <c r="Q8" s="65" t="s">
        <v>16</v>
      </c>
      <c r="R8" s="65" t="s">
        <v>17</v>
      </c>
      <c r="S8" s="65" t="s">
        <v>18</v>
      </c>
      <c r="T8" s="65" t="s">
        <v>19</v>
      </c>
      <c r="U8" s="65" t="s">
        <v>20</v>
      </c>
      <c r="V8" s="65" t="s">
        <v>41</v>
      </c>
      <c r="W8" s="65" t="s">
        <v>21</v>
      </c>
      <c r="X8" s="65" t="s">
        <v>22</v>
      </c>
      <c r="Y8" s="65" t="s">
        <v>23</v>
      </c>
      <c r="Z8" s="67" t="s">
        <v>10</v>
      </c>
      <c r="AA8" s="65" t="s">
        <v>11</v>
      </c>
      <c r="AB8" s="67" t="s">
        <v>12</v>
      </c>
      <c r="AC8" s="65" t="s">
        <v>13</v>
      </c>
    </row>
    <row r="9" spans="1:29" ht="37.5" hidden="1" customHeight="1" x14ac:dyDescent="0.25">
      <c r="A9" s="1">
        <v>1</v>
      </c>
      <c r="B9" s="55" t="s">
        <v>119</v>
      </c>
      <c r="C9" s="10" t="s">
        <v>91</v>
      </c>
      <c r="D9" s="10" t="s">
        <v>27</v>
      </c>
      <c r="E9" s="3">
        <v>9132</v>
      </c>
      <c r="F9" s="3">
        <f>ROUND((E9*50%)/8*4,0)</f>
        <v>2283</v>
      </c>
      <c r="G9" s="4">
        <f>E9+F9</f>
        <v>11415</v>
      </c>
      <c r="H9" s="5">
        <v>26</v>
      </c>
      <c r="I9" s="11"/>
      <c r="J9" s="11"/>
      <c r="K9" s="3">
        <f>E9/H9*I9</f>
        <v>0</v>
      </c>
      <c r="L9" s="3">
        <f>F9/H9*I9</f>
        <v>0</v>
      </c>
      <c r="M9" s="3">
        <f>G9/H9*J9</f>
        <v>0</v>
      </c>
      <c r="N9" s="6">
        <f>SUM(K9:M9)</f>
        <v>0</v>
      </c>
      <c r="O9" s="7">
        <f>ROUND(Z9*12%,0)</f>
        <v>0</v>
      </c>
      <c r="P9" s="7">
        <f>ROUNDUP(AB9*1.75%,0)</f>
        <v>0</v>
      </c>
      <c r="Q9" s="8">
        <f>IF(N9&gt;40000,200,IF(N9&gt;25000,150,IF(N9&gt;15000,130,IF(N9&gt;10000,110,IF(N9&gt;8500,0,)))))</f>
        <v>0</v>
      </c>
      <c r="R9" s="3"/>
      <c r="S9" s="3">
        <v>0</v>
      </c>
      <c r="T9" s="9">
        <f>SUM(O9:S9)</f>
        <v>0</v>
      </c>
      <c r="U9" s="53">
        <f>N9-T9</f>
        <v>0</v>
      </c>
      <c r="V9" s="7">
        <f>((E9/H9*J9)*13.36%)</f>
        <v>0</v>
      </c>
      <c r="W9" s="5">
        <f>((E9/12)/H9*(I9))</f>
        <v>0</v>
      </c>
      <c r="X9" s="53">
        <f>U9+W9+V9</f>
        <v>0</v>
      </c>
      <c r="Y9" s="7"/>
      <c r="Z9" s="7">
        <f>ROUND(IF(($K9)&gt;15000,15000,IF(($K9)&lt;=15000,($K9))),0)</f>
        <v>0</v>
      </c>
      <c r="AA9" s="7">
        <f>ROUND(Z9*13.36%,0)</f>
        <v>0</v>
      </c>
      <c r="AB9" s="7">
        <f>ROUND($G9/$H9*($I9+J9),0)</f>
        <v>0</v>
      </c>
      <c r="AC9" s="7">
        <f>ROUNDUP(AB9*4.75%,0)</f>
        <v>0</v>
      </c>
    </row>
    <row r="10" spans="1:29" ht="37.5" hidden="1" customHeight="1" x14ac:dyDescent="0.25">
      <c r="A10" s="1">
        <v>2</v>
      </c>
      <c r="B10" s="55" t="s">
        <v>120</v>
      </c>
      <c r="C10" s="10" t="s">
        <v>92</v>
      </c>
      <c r="D10" s="10" t="s">
        <v>27</v>
      </c>
      <c r="E10" s="3">
        <v>9132</v>
      </c>
      <c r="F10" s="3">
        <f t="shared" ref="F10:F12" si="0">ROUND((E10*50%)/8*4,0)</f>
        <v>2283</v>
      </c>
      <c r="G10" s="4">
        <f t="shared" ref="G10:G12" si="1">E10+F10</f>
        <v>11415</v>
      </c>
      <c r="H10" s="5">
        <v>26</v>
      </c>
      <c r="I10" s="11"/>
      <c r="J10" s="11"/>
      <c r="K10" s="3">
        <f t="shared" ref="K10:K12" si="2">E10/H10*I10</f>
        <v>0</v>
      </c>
      <c r="L10" s="3">
        <f t="shared" ref="L10:L12" si="3">F10/H10*I10</f>
        <v>0</v>
      </c>
      <c r="M10" s="3">
        <f t="shared" ref="M10:M12" si="4">G10/H10*J10</f>
        <v>0</v>
      </c>
      <c r="N10" s="6">
        <f t="shared" ref="N10:N12" si="5">SUM(K10:M10)</f>
        <v>0</v>
      </c>
      <c r="O10" s="7">
        <f t="shared" ref="O10:O12" si="6">ROUND(Z10*12%,0)</f>
        <v>0</v>
      </c>
      <c r="P10" s="7">
        <f t="shared" ref="P10:P12" si="7">ROUNDUP(AB10*1.75%,0)</f>
        <v>0</v>
      </c>
      <c r="Q10" s="8">
        <f t="shared" ref="Q10:Q12" si="8">IF(N10&gt;40000,200,IF(N10&gt;25000,150,IF(N10&gt;15000,130,IF(N10&gt;10000,110,IF(N10&gt;8500,0,)))))</f>
        <v>0</v>
      </c>
      <c r="R10" s="3">
        <v>0</v>
      </c>
      <c r="S10" s="3">
        <v>0</v>
      </c>
      <c r="T10" s="9">
        <f t="shared" ref="T10:T12" si="9">SUM(O10:S10)</f>
        <v>0</v>
      </c>
      <c r="U10" s="53">
        <f t="shared" ref="U10:U12" si="10">N10-T10</f>
        <v>0</v>
      </c>
      <c r="V10" s="7">
        <f>((E10/H10*J10)*13.36%)</f>
        <v>0</v>
      </c>
      <c r="W10" s="5">
        <f t="shared" ref="W10:W12" si="11">((E10/12)/H10*(I10))</f>
        <v>0</v>
      </c>
      <c r="X10" s="53">
        <f t="shared" ref="X10:X12" si="12">U10+W10+V10</f>
        <v>0</v>
      </c>
      <c r="Y10" s="7"/>
      <c r="Z10" s="7">
        <f t="shared" ref="Z10:Z12" si="13">ROUND(IF(($K10)&gt;15000,15000,IF(($K10)&lt;=15000,($K10))),0)</f>
        <v>0</v>
      </c>
      <c r="AA10" s="7">
        <f t="shared" ref="AA10:AA12" si="14">ROUND(Z10*13.36%,0)</f>
        <v>0</v>
      </c>
      <c r="AB10" s="7">
        <f t="shared" ref="AB10:AB12" si="15">ROUND($G10/$H10*($I10+J10),0)</f>
        <v>0</v>
      </c>
      <c r="AC10" s="7">
        <f t="shared" ref="AC10:AC12" si="16">ROUNDUP(AB10*4.75%,0)</f>
        <v>0</v>
      </c>
    </row>
    <row r="11" spans="1:29" ht="37.5" customHeight="1" x14ac:dyDescent="0.25">
      <c r="A11" s="1">
        <v>3</v>
      </c>
      <c r="B11" s="55" t="s">
        <v>121</v>
      </c>
      <c r="C11" s="10" t="s">
        <v>93</v>
      </c>
      <c r="D11" s="10" t="s">
        <v>27</v>
      </c>
      <c r="E11" s="3">
        <v>9132</v>
      </c>
      <c r="F11" s="3">
        <f t="shared" si="0"/>
        <v>2283</v>
      </c>
      <c r="G11" s="4">
        <f t="shared" si="1"/>
        <v>11415</v>
      </c>
      <c r="H11" s="5">
        <v>26</v>
      </c>
      <c r="I11" s="11"/>
      <c r="J11" s="11"/>
      <c r="K11" s="3">
        <f t="shared" si="2"/>
        <v>0</v>
      </c>
      <c r="L11" s="3">
        <f t="shared" si="3"/>
        <v>0</v>
      </c>
      <c r="M11" s="3">
        <f t="shared" si="4"/>
        <v>0</v>
      </c>
      <c r="N11" s="6">
        <f t="shared" si="5"/>
        <v>0</v>
      </c>
      <c r="O11" s="7">
        <f t="shared" si="6"/>
        <v>0</v>
      </c>
      <c r="P11" s="7">
        <f t="shared" si="7"/>
        <v>0</v>
      </c>
      <c r="Q11" s="8">
        <f t="shared" si="8"/>
        <v>0</v>
      </c>
      <c r="R11" s="3">
        <v>0</v>
      </c>
      <c r="S11" s="3">
        <v>0</v>
      </c>
      <c r="T11" s="9">
        <f t="shared" si="9"/>
        <v>0</v>
      </c>
      <c r="U11" s="53">
        <f t="shared" si="10"/>
        <v>0</v>
      </c>
      <c r="V11" s="7">
        <f>((E11/H11*J11)*13.36%)</f>
        <v>0</v>
      </c>
      <c r="W11" s="5">
        <f t="shared" si="11"/>
        <v>0</v>
      </c>
      <c r="X11" s="53">
        <f t="shared" si="12"/>
        <v>0</v>
      </c>
      <c r="Y11" s="7"/>
      <c r="Z11" s="7">
        <f t="shared" si="13"/>
        <v>0</v>
      </c>
      <c r="AA11" s="7">
        <f t="shared" si="14"/>
        <v>0</v>
      </c>
      <c r="AB11" s="7">
        <f t="shared" si="15"/>
        <v>0</v>
      </c>
      <c r="AC11" s="7">
        <f t="shared" si="16"/>
        <v>0</v>
      </c>
    </row>
    <row r="12" spans="1:29" ht="37.5" hidden="1" customHeight="1" x14ac:dyDescent="0.25">
      <c r="A12" s="1">
        <v>4</v>
      </c>
      <c r="B12" s="55" t="s">
        <v>122</v>
      </c>
      <c r="C12" s="10" t="s">
        <v>67</v>
      </c>
      <c r="D12" s="10" t="s">
        <v>27</v>
      </c>
      <c r="E12" s="3">
        <v>9132</v>
      </c>
      <c r="F12" s="3">
        <f t="shared" si="0"/>
        <v>2283</v>
      </c>
      <c r="G12" s="4">
        <f t="shared" si="1"/>
        <v>11415</v>
      </c>
      <c r="H12" s="5">
        <v>26</v>
      </c>
      <c r="I12" s="11"/>
      <c r="J12" s="11"/>
      <c r="K12" s="3">
        <f t="shared" si="2"/>
        <v>0</v>
      </c>
      <c r="L12" s="3">
        <f t="shared" si="3"/>
        <v>0</v>
      </c>
      <c r="M12" s="3">
        <f t="shared" si="4"/>
        <v>0</v>
      </c>
      <c r="N12" s="6">
        <f t="shared" si="5"/>
        <v>0</v>
      </c>
      <c r="O12" s="7">
        <f t="shared" si="6"/>
        <v>0</v>
      </c>
      <c r="P12" s="7">
        <f t="shared" si="7"/>
        <v>0</v>
      </c>
      <c r="Q12" s="8">
        <f t="shared" si="8"/>
        <v>0</v>
      </c>
      <c r="R12" s="3">
        <v>0</v>
      </c>
      <c r="S12" s="3">
        <v>0</v>
      </c>
      <c r="T12" s="9">
        <f t="shared" si="9"/>
        <v>0</v>
      </c>
      <c r="U12" s="53">
        <f t="shared" si="10"/>
        <v>0</v>
      </c>
      <c r="V12" s="7">
        <f>((E12/H12*J12)*13.36%)</f>
        <v>0</v>
      </c>
      <c r="W12" s="5">
        <f t="shared" si="11"/>
        <v>0</v>
      </c>
      <c r="X12" s="53">
        <f t="shared" si="12"/>
        <v>0</v>
      </c>
      <c r="Y12" s="7"/>
      <c r="Z12" s="7">
        <f t="shared" si="13"/>
        <v>0</v>
      </c>
      <c r="AA12" s="7">
        <f t="shared" si="14"/>
        <v>0</v>
      </c>
      <c r="AB12" s="7">
        <f t="shared" si="15"/>
        <v>0</v>
      </c>
      <c r="AC12" s="7">
        <f t="shared" si="16"/>
        <v>0</v>
      </c>
    </row>
    <row r="13" spans="1:29" ht="15.75" x14ac:dyDescent="0.25">
      <c r="A13" s="1"/>
      <c r="B13" s="30"/>
      <c r="C13" s="33"/>
      <c r="D13" s="32"/>
      <c r="E13" s="3"/>
      <c r="F13" s="3"/>
      <c r="G13" s="4"/>
      <c r="H13" s="5"/>
      <c r="I13" s="11"/>
      <c r="J13" s="11"/>
      <c r="K13" s="3"/>
      <c r="L13" s="3"/>
      <c r="M13" s="3"/>
      <c r="N13" s="6"/>
      <c r="O13" s="7"/>
      <c r="P13" s="7"/>
      <c r="Q13" s="8"/>
      <c r="R13" s="3"/>
      <c r="S13" s="3"/>
      <c r="T13" s="9"/>
      <c r="U13" s="53"/>
      <c r="V13" s="7"/>
      <c r="W13" s="5"/>
      <c r="X13" s="53"/>
      <c r="Y13" s="7"/>
      <c r="Z13" s="7"/>
      <c r="AA13" s="7"/>
      <c r="AB13" s="7"/>
      <c r="AC13" s="7"/>
    </row>
    <row r="14" spans="1:29" x14ac:dyDescent="0.25">
      <c r="A14" s="44"/>
      <c r="B14" s="44"/>
      <c r="C14" s="57"/>
      <c r="D14" s="12"/>
      <c r="E14" s="13"/>
      <c r="F14" s="13"/>
      <c r="G14" s="13"/>
      <c r="H14" s="13"/>
      <c r="I14" s="11">
        <f t="shared" ref="I14:AC14" si="17">SUM(I9:I13)</f>
        <v>0</v>
      </c>
      <c r="J14" s="11">
        <f t="shared" si="17"/>
        <v>0</v>
      </c>
      <c r="K14" s="13">
        <f t="shared" si="17"/>
        <v>0</v>
      </c>
      <c r="L14" s="13">
        <f t="shared" si="17"/>
        <v>0</v>
      </c>
      <c r="M14" s="13">
        <f t="shared" si="17"/>
        <v>0</v>
      </c>
      <c r="N14" s="13">
        <f t="shared" si="17"/>
        <v>0</v>
      </c>
      <c r="O14" s="13">
        <f t="shared" si="17"/>
        <v>0</v>
      </c>
      <c r="P14" s="13">
        <f t="shared" si="17"/>
        <v>0</v>
      </c>
      <c r="Q14" s="13">
        <f t="shared" si="17"/>
        <v>0</v>
      </c>
      <c r="R14" s="13">
        <f t="shared" si="17"/>
        <v>0</v>
      </c>
      <c r="S14" s="13">
        <f t="shared" si="17"/>
        <v>0</v>
      </c>
      <c r="T14" s="13">
        <f t="shared" si="17"/>
        <v>0</v>
      </c>
      <c r="U14" s="13">
        <f t="shared" si="17"/>
        <v>0</v>
      </c>
      <c r="V14" s="13">
        <f t="shared" si="17"/>
        <v>0</v>
      </c>
      <c r="W14" s="13">
        <f t="shared" si="17"/>
        <v>0</v>
      </c>
      <c r="X14" s="13">
        <f t="shared" si="17"/>
        <v>0</v>
      </c>
      <c r="Y14" s="13">
        <f t="shared" si="17"/>
        <v>0</v>
      </c>
      <c r="Z14" s="13">
        <f t="shared" si="17"/>
        <v>0</v>
      </c>
      <c r="AA14" s="13">
        <f t="shared" si="17"/>
        <v>0</v>
      </c>
      <c r="AB14" s="13">
        <f t="shared" si="17"/>
        <v>0</v>
      </c>
      <c r="AC14" s="13">
        <f t="shared" si="17"/>
        <v>0</v>
      </c>
    </row>
  </sheetData>
  <mergeCells count="9">
    <mergeCell ref="A6:C6"/>
    <mergeCell ref="D6:I6"/>
    <mergeCell ref="A7:C7"/>
    <mergeCell ref="D7:I7"/>
    <mergeCell ref="A1:Y1"/>
    <mergeCell ref="A2:Y2"/>
    <mergeCell ref="A3:Y3"/>
    <mergeCell ref="A5:C5"/>
    <mergeCell ref="D5:I5"/>
  </mergeCells>
  <printOptions horizontalCentered="1"/>
  <pageMargins left="0" right="0" top="0.23" bottom="0" header="0" footer="0"/>
  <pageSetup paperSize="9" scale="64" orientation="landscape" copies="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23"/>
  <sheetViews>
    <sheetView tabSelected="1" zoomScaleNormal="100" zoomScaleSheetLayoutView="100" workbookViewId="0">
      <pane xSplit="9" ySplit="8" topLeftCell="J18" activePane="bottomRight" state="frozen"/>
      <selection activeCell="J19" sqref="J19"/>
      <selection pane="topRight" activeCell="J19" sqref="J19"/>
      <selection pane="bottomLeft" activeCell="J19" sqref="J19"/>
      <selection pane="bottomRight" activeCell="J25" sqref="J25"/>
    </sheetView>
  </sheetViews>
  <sheetFormatPr defaultRowHeight="15" x14ac:dyDescent="0.25"/>
  <cols>
    <col min="1" max="1" width="3.7109375" style="26" customWidth="1"/>
    <col min="2" max="2" width="17" style="26" bestFit="1" customWidth="1"/>
    <col min="3" max="3" width="15.5703125" style="28" bestFit="1" customWidth="1"/>
    <col min="4" max="4" width="12.5703125" style="26" bestFit="1" customWidth="1"/>
    <col min="5" max="5" width="5.7109375" style="26" customWidth="1"/>
    <col min="6" max="6" width="8" style="26" customWidth="1"/>
    <col min="7" max="7" width="6.5703125" style="26" bestFit="1" customWidth="1"/>
    <col min="8" max="8" width="6.28515625" style="26" bestFit="1" customWidth="1"/>
    <col min="9" max="9" width="6.7109375" style="26" bestFit="1" customWidth="1"/>
    <col min="10" max="10" width="5.42578125" style="26" customWidth="1"/>
    <col min="11" max="14" width="8.7109375" style="26" bestFit="1" customWidth="1"/>
    <col min="15" max="15" width="7.85546875" style="26" bestFit="1" customWidth="1"/>
    <col min="16" max="16" width="5.85546875" style="26" customWidth="1"/>
    <col min="17" max="17" width="9.7109375" style="26" bestFit="1" customWidth="1"/>
    <col min="18" max="18" width="9.28515625" style="26" bestFit="1" customWidth="1"/>
    <col min="19" max="19" width="11.140625" style="26" bestFit="1" customWidth="1"/>
    <col min="20" max="20" width="8.28515625" style="26" bestFit="1" customWidth="1"/>
    <col min="21" max="21" width="8.7109375" style="26" bestFit="1" customWidth="1"/>
    <col min="22" max="22" width="8.5703125" style="26" customWidth="1"/>
    <col min="23" max="23" width="5.85546875" style="26" customWidth="1"/>
    <col min="24" max="24" width="8.7109375" style="26" bestFit="1" customWidth="1"/>
    <col min="25" max="25" width="22.85546875" style="26" customWidth="1"/>
    <col min="26" max="26" width="8.7109375" style="26" bestFit="1" customWidth="1"/>
    <col min="27" max="27" width="11.140625" style="26" bestFit="1" customWidth="1"/>
    <col min="28" max="28" width="9" style="26" bestFit="1" customWidth="1"/>
    <col min="29" max="29" width="11.42578125" style="26" customWidth="1"/>
    <col min="30" max="30" width="8.7109375" style="26" bestFit="1" customWidth="1"/>
    <col min="31" max="31" width="9.5703125" style="26" bestFit="1" customWidth="1"/>
    <col min="32" max="16384" width="9.140625" style="26"/>
  </cols>
  <sheetData>
    <row r="1" spans="1:30" ht="28.5" x14ac:dyDescent="0.25">
      <c r="A1" s="82" t="s">
        <v>42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</row>
    <row r="2" spans="1:30" ht="18" x14ac:dyDescent="0.35">
      <c r="A2" s="83" t="s">
        <v>87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</row>
    <row r="3" spans="1:30" ht="18.75" x14ac:dyDescent="0.3">
      <c r="A3" s="87" t="str">
        <f>'HO '!A3:Y3</f>
        <v>Wage Sheet for the month of October, 2017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</row>
    <row r="4" spans="1:30" x14ac:dyDescent="0.25">
      <c r="A4" s="62"/>
      <c r="B4" s="62"/>
      <c r="C4" s="73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71"/>
      <c r="V4" s="62"/>
      <c r="W4" s="62"/>
      <c r="X4" s="71"/>
      <c r="Y4" s="62"/>
    </row>
    <row r="5" spans="1:30" ht="15" customHeight="1" x14ac:dyDescent="0.25">
      <c r="A5" s="84" t="s">
        <v>88</v>
      </c>
      <c r="B5" s="84"/>
      <c r="C5" s="84"/>
      <c r="D5" s="86" t="s">
        <v>43</v>
      </c>
      <c r="E5" s="86"/>
      <c r="F5" s="86"/>
      <c r="G5" s="86"/>
      <c r="H5" s="86"/>
      <c r="I5" s="86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71"/>
      <c r="V5" s="62"/>
      <c r="W5" s="62"/>
      <c r="X5" s="71"/>
      <c r="Y5" s="62"/>
    </row>
    <row r="6" spans="1:30" ht="15" customHeight="1" x14ac:dyDescent="0.25">
      <c r="A6" s="84" t="s">
        <v>89</v>
      </c>
      <c r="B6" s="84"/>
      <c r="C6" s="84"/>
      <c r="D6" s="86" t="s">
        <v>86</v>
      </c>
      <c r="E6" s="86"/>
      <c r="F6" s="86"/>
      <c r="G6" s="86"/>
      <c r="H6" s="86"/>
      <c r="I6" s="86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71"/>
      <c r="V6" s="62"/>
      <c r="W6" s="62"/>
      <c r="X6" s="71"/>
      <c r="Y6" s="62"/>
    </row>
    <row r="7" spans="1:30" ht="15" customHeight="1" x14ac:dyDescent="0.25">
      <c r="A7" s="85" t="s">
        <v>90</v>
      </c>
      <c r="B7" s="85"/>
      <c r="C7" s="85"/>
      <c r="D7" s="86" t="s">
        <v>82</v>
      </c>
      <c r="E7" s="86"/>
      <c r="F7" s="86"/>
      <c r="G7" s="86"/>
      <c r="H7" s="86"/>
      <c r="I7" s="86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71"/>
      <c r="V7" s="62"/>
      <c r="W7" s="62"/>
      <c r="X7" s="71"/>
      <c r="Y7" s="62"/>
    </row>
    <row r="8" spans="1:30" ht="36" x14ac:dyDescent="0.25">
      <c r="A8" s="63" t="s">
        <v>0</v>
      </c>
      <c r="B8" s="63" t="s">
        <v>39</v>
      </c>
      <c r="C8" s="63" t="s">
        <v>1</v>
      </c>
      <c r="D8" s="64" t="s">
        <v>2</v>
      </c>
      <c r="E8" s="65" t="s">
        <v>3</v>
      </c>
      <c r="F8" s="65" t="s">
        <v>4</v>
      </c>
      <c r="G8" s="65" t="s">
        <v>5</v>
      </c>
      <c r="H8" s="66" t="s">
        <v>6</v>
      </c>
      <c r="I8" s="66" t="s">
        <v>7</v>
      </c>
      <c r="J8" s="66" t="s">
        <v>40</v>
      </c>
      <c r="K8" s="66" t="s">
        <v>8</v>
      </c>
      <c r="L8" s="66" t="s">
        <v>25</v>
      </c>
      <c r="M8" s="66" t="s">
        <v>65</v>
      </c>
      <c r="N8" s="65" t="s">
        <v>9</v>
      </c>
      <c r="O8" s="65" t="s">
        <v>14</v>
      </c>
      <c r="P8" s="65" t="s">
        <v>15</v>
      </c>
      <c r="Q8" s="65" t="s">
        <v>16</v>
      </c>
      <c r="R8" s="65" t="s">
        <v>17</v>
      </c>
      <c r="S8" s="65" t="s">
        <v>18</v>
      </c>
      <c r="T8" s="65" t="s">
        <v>19</v>
      </c>
      <c r="U8" s="65" t="s">
        <v>20</v>
      </c>
      <c r="V8" s="65" t="s">
        <v>41</v>
      </c>
      <c r="W8" s="65" t="s">
        <v>21</v>
      </c>
      <c r="X8" s="65" t="s">
        <v>22</v>
      </c>
      <c r="Y8" s="65" t="s">
        <v>23</v>
      </c>
      <c r="Z8" s="67" t="s">
        <v>10</v>
      </c>
      <c r="AA8" s="65" t="s">
        <v>11</v>
      </c>
      <c r="AB8" s="67" t="s">
        <v>12</v>
      </c>
      <c r="AC8" s="65" t="s">
        <v>13</v>
      </c>
    </row>
    <row r="9" spans="1:30" ht="24.95" customHeight="1" x14ac:dyDescent="0.25">
      <c r="A9" s="1">
        <v>1</v>
      </c>
      <c r="B9" s="55" t="s">
        <v>124</v>
      </c>
      <c r="C9" s="10" t="s">
        <v>94</v>
      </c>
      <c r="D9" s="56" t="s">
        <v>24</v>
      </c>
      <c r="E9" s="3">
        <v>7489</v>
      </c>
      <c r="F9" s="3">
        <f>ROUND((E9*50%)/8*4,0)</f>
        <v>1872</v>
      </c>
      <c r="G9" s="4">
        <f>E9+F9</f>
        <v>9361</v>
      </c>
      <c r="H9" s="5">
        <v>26</v>
      </c>
      <c r="I9" s="11">
        <v>26</v>
      </c>
      <c r="J9" s="11">
        <v>3</v>
      </c>
      <c r="K9" s="3">
        <f>E9/H9*I9</f>
        <v>7489</v>
      </c>
      <c r="L9" s="3">
        <f>F9/H9*I9</f>
        <v>1872</v>
      </c>
      <c r="M9" s="3">
        <f>G9/H9*J9</f>
        <v>1080.1153846153848</v>
      </c>
      <c r="N9" s="6">
        <f>SUM(K9:M9)</f>
        <v>10441.115384615385</v>
      </c>
      <c r="O9" s="7">
        <f>ROUND(Z9*12%,0)</f>
        <v>899</v>
      </c>
      <c r="P9" s="7">
        <f>ROUNDUP(AB9*1.75%,0)</f>
        <v>183</v>
      </c>
      <c r="Q9" s="8">
        <f>IF(N9&gt;40000,200,IF(N9&gt;25000,150,IF(N9&gt;15000,130,IF(N9&gt;10000,110,IF(N9&gt;8500,0,)))))</f>
        <v>110</v>
      </c>
      <c r="R9" s="3">
        <v>0</v>
      </c>
      <c r="S9" s="3">
        <v>0</v>
      </c>
      <c r="T9" s="9">
        <f>SUM(O9:S9)</f>
        <v>1192</v>
      </c>
      <c r="U9" s="34">
        <f>N9-T9</f>
        <v>9249.1153846153848</v>
      </c>
      <c r="V9" s="7">
        <f t="shared" ref="V9:V13" si="0">((E9/H9*J9)*13.36%)</f>
        <v>115.44581538461539</v>
      </c>
      <c r="W9" s="5">
        <f t="shared" ref="W9:W13" si="1">((E9/12)/H9*(I9))</f>
        <v>624.08333333333337</v>
      </c>
      <c r="X9" s="6">
        <f>U9+W9+V9</f>
        <v>9988.644533333334</v>
      </c>
      <c r="Y9" s="7"/>
      <c r="Z9" s="7">
        <f>ROUND(IF(($K9)&gt;15000,15000,IF(($K9)&lt;=15000,($K9))),0)</f>
        <v>7489</v>
      </c>
      <c r="AA9" s="7">
        <f>ROUND(Z9*13.36%,0)</f>
        <v>1001</v>
      </c>
      <c r="AB9" s="7">
        <f t="shared" ref="AB9:AB13" si="2">ROUND($G9/$H9*($I9+J9),0)</f>
        <v>10441</v>
      </c>
      <c r="AC9" s="7">
        <f>ROUNDUP(AB9*4.75%,0)</f>
        <v>496</v>
      </c>
    </row>
    <row r="10" spans="1:30" ht="24.95" customHeight="1" x14ac:dyDescent="0.25">
      <c r="A10" s="1">
        <v>2</v>
      </c>
      <c r="B10" s="55" t="s">
        <v>125</v>
      </c>
      <c r="C10" s="10" t="s">
        <v>95</v>
      </c>
      <c r="D10" s="56" t="s">
        <v>24</v>
      </c>
      <c r="E10" s="3">
        <v>7489</v>
      </c>
      <c r="F10" s="3">
        <f t="shared" ref="F10:F13" si="3">ROUND((E10*50%)/8*4,0)</f>
        <v>1872</v>
      </c>
      <c r="G10" s="4">
        <f t="shared" ref="G10:G13" si="4">E10+F10</f>
        <v>9361</v>
      </c>
      <c r="H10" s="5">
        <v>26</v>
      </c>
      <c r="I10" s="11">
        <v>26</v>
      </c>
      <c r="J10" s="11">
        <v>4</v>
      </c>
      <c r="K10" s="3">
        <f t="shared" ref="K10:K13" si="5">E10/H10*I10</f>
        <v>7489</v>
      </c>
      <c r="L10" s="3">
        <f t="shared" ref="L10:L13" si="6">F10/H10*I10</f>
        <v>1872</v>
      </c>
      <c r="M10" s="3">
        <f t="shared" ref="M10:M13" si="7">G10/H10*J10</f>
        <v>1440.1538461538462</v>
      </c>
      <c r="N10" s="6">
        <f t="shared" ref="N10:N18" si="8">SUM(K10:M10)</f>
        <v>10801.153846153846</v>
      </c>
      <c r="O10" s="7">
        <f t="shared" ref="O10:O13" si="9">ROUND(Z10*12%,0)</f>
        <v>899</v>
      </c>
      <c r="P10" s="7">
        <f t="shared" ref="P10:P13" si="10">ROUNDUP(AB10*1.75%,0)</f>
        <v>190</v>
      </c>
      <c r="Q10" s="8">
        <f t="shared" ref="Q10:Q13" si="11">IF(N10&gt;40000,200,IF(N10&gt;25000,150,IF(N10&gt;15000,130,IF(N10&gt;10000,110,IF(N10&gt;8500,0,)))))</f>
        <v>110</v>
      </c>
      <c r="R10" s="3">
        <v>0</v>
      </c>
      <c r="S10" s="3">
        <v>0</v>
      </c>
      <c r="T10" s="9">
        <f t="shared" ref="T10:T13" si="12">SUM(O10:S10)</f>
        <v>1199</v>
      </c>
      <c r="U10" s="34">
        <f t="shared" ref="U10:U13" si="13">N10-T10</f>
        <v>9602.1538461538457</v>
      </c>
      <c r="V10" s="7">
        <f t="shared" si="0"/>
        <v>153.92775384615385</v>
      </c>
      <c r="W10" s="5">
        <f t="shared" si="1"/>
        <v>624.08333333333337</v>
      </c>
      <c r="X10" s="6">
        <f t="shared" ref="X10:X18" si="14">U10+W10+V10</f>
        <v>10380.164933333333</v>
      </c>
      <c r="Y10" s="7"/>
      <c r="Z10" s="7">
        <f t="shared" ref="Z10:Z13" si="15">ROUND(IF(($K10)&gt;15000,15000,IF(($K10)&lt;=15000,($K10))),0)</f>
        <v>7489</v>
      </c>
      <c r="AA10" s="7">
        <f t="shared" ref="AA10:AA13" si="16">ROUND(Z10*13.36%,0)</f>
        <v>1001</v>
      </c>
      <c r="AB10" s="7">
        <f t="shared" si="2"/>
        <v>10801</v>
      </c>
      <c r="AC10" s="7">
        <f t="shared" ref="AC10:AC13" si="17">ROUNDUP(AB10*4.75%,0)</f>
        <v>514</v>
      </c>
    </row>
    <row r="11" spans="1:30" ht="24.95" customHeight="1" x14ac:dyDescent="0.25">
      <c r="A11" s="1">
        <v>3</v>
      </c>
      <c r="B11" s="55" t="s">
        <v>126</v>
      </c>
      <c r="C11" s="10" t="s">
        <v>96</v>
      </c>
      <c r="D11" s="56" t="s">
        <v>24</v>
      </c>
      <c r="E11" s="3">
        <v>7489</v>
      </c>
      <c r="F11" s="3">
        <f t="shared" si="3"/>
        <v>1872</v>
      </c>
      <c r="G11" s="4">
        <f t="shared" si="4"/>
        <v>9361</v>
      </c>
      <c r="H11" s="5">
        <v>26</v>
      </c>
      <c r="I11" s="11">
        <v>25</v>
      </c>
      <c r="J11" s="11"/>
      <c r="K11" s="3">
        <f t="shared" si="5"/>
        <v>7200.961538461539</v>
      </c>
      <c r="L11" s="3">
        <f t="shared" si="6"/>
        <v>1800</v>
      </c>
      <c r="M11" s="3">
        <f t="shared" si="7"/>
        <v>0</v>
      </c>
      <c r="N11" s="6">
        <f t="shared" si="8"/>
        <v>9000.961538461539</v>
      </c>
      <c r="O11" s="7">
        <f t="shared" si="9"/>
        <v>864</v>
      </c>
      <c r="P11" s="7">
        <f t="shared" si="10"/>
        <v>158</v>
      </c>
      <c r="Q11" s="8">
        <f t="shared" si="11"/>
        <v>0</v>
      </c>
      <c r="R11" s="3">
        <v>0</v>
      </c>
      <c r="S11" s="3">
        <v>0</v>
      </c>
      <c r="T11" s="9">
        <f t="shared" si="12"/>
        <v>1022</v>
      </c>
      <c r="U11" s="34">
        <f t="shared" si="13"/>
        <v>7978.961538461539</v>
      </c>
      <c r="V11" s="7">
        <f t="shared" si="0"/>
        <v>0</v>
      </c>
      <c r="W11" s="5">
        <f t="shared" si="1"/>
        <v>600.08012820512829</v>
      </c>
      <c r="X11" s="6">
        <f t="shared" si="14"/>
        <v>8579.0416666666679</v>
      </c>
      <c r="Y11" s="7"/>
      <c r="Z11" s="7">
        <f t="shared" si="15"/>
        <v>7201</v>
      </c>
      <c r="AA11" s="7">
        <f t="shared" si="16"/>
        <v>962</v>
      </c>
      <c r="AB11" s="7">
        <f t="shared" si="2"/>
        <v>9001</v>
      </c>
      <c r="AC11" s="7">
        <f t="shared" si="17"/>
        <v>428</v>
      </c>
    </row>
    <row r="12" spans="1:30" ht="24.95" customHeight="1" x14ac:dyDescent="0.25">
      <c r="A12" s="1">
        <v>4</v>
      </c>
      <c r="B12" s="55" t="s">
        <v>127</v>
      </c>
      <c r="C12" s="10" t="s">
        <v>97</v>
      </c>
      <c r="D12" s="56" t="s">
        <v>24</v>
      </c>
      <c r="E12" s="3">
        <v>7489</v>
      </c>
      <c r="F12" s="3">
        <f t="shared" si="3"/>
        <v>1872</v>
      </c>
      <c r="G12" s="4">
        <f t="shared" si="4"/>
        <v>9361</v>
      </c>
      <c r="H12" s="5">
        <v>26</v>
      </c>
      <c r="I12" s="11">
        <v>26</v>
      </c>
      <c r="J12" s="11">
        <v>3</v>
      </c>
      <c r="K12" s="3">
        <f t="shared" si="5"/>
        <v>7489</v>
      </c>
      <c r="L12" s="3">
        <f t="shared" si="6"/>
        <v>1872</v>
      </c>
      <c r="M12" s="3">
        <f t="shared" si="7"/>
        <v>1080.1153846153848</v>
      </c>
      <c r="N12" s="6">
        <f t="shared" si="8"/>
        <v>10441.115384615385</v>
      </c>
      <c r="O12" s="7">
        <f t="shared" si="9"/>
        <v>899</v>
      </c>
      <c r="P12" s="7">
        <f t="shared" si="10"/>
        <v>183</v>
      </c>
      <c r="Q12" s="8">
        <f t="shared" si="11"/>
        <v>110</v>
      </c>
      <c r="R12" s="3">
        <v>0</v>
      </c>
      <c r="S12" s="3">
        <v>0</v>
      </c>
      <c r="T12" s="9">
        <f t="shared" si="12"/>
        <v>1192</v>
      </c>
      <c r="U12" s="34">
        <f t="shared" si="13"/>
        <v>9249.1153846153848</v>
      </c>
      <c r="V12" s="7">
        <f t="shared" si="0"/>
        <v>115.44581538461539</v>
      </c>
      <c r="W12" s="5">
        <f t="shared" si="1"/>
        <v>624.08333333333337</v>
      </c>
      <c r="X12" s="6">
        <f t="shared" si="14"/>
        <v>9988.644533333334</v>
      </c>
      <c r="Y12" s="7"/>
      <c r="Z12" s="7">
        <f t="shared" si="15"/>
        <v>7489</v>
      </c>
      <c r="AA12" s="7">
        <f t="shared" si="16"/>
        <v>1001</v>
      </c>
      <c r="AB12" s="7">
        <f t="shared" si="2"/>
        <v>10441</v>
      </c>
      <c r="AC12" s="7">
        <f t="shared" si="17"/>
        <v>496</v>
      </c>
      <c r="AD12" s="61"/>
    </row>
    <row r="13" spans="1:30" ht="24.95" customHeight="1" x14ac:dyDescent="0.25">
      <c r="A13" s="1">
        <v>5</v>
      </c>
      <c r="B13" s="55" t="s">
        <v>128</v>
      </c>
      <c r="C13" s="10" t="s">
        <v>68</v>
      </c>
      <c r="D13" s="56" t="s">
        <v>24</v>
      </c>
      <c r="E13" s="3">
        <v>7489</v>
      </c>
      <c r="F13" s="3">
        <f t="shared" si="3"/>
        <v>1872</v>
      </c>
      <c r="G13" s="4">
        <f t="shared" si="4"/>
        <v>9361</v>
      </c>
      <c r="H13" s="5">
        <v>26</v>
      </c>
      <c r="I13" s="11">
        <v>22</v>
      </c>
      <c r="J13" s="11"/>
      <c r="K13" s="3">
        <f t="shared" si="5"/>
        <v>6336.8461538461543</v>
      </c>
      <c r="L13" s="3">
        <f t="shared" si="6"/>
        <v>1584</v>
      </c>
      <c r="M13" s="3">
        <f t="shared" si="7"/>
        <v>0</v>
      </c>
      <c r="N13" s="6">
        <f t="shared" si="8"/>
        <v>7920.8461538461543</v>
      </c>
      <c r="O13" s="7">
        <f t="shared" si="9"/>
        <v>760</v>
      </c>
      <c r="P13" s="7">
        <f t="shared" si="10"/>
        <v>139</v>
      </c>
      <c r="Q13" s="8">
        <f t="shared" si="11"/>
        <v>0</v>
      </c>
      <c r="R13" s="3">
        <v>0</v>
      </c>
      <c r="S13" s="3">
        <v>0</v>
      </c>
      <c r="T13" s="9">
        <f t="shared" si="12"/>
        <v>899</v>
      </c>
      <c r="U13" s="34">
        <f t="shared" si="13"/>
        <v>7021.8461538461543</v>
      </c>
      <c r="V13" s="7">
        <f t="shared" si="0"/>
        <v>0</v>
      </c>
      <c r="W13" s="5">
        <f t="shared" si="1"/>
        <v>528.07051282051293</v>
      </c>
      <c r="X13" s="6">
        <f t="shared" si="14"/>
        <v>7549.916666666667</v>
      </c>
      <c r="Y13" s="7"/>
      <c r="Z13" s="7">
        <f t="shared" si="15"/>
        <v>6337</v>
      </c>
      <c r="AA13" s="7">
        <f t="shared" si="16"/>
        <v>847</v>
      </c>
      <c r="AB13" s="7">
        <f t="shared" si="2"/>
        <v>7921</v>
      </c>
      <c r="AC13" s="7">
        <f t="shared" si="17"/>
        <v>377</v>
      </c>
      <c r="AD13" s="60"/>
    </row>
    <row r="14" spans="1:30" ht="24.95" customHeight="1" x14ac:dyDescent="0.25">
      <c r="A14" s="1">
        <v>6</v>
      </c>
      <c r="B14" s="55" t="s">
        <v>129</v>
      </c>
      <c r="C14" s="10" t="s">
        <v>155</v>
      </c>
      <c r="D14" s="78" t="s">
        <v>160</v>
      </c>
      <c r="E14" s="3">
        <v>7489</v>
      </c>
      <c r="F14" s="3">
        <f>ROUND((E14*50%)/8*4,0)</f>
        <v>1872</v>
      </c>
      <c r="G14" s="4">
        <f>E14+F14</f>
        <v>9361</v>
      </c>
      <c r="H14" s="5">
        <v>26</v>
      </c>
      <c r="I14" s="11">
        <v>7</v>
      </c>
      <c r="J14" s="11"/>
      <c r="K14" s="3">
        <f>E14/H14*I14</f>
        <v>2016.2692307692309</v>
      </c>
      <c r="L14" s="3">
        <f>F14/H14*I14</f>
        <v>504</v>
      </c>
      <c r="M14" s="3">
        <f>G14/H14*J14</f>
        <v>0</v>
      </c>
      <c r="N14" s="6">
        <f>SUM(K14:M14)</f>
        <v>2520.2692307692309</v>
      </c>
      <c r="O14" s="7">
        <f>ROUND(Z14*12%,0)</f>
        <v>242</v>
      </c>
      <c r="P14" s="7">
        <f>ROUNDUP(AB14*1.75%,0)</f>
        <v>45</v>
      </c>
      <c r="Q14" s="8">
        <f>IF(N14&gt;40000,200,IF(N14&gt;25000,150,IF(N14&gt;15000,130,IF(N14&gt;10000,110,IF(N14&gt;8500,0,)))))</f>
        <v>0</v>
      </c>
      <c r="R14" s="3">
        <v>0</v>
      </c>
      <c r="S14" s="3">
        <v>0</v>
      </c>
      <c r="T14" s="9">
        <f>SUM(O14:S14)</f>
        <v>287</v>
      </c>
      <c r="U14" s="34">
        <f>N14-T14</f>
        <v>2233.2692307692309</v>
      </c>
      <c r="V14" s="7">
        <f>((E14/H14*J14)*13.36%)</f>
        <v>0</v>
      </c>
      <c r="W14" s="5">
        <f>((E14/12)/H14*(I14))</f>
        <v>168.02243589743591</v>
      </c>
      <c r="X14" s="6">
        <f>U14+W14+V14</f>
        <v>2401.291666666667</v>
      </c>
      <c r="Y14" s="7"/>
      <c r="Z14" s="7">
        <f>ROUND(IF(($K14)&gt;15000,15000,IF(($K14)&lt;=15000,($K14))),0)</f>
        <v>2016</v>
      </c>
      <c r="AA14" s="7">
        <f>ROUND(Z14*13.36%,0)</f>
        <v>269</v>
      </c>
      <c r="AB14" s="7">
        <f>ROUND($G14/$H14*($I14+J14),0)</f>
        <v>2520</v>
      </c>
      <c r="AC14" s="7">
        <f>ROUNDUP(AB14*4.75%,0)</f>
        <v>120</v>
      </c>
      <c r="AD14" s="61"/>
    </row>
    <row r="15" spans="1:30" ht="24.95" customHeight="1" x14ac:dyDescent="0.25">
      <c r="A15" s="1">
        <v>7</v>
      </c>
      <c r="B15" s="55" t="s">
        <v>156</v>
      </c>
      <c r="C15" s="10" t="s">
        <v>157</v>
      </c>
      <c r="D15" s="78" t="s">
        <v>24</v>
      </c>
      <c r="E15" s="3">
        <v>7489</v>
      </c>
      <c r="F15" s="3">
        <f>ROUND((E15*50%)/8*4,0)</f>
        <v>1872</v>
      </c>
      <c r="G15" s="4">
        <f>E15+F15</f>
        <v>9361</v>
      </c>
      <c r="H15" s="5">
        <v>26</v>
      </c>
      <c r="I15" s="11">
        <v>23</v>
      </c>
      <c r="J15" s="11"/>
      <c r="K15" s="3">
        <f>E15/H15*I15</f>
        <v>6624.8846153846152</v>
      </c>
      <c r="L15" s="3">
        <f>F15/H15*I15</f>
        <v>1656</v>
      </c>
      <c r="M15" s="3">
        <f>G15/H15*J15</f>
        <v>0</v>
      </c>
      <c r="N15" s="6">
        <f>SUM(K15:M15)</f>
        <v>8280.8846153846152</v>
      </c>
      <c r="O15" s="7">
        <f>ROUND(Z15*12%,0)</f>
        <v>795</v>
      </c>
      <c r="P15" s="7">
        <f>ROUNDUP(AB15*1.75%,0)</f>
        <v>145</v>
      </c>
      <c r="Q15" s="8">
        <f>IF(N15&gt;40000,200,IF(N15&gt;25000,150,IF(N15&gt;15000,130,IF(N15&gt;10000,110,IF(N15&gt;8500,0,)))))</f>
        <v>0</v>
      </c>
      <c r="R15" s="3">
        <v>0</v>
      </c>
      <c r="S15" s="3">
        <v>0</v>
      </c>
      <c r="T15" s="9">
        <f>SUM(O15:S15)</f>
        <v>940</v>
      </c>
      <c r="U15" s="34">
        <f>N15-T15</f>
        <v>7340.8846153846152</v>
      </c>
      <c r="V15" s="7">
        <f>((E15/H15*J15)*13.36%)</f>
        <v>0</v>
      </c>
      <c r="W15" s="5">
        <f>((E15/12)/H15*(I15))</f>
        <v>552.07371794871801</v>
      </c>
      <c r="X15" s="6">
        <f>U15+W15+V15</f>
        <v>7892.958333333333</v>
      </c>
      <c r="Y15" s="7"/>
      <c r="Z15" s="7">
        <f>ROUND(IF(($K15)&gt;15000,15000,IF(($K15)&lt;=15000,($K15))),0)</f>
        <v>6625</v>
      </c>
      <c r="AA15" s="7">
        <f>ROUND(Z15*13.36%,0)</f>
        <v>885</v>
      </c>
      <c r="AB15" s="7">
        <f>ROUND($G15/$H15*($I15+J15),0)</f>
        <v>8281</v>
      </c>
      <c r="AC15" s="7">
        <f>ROUNDUP(AB15*4.75%,0)</f>
        <v>394</v>
      </c>
      <c r="AD15" s="61"/>
    </row>
    <row r="16" spans="1:30" ht="24.95" customHeight="1" x14ac:dyDescent="0.25">
      <c r="A16" s="1">
        <v>7</v>
      </c>
      <c r="B16" s="55" t="s">
        <v>162</v>
      </c>
      <c r="C16" s="10" t="s">
        <v>164</v>
      </c>
      <c r="D16" s="78" t="s">
        <v>24</v>
      </c>
      <c r="E16" s="3">
        <v>7489</v>
      </c>
      <c r="F16" s="3">
        <f t="shared" ref="F16:F17" si="18">ROUND((E16*50%)/8*4,0)</f>
        <v>1872</v>
      </c>
      <c r="G16" s="4">
        <f t="shared" ref="G16:G17" si="19">E16+F16</f>
        <v>9361</v>
      </c>
      <c r="H16" s="5">
        <v>26</v>
      </c>
      <c r="I16" s="11">
        <v>26</v>
      </c>
      <c r="J16" s="11">
        <v>3</v>
      </c>
      <c r="K16" s="3">
        <f t="shared" ref="K16:K17" si="20">E16/H16*I16</f>
        <v>7489</v>
      </c>
      <c r="L16" s="3">
        <f t="shared" ref="L16:L17" si="21">F16/H16*I16</f>
        <v>1872</v>
      </c>
      <c r="M16" s="3">
        <f t="shared" ref="M16:M17" si="22">G16/H16*J16</f>
        <v>1080.1153846153848</v>
      </c>
      <c r="N16" s="6">
        <f t="shared" ref="N16:N17" si="23">SUM(K16:M16)</f>
        <v>10441.115384615385</v>
      </c>
      <c r="O16" s="7">
        <f t="shared" ref="O16:O17" si="24">ROUND(Z16*12%,0)</f>
        <v>899</v>
      </c>
      <c r="P16" s="7">
        <f t="shared" ref="P16:P17" si="25">ROUNDUP(AB16*1.75%,0)</f>
        <v>183</v>
      </c>
      <c r="Q16" s="8">
        <f t="shared" ref="Q16:Q17" si="26">IF(N16&gt;40000,200,IF(N16&gt;25000,150,IF(N16&gt;15000,130,IF(N16&gt;10000,110,IF(N16&gt;8500,0,)))))</f>
        <v>110</v>
      </c>
      <c r="R16" s="3">
        <v>0</v>
      </c>
      <c r="S16" s="3">
        <v>0</v>
      </c>
      <c r="T16" s="9">
        <f t="shared" ref="T16:T17" si="27">SUM(O16:S16)</f>
        <v>1192</v>
      </c>
      <c r="U16" s="34">
        <f t="shared" ref="U16:U17" si="28">N16-T16</f>
        <v>9249.1153846153848</v>
      </c>
      <c r="V16" s="7">
        <f t="shared" ref="V16:V17" si="29">((E16/H16*J16)*13.36%)</f>
        <v>115.44581538461539</v>
      </c>
      <c r="W16" s="5">
        <f t="shared" ref="W16:W17" si="30">((E16/12)/H16*(I16))</f>
        <v>624.08333333333337</v>
      </c>
      <c r="X16" s="6">
        <f t="shared" ref="X16:X17" si="31">U16+W16+V16</f>
        <v>9988.644533333334</v>
      </c>
      <c r="Y16" s="7"/>
      <c r="Z16" s="7">
        <f t="shared" ref="Z16:Z17" si="32">ROUND(IF(($K16)&gt;15000,15000,IF(($K16)&lt;=15000,($K16))),0)</f>
        <v>7489</v>
      </c>
      <c r="AA16" s="7">
        <f t="shared" ref="AA16:AA17" si="33">ROUND(Z16*13.36%,0)</f>
        <v>1001</v>
      </c>
      <c r="AB16" s="7">
        <f t="shared" ref="AB16:AB17" si="34">ROUND($G16/$H16*($I16+J16),0)</f>
        <v>10441</v>
      </c>
      <c r="AC16" s="7">
        <f t="shared" ref="AC16:AC17" si="35">ROUNDUP(AB16*4.75%,0)</f>
        <v>496</v>
      </c>
      <c r="AD16" s="61"/>
    </row>
    <row r="17" spans="1:30" ht="24.95" customHeight="1" x14ac:dyDescent="0.25">
      <c r="A17" s="1">
        <v>7</v>
      </c>
      <c r="B17" s="55" t="s">
        <v>163</v>
      </c>
      <c r="C17" s="10" t="s">
        <v>165</v>
      </c>
      <c r="D17" s="78" t="s">
        <v>24</v>
      </c>
      <c r="E17" s="3">
        <v>7489</v>
      </c>
      <c r="F17" s="3">
        <f t="shared" si="18"/>
        <v>1872</v>
      </c>
      <c r="G17" s="4">
        <f t="shared" si="19"/>
        <v>9361</v>
      </c>
      <c r="H17" s="5">
        <v>26</v>
      </c>
      <c r="I17" s="11">
        <v>0</v>
      </c>
      <c r="J17" s="11"/>
      <c r="K17" s="3">
        <f t="shared" si="20"/>
        <v>0</v>
      </c>
      <c r="L17" s="3">
        <f t="shared" si="21"/>
        <v>0</v>
      </c>
      <c r="M17" s="3">
        <f t="shared" si="22"/>
        <v>0</v>
      </c>
      <c r="N17" s="6">
        <f t="shared" si="23"/>
        <v>0</v>
      </c>
      <c r="O17" s="7">
        <f t="shared" si="24"/>
        <v>0</v>
      </c>
      <c r="P17" s="7">
        <f t="shared" si="25"/>
        <v>0</v>
      </c>
      <c r="Q17" s="8">
        <f t="shared" si="26"/>
        <v>0</v>
      </c>
      <c r="R17" s="3">
        <v>0</v>
      </c>
      <c r="S17" s="3">
        <v>0</v>
      </c>
      <c r="T17" s="9">
        <f t="shared" si="27"/>
        <v>0</v>
      </c>
      <c r="U17" s="34">
        <f t="shared" si="28"/>
        <v>0</v>
      </c>
      <c r="V17" s="7">
        <f t="shared" si="29"/>
        <v>0</v>
      </c>
      <c r="W17" s="5">
        <f t="shared" si="30"/>
        <v>0</v>
      </c>
      <c r="X17" s="6">
        <f t="shared" si="31"/>
        <v>0</v>
      </c>
      <c r="Y17" s="7"/>
      <c r="Z17" s="7">
        <f t="shared" si="32"/>
        <v>0</v>
      </c>
      <c r="AA17" s="7">
        <f t="shared" si="33"/>
        <v>0</v>
      </c>
      <c r="AB17" s="7">
        <f t="shared" si="34"/>
        <v>0</v>
      </c>
      <c r="AC17" s="7">
        <f t="shared" si="35"/>
        <v>0</v>
      </c>
      <c r="AD17" s="61"/>
    </row>
    <row r="18" spans="1:30" ht="15.75" x14ac:dyDescent="0.25">
      <c r="A18" s="1"/>
      <c r="B18" s="55"/>
      <c r="C18" s="10"/>
      <c r="D18" s="56"/>
      <c r="E18" s="3"/>
      <c r="F18" s="3"/>
      <c r="G18" s="4"/>
      <c r="H18" s="5"/>
      <c r="I18" s="11"/>
      <c r="J18" s="11"/>
      <c r="K18" s="3"/>
      <c r="L18" s="3"/>
      <c r="M18" s="3"/>
      <c r="N18" s="6">
        <f t="shared" si="8"/>
        <v>0</v>
      </c>
      <c r="O18" s="7"/>
      <c r="P18" s="7"/>
      <c r="Q18" s="8"/>
      <c r="R18" s="3"/>
      <c r="S18" s="3"/>
      <c r="T18" s="9"/>
      <c r="U18" s="34"/>
      <c r="V18" s="7"/>
      <c r="W18" s="5"/>
      <c r="X18" s="6">
        <f t="shared" si="14"/>
        <v>0</v>
      </c>
      <c r="Y18" s="7"/>
      <c r="Z18" s="7"/>
      <c r="AA18" s="7"/>
      <c r="AB18" s="7"/>
      <c r="AC18" s="7"/>
    </row>
    <row r="19" spans="1:30" ht="24.95" customHeight="1" x14ac:dyDescent="0.25">
      <c r="A19" s="44"/>
      <c r="B19" s="44"/>
      <c r="C19" s="57"/>
      <c r="D19" s="12"/>
      <c r="E19" s="13"/>
      <c r="F19" s="13"/>
      <c r="G19" s="13"/>
      <c r="H19" s="13"/>
      <c r="I19" s="59">
        <f t="shared" ref="I19:AC19" si="36">SUM(I9:I18)</f>
        <v>181</v>
      </c>
      <c r="J19" s="59">
        <f t="shared" si="36"/>
        <v>13</v>
      </c>
      <c r="K19" s="59">
        <f t="shared" si="36"/>
        <v>52134.961538461546</v>
      </c>
      <c r="L19" s="59">
        <f t="shared" si="36"/>
        <v>13032</v>
      </c>
      <c r="M19" s="59">
        <f t="shared" si="36"/>
        <v>4680.5</v>
      </c>
      <c r="N19" s="59">
        <f t="shared" si="36"/>
        <v>69847.461538461546</v>
      </c>
      <c r="O19" s="59">
        <f t="shared" si="36"/>
        <v>6257</v>
      </c>
      <c r="P19" s="59">
        <f t="shared" si="36"/>
        <v>1226</v>
      </c>
      <c r="Q19" s="59">
        <f t="shared" si="36"/>
        <v>440</v>
      </c>
      <c r="R19" s="59">
        <f t="shared" si="36"/>
        <v>0</v>
      </c>
      <c r="S19" s="59">
        <f t="shared" si="36"/>
        <v>0</v>
      </c>
      <c r="T19" s="59">
        <f t="shared" si="36"/>
        <v>7923</v>
      </c>
      <c r="U19" s="59">
        <f t="shared" si="36"/>
        <v>61924.461538461546</v>
      </c>
      <c r="V19" s="59">
        <f t="shared" si="36"/>
        <v>500.26520000000005</v>
      </c>
      <c r="W19" s="59">
        <f t="shared" si="36"/>
        <v>4344.5801282051289</v>
      </c>
      <c r="X19" s="59">
        <f t="shared" si="36"/>
        <v>66769.306866666666</v>
      </c>
      <c r="Y19" s="59">
        <f t="shared" si="36"/>
        <v>0</v>
      </c>
      <c r="Z19" s="59">
        <f t="shared" si="36"/>
        <v>52135</v>
      </c>
      <c r="AA19" s="59">
        <f t="shared" si="36"/>
        <v>6967</v>
      </c>
      <c r="AB19" s="59">
        <f t="shared" si="36"/>
        <v>69847</v>
      </c>
      <c r="AC19" s="59">
        <f t="shared" si="36"/>
        <v>3321</v>
      </c>
    </row>
    <row r="20" spans="1:30" ht="24.95" customHeight="1" x14ac:dyDescent="0.25">
      <c r="A20" s="1">
        <v>1</v>
      </c>
      <c r="B20" s="55" t="s">
        <v>130</v>
      </c>
      <c r="C20" s="75" t="s">
        <v>98</v>
      </c>
      <c r="D20" s="69" t="s">
        <v>80</v>
      </c>
      <c r="E20" s="3">
        <v>7489</v>
      </c>
      <c r="F20" s="3">
        <v>0</v>
      </c>
      <c r="G20" s="4">
        <f>E20+F20</f>
        <v>7489</v>
      </c>
      <c r="H20" s="5">
        <v>26</v>
      </c>
      <c r="I20" s="11">
        <v>26</v>
      </c>
      <c r="J20" s="11">
        <v>3</v>
      </c>
      <c r="K20" s="3">
        <f>E20/H20*I20</f>
        <v>7489</v>
      </c>
      <c r="L20" s="3">
        <f>F20/H20*I20</f>
        <v>0</v>
      </c>
      <c r="M20" s="3">
        <f>G20/H20*J20</f>
        <v>864.11538461538464</v>
      </c>
      <c r="N20" s="6">
        <f>SUM(K20:M20)</f>
        <v>8353.1153846153848</v>
      </c>
      <c r="O20" s="7">
        <f>ROUND(Z20*12%,0)</f>
        <v>899</v>
      </c>
      <c r="P20" s="7">
        <f>ROUNDUP(AB20*1.75%,0)</f>
        <v>147</v>
      </c>
      <c r="Q20" s="8">
        <f>IF(N20&gt;40000,200,IF(N20&gt;25000,150,IF(N20&gt;15000,130,IF(N20&gt;10000,110,IF(N20&gt;8500,0,)))))</f>
        <v>0</v>
      </c>
      <c r="R20" s="3">
        <v>0</v>
      </c>
      <c r="S20" s="3">
        <v>0</v>
      </c>
      <c r="T20" s="9">
        <f>SUM(O20:S20)</f>
        <v>1046</v>
      </c>
      <c r="U20" s="34">
        <f>N20-T20</f>
        <v>7307.1153846153848</v>
      </c>
      <c r="V20" s="7">
        <f>((E20/H20*J20)*13.36%)</f>
        <v>115.44581538461539</v>
      </c>
      <c r="W20" s="5">
        <f>((E20/12)/H20*(I20))</f>
        <v>624.08333333333337</v>
      </c>
      <c r="X20" s="6">
        <f>U20+W20+V20</f>
        <v>8046.6445333333331</v>
      </c>
      <c r="Y20" s="7"/>
      <c r="Z20" s="7">
        <f>ROUND(IF(($K20)&gt;15000,15000,IF(($K20)&lt;=15000,($K20))),0)</f>
        <v>7489</v>
      </c>
      <c r="AA20" s="7">
        <f>ROUND(Z20*13.36%,0)</f>
        <v>1001</v>
      </c>
      <c r="AB20" s="7">
        <f>ROUND($G20/$H20*($I20+J20),0)</f>
        <v>8353</v>
      </c>
      <c r="AC20" s="7">
        <f>ROUNDUP(AB20*4.75%,0)</f>
        <v>397</v>
      </c>
    </row>
    <row r="21" spans="1:30" ht="24.95" customHeight="1" x14ac:dyDescent="0.25">
      <c r="A21" s="1">
        <v>2</v>
      </c>
      <c r="B21" s="55" t="s">
        <v>131</v>
      </c>
      <c r="C21" s="75" t="s">
        <v>99</v>
      </c>
      <c r="D21" s="69" t="s">
        <v>80</v>
      </c>
      <c r="E21" s="3">
        <v>7489</v>
      </c>
      <c r="F21" s="3">
        <v>0</v>
      </c>
      <c r="G21" s="4">
        <f t="shared" ref="G21" si="37">E21+F21</f>
        <v>7489</v>
      </c>
      <c r="H21" s="5">
        <v>26</v>
      </c>
      <c r="I21" s="11">
        <v>4</v>
      </c>
      <c r="J21" s="11"/>
      <c r="K21" s="3">
        <f t="shared" ref="K21" si="38">E21/H21*I21</f>
        <v>1152.1538461538462</v>
      </c>
      <c r="L21" s="3">
        <f t="shared" ref="L21" si="39">F21/H21*I21</f>
        <v>0</v>
      </c>
      <c r="M21" s="3">
        <f t="shared" ref="M21" si="40">G21/H21*J21</f>
        <v>0</v>
      </c>
      <c r="N21" s="6">
        <f t="shared" ref="N21:N22" si="41">SUM(K21:M21)</f>
        <v>1152.1538461538462</v>
      </c>
      <c r="O21" s="7">
        <f t="shared" ref="O21" si="42">ROUND(Z21*12%,0)</f>
        <v>138</v>
      </c>
      <c r="P21" s="7">
        <f t="shared" ref="P21" si="43">ROUNDUP(AB21*1.75%,0)</f>
        <v>21</v>
      </c>
      <c r="Q21" s="8">
        <f t="shared" ref="Q21" si="44">IF(N21&gt;40000,200,IF(N21&gt;25000,150,IF(N21&gt;15000,130,IF(N21&gt;10000,110,IF(N21&gt;8500,0,)))))</f>
        <v>0</v>
      </c>
      <c r="R21" s="3">
        <v>0</v>
      </c>
      <c r="S21" s="3">
        <v>0</v>
      </c>
      <c r="T21" s="9">
        <f t="shared" ref="T21" si="45">SUM(O21:S21)</f>
        <v>159</v>
      </c>
      <c r="U21" s="34">
        <f t="shared" ref="U21" si="46">N21-T21</f>
        <v>993.15384615384619</v>
      </c>
      <c r="V21" s="7">
        <f>((E21/H21*J21)*13.36%)</f>
        <v>0</v>
      </c>
      <c r="W21" s="5">
        <f>((E21/12)/H21*(I21))</f>
        <v>96.012820512820525</v>
      </c>
      <c r="X21" s="6">
        <f t="shared" ref="X21:X22" si="47">U21+W21+V21</f>
        <v>1089.1666666666667</v>
      </c>
      <c r="Y21" s="7"/>
      <c r="Z21" s="7">
        <f t="shared" ref="Z21" si="48">ROUND(IF(($K21)&gt;15000,15000,IF(($K21)&lt;=15000,($K21))),0)</f>
        <v>1152</v>
      </c>
      <c r="AA21" s="7">
        <f t="shared" ref="AA21" si="49">ROUND(Z21*13.36%,0)</f>
        <v>154</v>
      </c>
      <c r="AB21" s="7">
        <f>ROUND($G21/$H21*($I21+J21),0)</f>
        <v>1152</v>
      </c>
      <c r="AC21" s="7">
        <f t="shared" ref="AC21" si="50">ROUNDUP(AB21*4.75%,0)</f>
        <v>55</v>
      </c>
    </row>
    <row r="22" spans="1:30" ht="24.95" customHeight="1" x14ac:dyDescent="0.25">
      <c r="A22" s="1"/>
      <c r="B22" s="55"/>
      <c r="C22" s="10"/>
      <c r="D22" s="56"/>
      <c r="E22" s="3"/>
      <c r="F22" s="3"/>
      <c r="G22" s="4"/>
      <c r="H22" s="5"/>
      <c r="I22" s="11"/>
      <c r="J22" s="11"/>
      <c r="K22" s="3"/>
      <c r="L22" s="3"/>
      <c r="M22" s="3"/>
      <c r="N22" s="6">
        <f t="shared" si="41"/>
        <v>0</v>
      </c>
      <c r="O22" s="7"/>
      <c r="P22" s="7"/>
      <c r="Q22" s="8"/>
      <c r="R22" s="3"/>
      <c r="S22" s="3"/>
      <c r="T22" s="9"/>
      <c r="U22" s="34"/>
      <c r="V22" s="7"/>
      <c r="W22" s="5"/>
      <c r="X22" s="6">
        <f t="shared" si="47"/>
        <v>0</v>
      </c>
      <c r="Y22" s="7"/>
      <c r="Z22" s="7"/>
      <c r="AA22" s="7"/>
      <c r="AB22" s="7"/>
      <c r="AC22" s="7"/>
    </row>
    <row r="23" spans="1:30" ht="24.95" customHeight="1" x14ac:dyDescent="0.25">
      <c r="A23" s="44"/>
      <c r="B23" s="44"/>
      <c r="C23" s="57"/>
      <c r="D23" s="12"/>
      <c r="E23" s="13"/>
      <c r="F23" s="13"/>
      <c r="G23" s="13"/>
      <c r="H23" s="13"/>
      <c r="I23" s="11">
        <f>SUM(I20:I22)</f>
        <v>30</v>
      </c>
      <c r="J23" s="11">
        <f t="shared" ref="J23" si="51">SUM(J20:J22)</f>
        <v>3</v>
      </c>
      <c r="K23" s="59">
        <f>SUM(K20:K22)</f>
        <v>8641.1538461538457</v>
      </c>
      <c r="L23" s="59">
        <f t="shared" ref="L23:AC23" si="52">SUM(L20:L22)</f>
        <v>0</v>
      </c>
      <c r="M23" s="59">
        <f t="shared" si="52"/>
        <v>864.11538461538464</v>
      </c>
      <c r="N23" s="59">
        <f t="shared" si="52"/>
        <v>9505.2692307692305</v>
      </c>
      <c r="O23" s="59">
        <f t="shared" si="52"/>
        <v>1037</v>
      </c>
      <c r="P23" s="59">
        <f t="shared" si="52"/>
        <v>168</v>
      </c>
      <c r="Q23" s="59">
        <f t="shared" si="52"/>
        <v>0</v>
      </c>
      <c r="R23" s="59">
        <f t="shared" si="52"/>
        <v>0</v>
      </c>
      <c r="S23" s="59">
        <f t="shared" si="52"/>
        <v>0</v>
      </c>
      <c r="T23" s="59">
        <f t="shared" si="52"/>
        <v>1205</v>
      </c>
      <c r="U23" s="59">
        <f t="shared" si="52"/>
        <v>8300.2692307692305</v>
      </c>
      <c r="V23" s="59">
        <f t="shared" si="52"/>
        <v>115.44581538461539</v>
      </c>
      <c r="W23" s="59">
        <f t="shared" si="52"/>
        <v>720.09615384615392</v>
      </c>
      <c r="X23" s="59">
        <f t="shared" si="52"/>
        <v>9135.8112000000001</v>
      </c>
      <c r="Y23" s="59">
        <f t="shared" si="52"/>
        <v>0</v>
      </c>
      <c r="Z23" s="59">
        <f t="shared" si="52"/>
        <v>8641</v>
      </c>
      <c r="AA23" s="59">
        <f t="shared" si="52"/>
        <v>1155</v>
      </c>
      <c r="AB23" s="59">
        <f t="shared" si="52"/>
        <v>9505</v>
      </c>
      <c r="AC23" s="59">
        <f t="shared" si="52"/>
        <v>452</v>
      </c>
    </row>
  </sheetData>
  <mergeCells count="9">
    <mergeCell ref="A6:C6"/>
    <mergeCell ref="D6:I6"/>
    <mergeCell ref="A7:C7"/>
    <mergeCell ref="D7:I7"/>
    <mergeCell ref="A1:Y1"/>
    <mergeCell ref="A2:Y2"/>
    <mergeCell ref="A3:Y3"/>
    <mergeCell ref="A5:C5"/>
    <mergeCell ref="D5:I5"/>
  </mergeCells>
  <printOptions horizontalCentered="1"/>
  <pageMargins left="0" right="0" top="0.23" bottom="0" header="0" footer="0"/>
  <pageSetup paperSize="9" scale="63" orientation="landscape" copies="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F22"/>
  <sheetViews>
    <sheetView zoomScaleNormal="100" zoomScaleSheetLayoutView="100" workbookViewId="0">
      <pane xSplit="9" ySplit="8" topLeftCell="J9" activePane="bottomRight" state="frozen"/>
      <selection activeCell="G10" sqref="G10"/>
      <selection pane="topRight" activeCell="G10" sqref="G10"/>
      <selection pane="bottomLeft" activeCell="G10" sqref="G10"/>
      <selection pane="bottomRight" activeCell="I15" sqref="I15:J15"/>
    </sheetView>
  </sheetViews>
  <sheetFormatPr defaultRowHeight="15" x14ac:dyDescent="0.25"/>
  <cols>
    <col min="1" max="1" width="3.7109375" style="26" customWidth="1"/>
    <col min="2" max="2" width="11.7109375" style="26" bestFit="1" customWidth="1"/>
    <col min="3" max="3" width="13.140625" style="74" customWidth="1"/>
    <col min="4" max="4" width="12.5703125" style="28" bestFit="1" customWidth="1"/>
    <col min="5" max="5" width="5.7109375" style="26" customWidth="1"/>
    <col min="6" max="6" width="8" style="26" customWidth="1"/>
    <col min="7" max="7" width="6.5703125" style="26" bestFit="1" customWidth="1"/>
    <col min="8" max="8" width="6.28515625" style="26" bestFit="1" customWidth="1"/>
    <col min="9" max="9" width="6.5703125" style="26" bestFit="1" customWidth="1"/>
    <col min="10" max="10" width="5.42578125" style="26" customWidth="1"/>
    <col min="11" max="11" width="7.85546875" style="26" bestFit="1" customWidth="1"/>
    <col min="12" max="12" width="8.42578125" style="26" bestFit="1" customWidth="1"/>
    <col min="13" max="13" width="8.7109375" style="26" bestFit="1" customWidth="1"/>
    <col min="14" max="15" width="7.85546875" style="26" bestFit="1" customWidth="1"/>
    <col min="16" max="16" width="5.85546875" style="26" customWidth="1"/>
    <col min="17" max="17" width="9.7109375" style="26" bestFit="1" customWidth="1"/>
    <col min="18" max="18" width="9.28515625" style="26" bestFit="1" customWidth="1"/>
    <col min="19" max="19" width="11.140625" style="26" bestFit="1" customWidth="1"/>
    <col min="20" max="20" width="8.28515625" style="26" bestFit="1" customWidth="1"/>
    <col min="21" max="21" width="8.5703125" style="26" bestFit="1" customWidth="1"/>
    <col min="22" max="22" width="8.5703125" style="26" customWidth="1"/>
    <col min="23" max="23" width="5.85546875" style="26" customWidth="1"/>
    <col min="24" max="24" width="7.85546875" style="26" bestFit="1" customWidth="1"/>
    <col min="25" max="25" width="22.85546875" style="26" customWidth="1"/>
    <col min="26" max="26" width="8.5703125" style="26" bestFit="1" customWidth="1"/>
    <col min="27" max="27" width="11.140625" style="26" bestFit="1" customWidth="1"/>
    <col min="28" max="28" width="9" style="26" bestFit="1" customWidth="1"/>
    <col min="29" max="29" width="11.42578125" style="26" customWidth="1"/>
    <col min="30" max="30" width="9.140625" style="26"/>
    <col min="31" max="31" width="9.5703125" style="26" bestFit="1" customWidth="1"/>
    <col min="32" max="32" width="8.7109375" style="26" bestFit="1" customWidth="1"/>
    <col min="33" max="16384" width="9.140625" style="26"/>
  </cols>
  <sheetData>
    <row r="1" spans="1:32" ht="28.5" x14ac:dyDescent="0.25">
      <c r="A1" s="82" t="s">
        <v>42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</row>
    <row r="2" spans="1:32" ht="18" x14ac:dyDescent="0.35">
      <c r="A2" s="83" t="s">
        <v>87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</row>
    <row r="3" spans="1:32" ht="18.75" x14ac:dyDescent="0.3">
      <c r="A3" s="87" t="str">
        <f>'HO '!A3:Y3</f>
        <v>Wage Sheet for the month of October, 2017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</row>
    <row r="4" spans="1:32" x14ac:dyDescent="0.25">
      <c r="A4" s="62"/>
      <c r="B4" s="62"/>
      <c r="C4" s="73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71"/>
      <c r="V4" s="62"/>
      <c r="W4" s="62"/>
      <c r="X4" s="71"/>
      <c r="Y4" s="62"/>
    </row>
    <row r="5" spans="1:32" ht="15" customHeight="1" x14ac:dyDescent="0.25">
      <c r="A5" s="84" t="s">
        <v>88</v>
      </c>
      <c r="B5" s="84"/>
      <c r="C5" s="84"/>
      <c r="D5" s="86" t="s">
        <v>77</v>
      </c>
      <c r="E5" s="86"/>
      <c r="F5" s="86"/>
      <c r="G5" s="86"/>
      <c r="H5" s="86"/>
      <c r="I5" s="86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71"/>
      <c r="V5" s="62"/>
      <c r="W5" s="62"/>
      <c r="X5" s="71"/>
      <c r="Y5" s="62"/>
    </row>
    <row r="6" spans="1:32" ht="15" customHeight="1" x14ac:dyDescent="0.25">
      <c r="A6" s="84" t="s">
        <v>89</v>
      </c>
      <c r="B6" s="84"/>
      <c r="C6" s="84"/>
      <c r="D6" s="86" t="s">
        <v>86</v>
      </c>
      <c r="E6" s="86"/>
      <c r="F6" s="86"/>
      <c r="G6" s="86"/>
      <c r="H6" s="86"/>
      <c r="I6" s="86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71"/>
      <c r="V6" s="62"/>
      <c r="W6" s="62"/>
      <c r="X6" s="71"/>
      <c r="Y6" s="62"/>
    </row>
    <row r="7" spans="1:32" ht="15" customHeight="1" x14ac:dyDescent="0.25">
      <c r="A7" s="85" t="s">
        <v>90</v>
      </c>
      <c r="B7" s="85"/>
      <c r="C7" s="85"/>
      <c r="D7" s="86" t="s">
        <v>83</v>
      </c>
      <c r="E7" s="86"/>
      <c r="F7" s="86"/>
      <c r="G7" s="86"/>
      <c r="H7" s="86"/>
      <c r="I7" s="86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71"/>
      <c r="V7" s="62"/>
      <c r="W7" s="62"/>
      <c r="X7" s="71"/>
      <c r="Y7" s="62"/>
    </row>
    <row r="8" spans="1:32" ht="36" x14ac:dyDescent="0.25">
      <c r="A8" s="63" t="s">
        <v>0</v>
      </c>
      <c r="B8" s="63" t="s">
        <v>39</v>
      </c>
      <c r="C8" s="63" t="s">
        <v>1</v>
      </c>
      <c r="D8" s="64" t="s">
        <v>2</v>
      </c>
      <c r="E8" s="65" t="s">
        <v>3</v>
      </c>
      <c r="F8" s="65" t="s">
        <v>4</v>
      </c>
      <c r="G8" s="65" t="s">
        <v>5</v>
      </c>
      <c r="H8" s="66" t="s">
        <v>6</v>
      </c>
      <c r="I8" s="66" t="s">
        <v>7</v>
      </c>
      <c r="J8" s="66" t="s">
        <v>40</v>
      </c>
      <c r="K8" s="66" t="s">
        <v>8</v>
      </c>
      <c r="L8" s="66" t="s">
        <v>25</v>
      </c>
      <c r="M8" s="66" t="s">
        <v>65</v>
      </c>
      <c r="N8" s="65" t="s">
        <v>9</v>
      </c>
      <c r="O8" s="65" t="s">
        <v>14</v>
      </c>
      <c r="P8" s="65" t="s">
        <v>15</v>
      </c>
      <c r="Q8" s="65" t="s">
        <v>16</v>
      </c>
      <c r="R8" s="65" t="s">
        <v>17</v>
      </c>
      <c r="S8" s="65" t="s">
        <v>18</v>
      </c>
      <c r="T8" s="65" t="s">
        <v>19</v>
      </c>
      <c r="U8" s="65" t="s">
        <v>20</v>
      </c>
      <c r="V8" s="65" t="s">
        <v>41</v>
      </c>
      <c r="W8" s="65" t="s">
        <v>21</v>
      </c>
      <c r="X8" s="65" t="s">
        <v>22</v>
      </c>
      <c r="Y8" s="65" t="s">
        <v>23</v>
      </c>
      <c r="Z8" s="67" t="s">
        <v>10</v>
      </c>
      <c r="AA8" s="65" t="s">
        <v>11</v>
      </c>
      <c r="AB8" s="67" t="s">
        <v>12</v>
      </c>
      <c r="AC8" s="65" t="s">
        <v>13</v>
      </c>
    </row>
    <row r="9" spans="1:32" ht="24.95" customHeight="1" x14ac:dyDescent="0.25">
      <c r="A9" s="1">
        <v>1</v>
      </c>
      <c r="B9" s="55" t="s">
        <v>132</v>
      </c>
      <c r="C9" s="10" t="s">
        <v>100</v>
      </c>
      <c r="D9" s="56" t="s">
        <v>24</v>
      </c>
      <c r="E9" s="3">
        <v>7489</v>
      </c>
      <c r="F9" s="3">
        <f>ROUND((E9*50%)/8*4,0)</f>
        <v>1872</v>
      </c>
      <c r="G9" s="4">
        <f>E9+F9</f>
        <v>9361</v>
      </c>
      <c r="H9" s="5">
        <v>26</v>
      </c>
      <c r="I9" s="11">
        <v>26</v>
      </c>
      <c r="J9" s="11">
        <v>2</v>
      </c>
      <c r="K9" s="3">
        <f>E9/H9*I9</f>
        <v>7489</v>
      </c>
      <c r="L9" s="3">
        <f>F9/H9*I9</f>
        <v>1872</v>
      </c>
      <c r="M9" s="3">
        <f>G9/H9*J9</f>
        <v>720.07692307692309</v>
      </c>
      <c r="N9" s="6">
        <f>SUM(K9:M9)</f>
        <v>10081.076923076924</v>
      </c>
      <c r="O9" s="7">
        <f>ROUND(Z9*12%,0)</f>
        <v>899</v>
      </c>
      <c r="P9" s="7">
        <f>ROUNDUP(AB9*1.75%,0)</f>
        <v>177</v>
      </c>
      <c r="Q9" s="8">
        <f>IF(N9&gt;40000,200,IF(N9&gt;25000,150,IF(N9&gt;15000,130,IF(N9&gt;10000,110,IF(N9&gt;8500,0,)))))</f>
        <v>110</v>
      </c>
      <c r="R9" s="3">
        <v>0</v>
      </c>
      <c r="S9" s="3">
        <v>0</v>
      </c>
      <c r="T9" s="9">
        <f>SUM(O9:S9)</f>
        <v>1186</v>
      </c>
      <c r="U9" s="34">
        <f>N9-T9</f>
        <v>8895.0769230769238</v>
      </c>
      <c r="V9" s="7">
        <f>((E9/H9*J9)*13.36%)</f>
        <v>76.963876923076924</v>
      </c>
      <c r="W9" s="5">
        <f>((E9/12)/H9*(I9))</f>
        <v>624.08333333333337</v>
      </c>
      <c r="X9" s="6">
        <f>U9+W9+V9</f>
        <v>9596.1241333333346</v>
      </c>
      <c r="Y9" s="7"/>
      <c r="Z9" s="7">
        <f>ROUND(IF(($K9)&gt;15000,15000,IF(($K9)&lt;=15000,($K9))),0)</f>
        <v>7489</v>
      </c>
      <c r="AA9" s="7">
        <f>ROUND(Z9*13.15%,0)</f>
        <v>985</v>
      </c>
      <c r="AB9" s="7">
        <f>ROUND($G9/$H9*($I9+J9),0)</f>
        <v>10081</v>
      </c>
      <c r="AC9" s="7">
        <f>ROUNDUP(AB9*4.75%,0)</f>
        <v>479</v>
      </c>
    </row>
    <row r="10" spans="1:32" ht="24.95" customHeight="1" x14ac:dyDescent="0.25">
      <c r="A10" s="1">
        <v>2</v>
      </c>
      <c r="B10" s="55" t="s">
        <v>133</v>
      </c>
      <c r="C10" s="10" t="s">
        <v>101</v>
      </c>
      <c r="D10" s="56" t="s">
        <v>24</v>
      </c>
      <c r="E10" s="3">
        <v>7489</v>
      </c>
      <c r="F10" s="3">
        <f t="shared" ref="F10:F13" si="0">ROUND((E10*50%)/8*4,0)</f>
        <v>1872</v>
      </c>
      <c r="G10" s="4">
        <f t="shared" ref="G10:G13" si="1">E10+F10</f>
        <v>9361</v>
      </c>
      <c r="H10" s="5">
        <v>26</v>
      </c>
      <c r="I10" s="11">
        <v>26</v>
      </c>
      <c r="J10" s="11">
        <v>3</v>
      </c>
      <c r="K10" s="3">
        <f t="shared" ref="K10:K13" si="2">E10/H10*I10</f>
        <v>7489</v>
      </c>
      <c r="L10" s="3">
        <f t="shared" ref="L10:L13" si="3">F10/H10*I10</f>
        <v>1872</v>
      </c>
      <c r="M10" s="3">
        <f t="shared" ref="M10:M13" si="4">G10/H10*J10</f>
        <v>1080.1153846153848</v>
      </c>
      <c r="N10" s="6">
        <f t="shared" ref="N10:N14" si="5">SUM(K10:M10)</f>
        <v>10441.115384615385</v>
      </c>
      <c r="O10" s="7">
        <f t="shared" ref="O10:O13" si="6">ROUND(Z10*12%,0)</f>
        <v>899</v>
      </c>
      <c r="P10" s="7">
        <f t="shared" ref="P10:P13" si="7">ROUNDUP(AB10*1.75%,0)</f>
        <v>183</v>
      </c>
      <c r="Q10" s="8">
        <f t="shared" ref="Q10:Q13" si="8">IF(N10&gt;40000,200,IF(N10&gt;25000,150,IF(N10&gt;15000,130,IF(N10&gt;10000,110,IF(N10&gt;8500,0,)))))</f>
        <v>110</v>
      </c>
      <c r="R10" s="3">
        <v>0</v>
      </c>
      <c r="S10" s="3">
        <v>0</v>
      </c>
      <c r="T10" s="9">
        <f t="shared" ref="T10:T13" si="9">SUM(O10:S10)</f>
        <v>1192</v>
      </c>
      <c r="U10" s="34">
        <f t="shared" ref="U10:U13" si="10">N10-T10</f>
        <v>9249.1153846153848</v>
      </c>
      <c r="V10" s="7">
        <f>((E10/H10*J10)*13.36%)</f>
        <v>115.44581538461539</v>
      </c>
      <c r="W10" s="5">
        <f>((E10/12)/H10*(I10))</f>
        <v>624.08333333333337</v>
      </c>
      <c r="X10" s="6">
        <f t="shared" ref="X10:X14" si="11">U10+W10+V10</f>
        <v>9988.644533333334</v>
      </c>
      <c r="Y10" s="7"/>
      <c r="Z10" s="7">
        <f t="shared" ref="Z10:Z13" si="12">ROUND(IF(($K10)&gt;15000,15000,IF(($K10)&lt;=15000,($K10))),0)</f>
        <v>7489</v>
      </c>
      <c r="AA10" s="7">
        <f t="shared" ref="AA10:AA13" si="13">ROUND(Z10*13.15%,0)</f>
        <v>985</v>
      </c>
      <c r="AB10" s="7">
        <f>ROUND($G10/$H10*($I10+J10),0)</f>
        <v>10441</v>
      </c>
      <c r="AC10" s="7">
        <f t="shared" ref="AC10:AC13" si="14">ROUNDUP(AB10*4.75%,0)</f>
        <v>496</v>
      </c>
    </row>
    <row r="11" spans="1:32" ht="24.95" customHeight="1" x14ac:dyDescent="0.25">
      <c r="A11" s="1">
        <v>3</v>
      </c>
      <c r="B11" s="55" t="s">
        <v>134</v>
      </c>
      <c r="C11" s="10" t="s">
        <v>102</v>
      </c>
      <c r="D11" s="56" t="s">
        <v>24</v>
      </c>
      <c r="E11" s="3">
        <v>7489</v>
      </c>
      <c r="F11" s="3">
        <f t="shared" si="0"/>
        <v>1872</v>
      </c>
      <c r="G11" s="4">
        <f t="shared" si="1"/>
        <v>9361</v>
      </c>
      <c r="H11" s="5">
        <v>26</v>
      </c>
      <c r="I11" s="11">
        <v>26</v>
      </c>
      <c r="J11" s="11">
        <v>3</v>
      </c>
      <c r="K11" s="3">
        <f t="shared" si="2"/>
        <v>7489</v>
      </c>
      <c r="L11" s="3">
        <f t="shared" si="3"/>
        <v>1872</v>
      </c>
      <c r="M11" s="3">
        <f t="shared" si="4"/>
        <v>1080.1153846153848</v>
      </c>
      <c r="N11" s="6">
        <f t="shared" si="5"/>
        <v>10441.115384615385</v>
      </c>
      <c r="O11" s="7">
        <f t="shared" si="6"/>
        <v>899</v>
      </c>
      <c r="P11" s="7">
        <f t="shared" si="7"/>
        <v>183</v>
      </c>
      <c r="Q11" s="8">
        <f t="shared" si="8"/>
        <v>110</v>
      </c>
      <c r="R11" s="3">
        <v>0</v>
      </c>
      <c r="S11" s="3">
        <v>0</v>
      </c>
      <c r="T11" s="9">
        <f t="shared" si="9"/>
        <v>1192</v>
      </c>
      <c r="U11" s="34">
        <f t="shared" si="10"/>
        <v>9249.1153846153848</v>
      </c>
      <c r="V11" s="7">
        <f>((E11/H11*J11)*13.36%)</f>
        <v>115.44581538461539</v>
      </c>
      <c r="W11" s="5">
        <f>((E11/12)/H11*(I11))</f>
        <v>624.08333333333337</v>
      </c>
      <c r="X11" s="6">
        <f t="shared" si="11"/>
        <v>9988.644533333334</v>
      </c>
      <c r="Y11" s="7"/>
      <c r="Z11" s="7">
        <f t="shared" si="12"/>
        <v>7489</v>
      </c>
      <c r="AA11" s="7">
        <f t="shared" si="13"/>
        <v>985</v>
      </c>
      <c r="AB11" s="7">
        <f>ROUND($G11/$H11*($I11+J11),0)</f>
        <v>10441</v>
      </c>
      <c r="AC11" s="7">
        <f t="shared" si="14"/>
        <v>496</v>
      </c>
    </row>
    <row r="12" spans="1:32" ht="24.95" customHeight="1" x14ac:dyDescent="0.25">
      <c r="A12" s="1">
        <v>4</v>
      </c>
      <c r="B12" s="55" t="s">
        <v>135</v>
      </c>
      <c r="C12" s="10" t="s">
        <v>103</v>
      </c>
      <c r="D12" s="56" t="s">
        <v>24</v>
      </c>
      <c r="E12" s="3">
        <v>7489</v>
      </c>
      <c r="F12" s="3">
        <f t="shared" si="0"/>
        <v>1872</v>
      </c>
      <c r="G12" s="4">
        <f t="shared" si="1"/>
        <v>9361</v>
      </c>
      <c r="H12" s="5">
        <v>26</v>
      </c>
      <c r="I12" s="11">
        <v>26</v>
      </c>
      <c r="J12" s="11">
        <v>2</v>
      </c>
      <c r="K12" s="3">
        <f t="shared" si="2"/>
        <v>7489</v>
      </c>
      <c r="L12" s="3">
        <f t="shared" si="3"/>
        <v>1872</v>
      </c>
      <c r="M12" s="3">
        <f t="shared" si="4"/>
        <v>720.07692307692309</v>
      </c>
      <c r="N12" s="6">
        <f t="shared" si="5"/>
        <v>10081.076923076924</v>
      </c>
      <c r="O12" s="7">
        <f t="shared" si="6"/>
        <v>899</v>
      </c>
      <c r="P12" s="7">
        <f t="shared" si="7"/>
        <v>177</v>
      </c>
      <c r="Q12" s="8">
        <f t="shared" si="8"/>
        <v>110</v>
      </c>
      <c r="R12" s="3">
        <v>0</v>
      </c>
      <c r="S12" s="3">
        <v>0</v>
      </c>
      <c r="T12" s="9">
        <f t="shared" si="9"/>
        <v>1186</v>
      </c>
      <c r="U12" s="34">
        <f t="shared" si="10"/>
        <v>8895.0769230769238</v>
      </c>
      <c r="V12" s="7">
        <f>((E12/H12*J12)*13.36%)</f>
        <v>76.963876923076924</v>
      </c>
      <c r="W12" s="5">
        <f>((E12/12)/H12*(I12))</f>
        <v>624.08333333333337</v>
      </c>
      <c r="X12" s="6">
        <f t="shared" si="11"/>
        <v>9596.1241333333346</v>
      </c>
      <c r="Y12" s="7"/>
      <c r="Z12" s="7">
        <f t="shared" si="12"/>
        <v>7489</v>
      </c>
      <c r="AA12" s="7">
        <f t="shared" si="13"/>
        <v>985</v>
      </c>
      <c r="AB12" s="7">
        <f>ROUND($G12/$H12*($I12+J12),0)</f>
        <v>10081</v>
      </c>
      <c r="AC12" s="7">
        <f t="shared" si="14"/>
        <v>479</v>
      </c>
    </row>
    <row r="13" spans="1:32" ht="24.95" customHeight="1" x14ac:dyDescent="0.25">
      <c r="A13" s="1">
        <v>5</v>
      </c>
      <c r="B13" s="55" t="s">
        <v>136</v>
      </c>
      <c r="C13" s="10" t="s">
        <v>99</v>
      </c>
      <c r="D13" s="58" t="s">
        <v>153</v>
      </c>
      <c r="E13" s="3">
        <v>7489</v>
      </c>
      <c r="F13" s="3">
        <f t="shared" si="0"/>
        <v>1872</v>
      </c>
      <c r="G13" s="4">
        <f t="shared" si="1"/>
        <v>9361</v>
      </c>
      <c r="H13" s="5">
        <v>26</v>
      </c>
      <c r="I13" s="11">
        <v>18</v>
      </c>
      <c r="J13" s="11"/>
      <c r="K13" s="3">
        <f t="shared" si="2"/>
        <v>5184.6923076923076</v>
      </c>
      <c r="L13" s="3">
        <f t="shared" si="3"/>
        <v>1296</v>
      </c>
      <c r="M13" s="3">
        <f t="shared" si="4"/>
        <v>0</v>
      </c>
      <c r="N13" s="6">
        <f t="shared" si="5"/>
        <v>6480.6923076923076</v>
      </c>
      <c r="O13" s="7">
        <f t="shared" si="6"/>
        <v>622</v>
      </c>
      <c r="P13" s="7">
        <f t="shared" si="7"/>
        <v>114</v>
      </c>
      <c r="Q13" s="8">
        <f t="shared" si="8"/>
        <v>0</v>
      </c>
      <c r="R13" s="3">
        <v>0</v>
      </c>
      <c r="S13" s="3">
        <v>0</v>
      </c>
      <c r="T13" s="9">
        <f t="shared" si="9"/>
        <v>736</v>
      </c>
      <c r="U13" s="34">
        <f t="shared" si="10"/>
        <v>5744.6923076923076</v>
      </c>
      <c r="V13" s="7">
        <f>((E13/H13*J13)*13.36%)</f>
        <v>0</v>
      </c>
      <c r="W13" s="5">
        <f>((E13/12)/H13*(I13))</f>
        <v>432.05769230769238</v>
      </c>
      <c r="X13" s="6">
        <f t="shared" si="11"/>
        <v>6176.75</v>
      </c>
      <c r="Y13" s="7"/>
      <c r="Z13" s="7">
        <f t="shared" si="12"/>
        <v>5185</v>
      </c>
      <c r="AA13" s="7">
        <f t="shared" si="13"/>
        <v>682</v>
      </c>
      <c r="AB13" s="7">
        <f>ROUND($G13/$H13*($I13+J13),0)</f>
        <v>6481</v>
      </c>
      <c r="AC13" s="7">
        <f t="shared" si="14"/>
        <v>308</v>
      </c>
    </row>
    <row r="14" spans="1:32" ht="24.95" customHeight="1" x14ac:dyDescent="0.25">
      <c r="A14" s="1"/>
      <c r="B14" s="55"/>
      <c r="C14" s="10"/>
      <c r="D14" s="58"/>
      <c r="E14" s="3"/>
      <c r="F14" s="3"/>
      <c r="G14" s="4"/>
      <c r="H14" s="5"/>
      <c r="I14" s="11"/>
      <c r="J14" s="11"/>
      <c r="K14" s="3"/>
      <c r="L14" s="3"/>
      <c r="M14" s="3"/>
      <c r="N14" s="6">
        <f t="shared" si="5"/>
        <v>0</v>
      </c>
      <c r="O14" s="7"/>
      <c r="P14" s="7"/>
      <c r="Q14" s="8"/>
      <c r="R14" s="3"/>
      <c r="S14" s="3"/>
      <c r="T14" s="9"/>
      <c r="U14" s="34"/>
      <c r="V14" s="7"/>
      <c r="W14" s="5"/>
      <c r="X14" s="6">
        <f t="shared" si="11"/>
        <v>0</v>
      </c>
      <c r="Y14" s="7"/>
      <c r="Z14" s="7"/>
      <c r="AA14" s="7"/>
      <c r="AB14" s="7"/>
      <c r="AC14" s="7"/>
    </row>
    <row r="15" spans="1:32" ht="24.95" customHeight="1" x14ac:dyDescent="0.25">
      <c r="A15" s="44"/>
      <c r="B15" s="44"/>
      <c r="C15" s="12"/>
      <c r="D15" s="12"/>
      <c r="E15" s="13"/>
      <c r="F15" s="13"/>
      <c r="G15" s="13"/>
      <c r="H15" s="13"/>
      <c r="I15" s="11">
        <f>SUM(I9:I14)</f>
        <v>122</v>
      </c>
      <c r="J15" s="11">
        <f>SUM(J9:J14)</f>
        <v>10</v>
      </c>
      <c r="K15" s="13">
        <f>SUM(K9:K14)</f>
        <v>35140.692307692305</v>
      </c>
      <c r="L15" s="13">
        <f t="shared" ref="L15:AC15" si="15">SUM(L9:L14)</f>
        <v>8784</v>
      </c>
      <c r="M15" s="13">
        <f t="shared" si="15"/>
        <v>3600.3846153846152</v>
      </c>
      <c r="N15" s="13">
        <f t="shared" si="15"/>
        <v>47525.076923076922</v>
      </c>
      <c r="O15" s="13">
        <f t="shared" si="15"/>
        <v>4218</v>
      </c>
      <c r="P15" s="13">
        <f t="shared" si="15"/>
        <v>834</v>
      </c>
      <c r="Q15" s="13">
        <f t="shared" si="15"/>
        <v>440</v>
      </c>
      <c r="R15" s="13">
        <f t="shared" si="15"/>
        <v>0</v>
      </c>
      <c r="S15" s="13">
        <f t="shared" si="15"/>
        <v>0</v>
      </c>
      <c r="T15" s="13">
        <f t="shared" si="15"/>
        <v>5492</v>
      </c>
      <c r="U15" s="13">
        <f t="shared" si="15"/>
        <v>42033.076923076922</v>
      </c>
      <c r="V15" s="13">
        <f t="shared" si="15"/>
        <v>384.81938461538459</v>
      </c>
      <c r="W15" s="13">
        <f t="shared" si="15"/>
        <v>2928.3910256410259</v>
      </c>
      <c r="X15" s="13">
        <f t="shared" si="15"/>
        <v>45346.287333333341</v>
      </c>
      <c r="Y15" s="13">
        <f t="shared" si="15"/>
        <v>0</v>
      </c>
      <c r="Z15" s="13">
        <f t="shared" si="15"/>
        <v>35141</v>
      </c>
      <c r="AA15" s="13">
        <f t="shared" si="15"/>
        <v>4622</v>
      </c>
      <c r="AB15" s="13">
        <f t="shared" si="15"/>
        <v>47525</v>
      </c>
      <c r="AC15" s="13">
        <f t="shared" si="15"/>
        <v>2258</v>
      </c>
    </row>
    <row r="16" spans="1:32" ht="24.95" customHeight="1" x14ac:dyDescent="0.25">
      <c r="A16" s="1">
        <v>2</v>
      </c>
      <c r="B16" s="55" t="s">
        <v>138</v>
      </c>
      <c r="C16" s="75" t="s">
        <v>75</v>
      </c>
      <c r="D16" s="69" t="s">
        <v>80</v>
      </c>
      <c r="E16" s="3">
        <v>7489</v>
      </c>
      <c r="F16" s="3">
        <v>0</v>
      </c>
      <c r="G16" s="4">
        <f t="shared" ref="G16" si="16">E16+F16</f>
        <v>7489</v>
      </c>
      <c r="H16" s="5">
        <v>26</v>
      </c>
      <c r="I16" s="11">
        <v>25</v>
      </c>
      <c r="J16" s="11"/>
      <c r="K16" s="3">
        <f t="shared" ref="K16" si="17">E16/H16*I16</f>
        <v>7200.961538461539</v>
      </c>
      <c r="L16" s="3">
        <f t="shared" ref="L16" si="18">F16/H16*I16</f>
        <v>0</v>
      </c>
      <c r="M16" s="3">
        <f t="shared" ref="M16" si="19">G16/H16*J16</f>
        <v>0</v>
      </c>
      <c r="N16" s="6">
        <f t="shared" ref="N16" si="20">SUM(K16:M16)</f>
        <v>7200.961538461539</v>
      </c>
      <c r="O16" s="7">
        <f t="shared" ref="O16" si="21">ROUND(Z16*12%,0)</f>
        <v>864</v>
      </c>
      <c r="P16" s="7">
        <f t="shared" ref="P16" si="22">ROUNDUP(AB16*1.75%,0)</f>
        <v>127</v>
      </c>
      <c r="Q16" s="8">
        <f t="shared" ref="Q16" si="23">IF(N16&gt;40000,200,IF(N16&gt;25000,150,IF(N16&gt;15000,130,IF(N16&gt;10000,110,IF(N16&gt;8500,0,)))))</f>
        <v>0</v>
      </c>
      <c r="R16" s="3">
        <v>0</v>
      </c>
      <c r="S16" s="3">
        <v>0</v>
      </c>
      <c r="T16" s="9">
        <f t="shared" ref="T16" si="24">SUM(O16:S16)</f>
        <v>991</v>
      </c>
      <c r="U16" s="34">
        <f t="shared" ref="U16" si="25">N16-T16</f>
        <v>6209.961538461539</v>
      </c>
      <c r="V16" s="7">
        <f>((E16/H16*J16)*13.36%)</f>
        <v>0</v>
      </c>
      <c r="W16" s="5">
        <f>((E16/12)/H16*(I16))</f>
        <v>600.08012820512829</v>
      </c>
      <c r="X16" s="6">
        <f t="shared" ref="X16:X17" si="26">U16+W16+V16</f>
        <v>6810.041666666667</v>
      </c>
      <c r="Y16" s="7"/>
      <c r="Z16" s="7">
        <f t="shared" ref="Z16" si="27">ROUND(IF(($K16)&gt;15000,15000,IF(($K16)&lt;=15000,($K16))),0)</f>
        <v>7201</v>
      </c>
      <c r="AA16" s="7">
        <f t="shared" ref="AA16" si="28">ROUND(Z16*13.15%,0)</f>
        <v>947</v>
      </c>
      <c r="AB16" s="7">
        <f>ROUND($G16/$H16*($I16+J16),0)</f>
        <v>7201</v>
      </c>
      <c r="AC16" s="7">
        <f t="shared" ref="AC16" si="29">ROUNDUP(AB16*4.75%,0)</f>
        <v>343</v>
      </c>
      <c r="AE16" s="36"/>
      <c r="AF16" s="36"/>
    </row>
    <row r="17" spans="1:30" ht="24.95" customHeight="1" x14ac:dyDescent="0.25">
      <c r="A17" s="1"/>
      <c r="B17" s="55"/>
      <c r="C17" s="75"/>
      <c r="D17" s="56"/>
      <c r="E17" s="3"/>
      <c r="F17" s="3"/>
      <c r="G17" s="4"/>
      <c r="H17" s="5"/>
      <c r="I17" s="11"/>
      <c r="J17" s="11"/>
      <c r="K17" s="3"/>
      <c r="L17" s="3"/>
      <c r="M17" s="3"/>
      <c r="N17" s="6"/>
      <c r="O17" s="7"/>
      <c r="P17" s="7"/>
      <c r="Q17" s="8"/>
      <c r="R17" s="3"/>
      <c r="S17" s="3"/>
      <c r="T17" s="9"/>
      <c r="U17" s="34"/>
      <c r="V17" s="7"/>
      <c r="W17" s="5"/>
      <c r="X17" s="6">
        <f t="shared" si="26"/>
        <v>0</v>
      </c>
      <c r="Y17" s="7"/>
      <c r="Z17" s="7"/>
      <c r="AA17" s="7"/>
      <c r="AB17" s="7"/>
      <c r="AC17" s="7"/>
    </row>
    <row r="18" spans="1:30" ht="24.95" customHeight="1" x14ac:dyDescent="0.25">
      <c r="A18" s="44"/>
      <c r="B18" s="44"/>
      <c r="C18" s="76"/>
      <c r="D18" s="12"/>
      <c r="E18" s="13"/>
      <c r="F18" s="13"/>
      <c r="G18" s="13"/>
      <c r="H18" s="13"/>
      <c r="I18" s="11">
        <f t="shared" ref="I18:AC18" si="30">SUM(I16:I17)</f>
        <v>25</v>
      </c>
      <c r="J18" s="11">
        <f t="shared" si="30"/>
        <v>0</v>
      </c>
      <c r="K18" s="59">
        <f t="shared" si="30"/>
        <v>7200.961538461539</v>
      </c>
      <c r="L18" s="59">
        <f t="shared" si="30"/>
        <v>0</v>
      </c>
      <c r="M18" s="59">
        <f t="shared" si="30"/>
        <v>0</v>
      </c>
      <c r="N18" s="59">
        <f t="shared" si="30"/>
        <v>7200.961538461539</v>
      </c>
      <c r="O18" s="59">
        <f t="shared" si="30"/>
        <v>864</v>
      </c>
      <c r="P18" s="59">
        <f t="shared" si="30"/>
        <v>127</v>
      </c>
      <c r="Q18" s="59">
        <f t="shared" si="30"/>
        <v>0</v>
      </c>
      <c r="R18" s="59">
        <f t="shared" si="30"/>
        <v>0</v>
      </c>
      <c r="S18" s="59">
        <f t="shared" si="30"/>
        <v>0</v>
      </c>
      <c r="T18" s="59">
        <f t="shared" si="30"/>
        <v>991</v>
      </c>
      <c r="U18" s="59">
        <f t="shared" si="30"/>
        <v>6209.961538461539</v>
      </c>
      <c r="V18" s="59">
        <f t="shared" si="30"/>
        <v>0</v>
      </c>
      <c r="W18" s="59">
        <f t="shared" si="30"/>
        <v>600.08012820512829</v>
      </c>
      <c r="X18" s="59">
        <f t="shared" si="30"/>
        <v>6810.041666666667</v>
      </c>
      <c r="Y18" s="59">
        <f t="shared" si="30"/>
        <v>0</v>
      </c>
      <c r="Z18" s="59">
        <f t="shared" si="30"/>
        <v>7201</v>
      </c>
      <c r="AA18" s="59">
        <f t="shared" si="30"/>
        <v>947</v>
      </c>
      <c r="AB18" s="59">
        <f t="shared" si="30"/>
        <v>7201</v>
      </c>
      <c r="AC18" s="59">
        <f t="shared" si="30"/>
        <v>343</v>
      </c>
      <c r="AD18" s="43"/>
    </row>
    <row r="19" spans="1:30" ht="15.75" x14ac:dyDescent="0.25">
      <c r="A19" s="1">
        <v>1</v>
      </c>
      <c r="B19" s="55" t="s">
        <v>137</v>
      </c>
      <c r="C19" s="75" t="s">
        <v>104</v>
      </c>
      <c r="D19" s="69" t="s">
        <v>80</v>
      </c>
      <c r="E19" s="3">
        <v>7489</v>
      </c>
      <c r="F19" s="3">
        <v>0</v>
      </c>
      <c r="G19" s="4">
        <f>E19+F19</f>
        <v>7489</v>
      </c>
      <c r="H19" s="5">
        <v>26</v>
      </c>
      <c r="I19" s="11">
        <v>26</v>
      </c>
      <c r="J19" s="11">
        <v>1</v>
      </c>
      <c r="K19" s="3">
        <f>E19/H19*I19</f>
        <v>7489</v>
      </c>
      <c r="L19" s="3">
        <f>F19/H19*I19</f>
        <v>0</v>
      </c>
      <c r="M19" s="3">
        <f>G19/H19*J19</f>
        <v>288.03846153846155</v>
      </c>
      <c r="N19" s="6">
        <f>SUM(K19:M19)</f>
        <v>7777.0384615384619</v>
      </c>
      <c r="O19" s="7">
        <f>ROUND(Z19*12%,0)</f>
        <v>899</v>
      </c>
      <c r="P19" s="7">
        <f>ROUNDUP(AB19*1.75%,0)</f>
        <v>137</v>
      </c>
      <c r="Q19" s="8">
        <f>IF(N19&gt;40000,200,IF(N19&gt;25000,150,IF(N19&gt;15000,130,IF(N19&gt;10000,110,IF(N19&gt;8500,0,)))))</f>
        <v>0</v>
      </c>
      <c r="R19" s="3">
        <v>0</v>
      </c>
      <c r="S19" s="3">
        <v>0</v>
      </c>
      <c r="T19" s="9">
        <f>SUM(O19:S19)</f>
        <v>1036</v>
      </c>
      <c r="U19" s="34">
        <f>N19-T19</f>
        <v>6741.0384615384619</v>
      </c>
      <c r="V19" s="7">
        <f>((E19/H19*J19)*13.36%)</f>
        <v>38.481938461538462</v>
      </c>
      <c r="W19" s="5">
        <f>((E19/12)/H19*(I19))</f>
        <v>624.08333333333337</v>
      </c>
      <c r="X19" s="6">
        <f>U19+W19+V19</f>
        <v>7403.6037333333334</v>
      </c>
      <c r="Y19" s="7"/>
      <c r="Z19" s="7">
        <f>ROUND(IF(($K19)&gt;15000,15000,IF(($K19)&lt;=15000,($K19))),0)</f>
        <v>7489</v>
      </c>
      <c r="AA19" s="7">
        <f t="shared" ref="AA19:AA20" si="31">ROUND(Z19*13.15%,0)</f>
        <v>985</v>
      </c>
      <c r="AB19" s="7">
        <f>ROUND($G19/$H19*($I19+J19),0)</f>
        <v>7777</v>
      </c>
      <c r="AC19" s="7">
        <f>ROUNDUP(AB19*4.75%,0)</f>
        <v>370</v>
      </c>
    </row>
    <row r="20" spans="1:30" ht="24" x14ac:dyDescent="0.25">
      <c r="A20" s="1">
        <v>3</v>
      </c>
      <c r="B20" s="55" t="s">
        <v>139</v>
      </c>
      <c r="C20" s="75" t="s">
        <v>105</v>
      </c>
      <c r="D20" s="69" t="s">
        <v>152</v>
      </c>
      <c r="E20" s="3">
        <v>7489</v>
      </c>
      <c r="F20" s="3">
        <v>0</v>
      </c>
      <c r="G20" s="4">
        <f t="shared" ref="G20" si="32">E20+F20</f>
        <v>7489</v>
      </c>
      <c r="H20" s="5">
        <v>26</v>
      </c>
      <c r="I20" s="11">
        <v>6</v>
      </c>
      <c r="J20" s="11"/>
      <c r="K20" s="3">
        <f t="shared" ref="K20" si="33">E20/H20*I20</f>
        <v>1728.2307692307693</v>
      </c>
      <c r="L20" s="3">
        <f t="shared" ref="L20" si="34">F20/H20*I20</f>
        <v>0</v>
      </c>
      <c r="M20" s="3">
        <f t="shared" ref="M20" si="35">G20/H20*J20</f>
        <v>0</v>
      </c>
      <c r="N20" s="6">
        <f t="shared" ref="N20" si="36">SUM(K20:M20)</f>
        <v>1728.2307692307693</v>
      </c>
      <c r="O20" s="7">
        <f t="shared" ref="O20" si="37">ROUND(Z20*12%,0)</f>
        <v>207</v>
      </c>
      <c r="P20" s="7">
        <f t="shared" ref="P20" si="38">ROUNDUP(AB20*1.75%,0)</f>
        <v>31</v>
      </c>
      <c r="Q20" s="8">
        <f t="shared" ref="Q20" si="39">IF(N20&gt;40000,200,IF(N20&gt;25000,150,IF(N20&gt;15000,130,IF(N20&gt;10000,110,IF(N20&gt;8500,0,)))))</f>
        <v>0</v>
      </c>
      <c r="R20" s="3">
        <v>0</v>
      </c>
      <c r="S20" s="3">
        <v>0</v>
      </c>
      <c r="T20" s="9">
        <f t="shared" ref="T20" si="40">SUM(O20:S20)</f>
        <v>238</v>
      </c>
      <c r="U20" s="34">
        <f t="shared" ref="U20" si="41">N20-T20</f>
        <v>1490.2307692307693</v>
      </c>
      <c r="V20" s="7">
        <f>((E20/H20*J20)*13.36%)</f>
        <v>0</v>
      </c>
      <c r="W20" s="5">
        <f>((E20/12)/H20*(I20))</f>
        <v>144.01923076923077</v>
      </c>
      <c r="X20" s="6">
        <f t="shared" ref="X20:X21" si="42">U20+W20+V20</f>
        <v>1634.25</v>
      </c>
      <c r="Y20" s="7"/>
      <c r="Z20" s="7">
        <f t="shared" ref="Z20" si="43">ROUND(IF(($K20)&gt;15000,15000,IF(($K20)&lt;=15000,($K20))),0)</f>
        <v>1728</v>
      </c>
      <c r="AA20" s="7">
        <f t="shared" si="31"/>
        <v>227</v>
      </c>
      <c r="AB20" s="7">
        <f>ROUND($G20/$H20*($I20+J20),0)</f>
        <v>1728</v>
      </c>
      <c r="AC20" s="7">
        <f t="shared" ref="AC20" si="44">ROUNDUP(AB20*4.75%,0)</f>
        <v>83</v>
      </c>
    </row>
    <row r="21" spans="1:30" ht="15.75" x14ac:dyDescent="0.25">
      <c r="A21" s="1"/>
      <c r="B21" s="55"/>
      <c r="C21" s="75"/>
      <c r="D21" s="56"/>
      <c r="E21" s="3"/>
      <c r="F21" s="3"/>
      <c r="G21" s="4"/>
      <c r="H21" s="5"/>
      <c r="I21" s="11"/>
      <c r="J21" s="11"/>
      <c r="K21" s="3"/>
      <c r="L21" s="3"/>
      <c r="M21" s="3"/>
      <c r="N21" s="6"/>
      <c r="O21" s="7"/>
      <c r="P21" s="7"/>
      <c r="Q21" s="8"/>
      <c r="R21" s="3"/>
      <c r="S21" s="3"/>
      <c r="T21" s="9"/>
      <c r="U21" s="34"/>
      <c r="V21" s="7"/>
      <c r="W21" s="5"/>
      <c r="X21" s="6">
        <f t="shared" si="42"/>
        <v>0</v>
      </c>
      <c r="Y21" s="7"/>
      <c r="Z21" s="7"/>
      <c r="AA21" s="7"/>
      <c r="AB21" s="7"/>
      <c r="AC21" s="7"/>
    </row>
    <row r="22" spans="1:30" x14ac:dyDescent="0.25">
      <c r="A22" s="44"/>
      <c r="B22" s="44"/>
      <c r="C22" s="76"/>
      <c r="D22" s="12"/>
      <c r="E22" s="13"/>
      <c r="F22" s="13"/>
      <c r="G22" s="13"/>
      <c r="H22" s="13"/>
      <c r="I22" s="11">
        <f t="shared" ref="I22:AC22" si="45">SUM(I19:I21)</f>
        <v>32</v>
      </c>
      <c r="J22" s="11">
        <f t="shared" si="45"/>
        <v>1</v>
      </c>
      <c r="K22" s="59">
        <f t="shared" si="45"/>
        <v>9217.2307692307695</v>
      </c>
      <c r="L22" s="59">
        <f t="shared" si="45"/>
        <v>0</v>
      </c>
      <c r="M22" s="59">
        <f t="shared" si="45"/>
        <v>288.03846153846155</v>
      </c>
      <c r="N22" s="59">
        <f t="shared" si="45"/>
        <v>9505.2692307692305</v>
      </c>
      <c r="O22" s="59">
        <f t="shared" si="45"/>
        <v>1106</v>
      </c>
      <c r="P22" s="59">
        <f t="shared" si="45"/>
        <v>168</v>
      </c>
      <c r="Q22" s="59">
        <f t="shared" si="45"/>
        <v>0</v>
      </c>
      <c r="R22" s="59">
        <f t="shared" si="45"/>
        <v>0</v>
      </c>
      <c r="S22" s="59">
        <f t="shared" si="45"/>
        <v>0</v>
      </c>
      <c r="T22" s="59">
        <f t="shared" si="45"/>
        <v>1274</v>
      </c>
      <c r="U22" s="59">
        <f t="shared" si="45"/>
        <v>8231.2692307692305</v>
      </c>
      <c r="V22" s="59">
        <f t="shared" si="45"/>
        <v>38.481938461538462</v>
      </c>
      <c r="W22" s="59">
        <f t="shared" si="45"/>
        <v>768.1025641025642</v>
      </c>
      <c r="X22" s="59">
        <f t="shared" si="45"/>
        <v>9037.8537333333334</v>
      </c>
      <c r="Y22" s="59">
        <f t="shared" si="45"/>
        <v>0</v>
      </c>
      <c r="Z22" s="59">
        <f t="shared" si="45"/>
        <v>9217</v>
      </c>
      <c r="AA22" s="59">
        <f t="shared" si="45"/>
        <v>1212</v>
      </c>
      <c r="AB22" s="59">
        <f t="shared" si="45"/>
        <v>9505</v>
      </c>
      <c r="AC22" s="59">
        <f t="shared" si="45"/>
        <v>453</v>
      </c>
    </row>
  </sheetData>
  <mergeCells count="9">
    <mergeCell ref="A6:C6"/>
    <mergeCell ref="D6:I6"/>
    <mergeCell ref="A7:C7"/>
    <mergeCell ref="D7:I7"/>
    <mergeCell ref="A1:Y1"/>
    <mergeCell ref="A2:Y2"/>
    <mergeCell ref="A3:Y3"/>
    <mergeCell ref="A5:C5"/>
    <mergeCell ref="D5:I5"/>
  </mergeCells>
  <printOptions horizontalCentered="1"/>
  <pageMargins left="0" right="0" top="0.23" bottom="0" header="0" footer="0"/>
  <pageSetup paperSize="9" scale="65" orientation="landscape" copies="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16"/>
  <sheetViews>
    <sheetView view="pageBreakPreview" zoomScaleNormal="100" zoomScaleSheetLayoutView="100" workbookViewId="0">
      <pane xSplit="9" ySplit="8" topLeftCell="J9" activePane="bottomRight" state="frozen"/>
      <selection activeCell="J19" sqref="J19"/>
      <selection pane="topRight" activeCell="J19" sqref="J19"/>
      <selection pane="bottomLeft" activeCell="J19" sqref="J19"/>
      <selection pane="bottomRight" activeCell="O20" sqref="O20"/>
    </sheetView>
  </sheetViews>
  <sheetFormatPr defaultRowHeight="15" x14ac:dyDescent="0.25"/>
  <cols>
    <col min="1" max="1" width="3.7109375" style="26" customWidth="1"/>
    <col min="2" max="2" width="12.85546875" style="26" customWidth="1"/>
    <col min="3" max="3" width="14.5703125" style="28" bestFit="1" customWidth="1"/>
    <col min="4" max="4" width="12.5703125" style="28" bestFit="1" customWidth="1"/>
    <col min="5" max="5" width="5.7109375" style="26" bestFit="1" customWidth="1"/>
    <col min="6" max="6" width="8" style="26" customWidth="1"/>
    <col min="7" max="7" width="6.5703125" style="26" bestFit="1" customWidth="1"/>
    <col min="8" max="8" width="6.28515625" style="26" bestFit="1" customWidth="1"/>
    <col min="9" max="9" width="6.5703125" style="26" bestFit="1" customWidth="1"/>
    <col min="10" max="10" width="5.42578125" style="26" customWidth="1"/>
    <col min="11" max="11" width="6.5703125" style="26" bestFit="1" customWidth="1"/>
    <col min="12" max="12" width="8.28515625" style="26" bestFit="1" customWidth="1"/>
    <col min="13" max="13" width="8.5703125" style="26" bestFit="1" customWidth="1"/>
    <col min="14" max="14" width="6.5703125" style="26" bestFit="1" customWidth="1"/>
    <col min="15" max="15" width="7.7109375" style="26" bestFit="1" customWidth="1"/>
    <col min="16" max="16" width="5.85546875" style="26" customWidth="1"/>
    <col min="17" max="17" width="9.5703125" style="26" bestFit="1" customWidth="1"/>
    <col min="18" max="18" width="9.140625" style="26" bestFit="1" customWidth="1"/>
    <col min="19" max="19" width="11" style="26" bestFit="1" customWidth="1"/>
    <col min="20" max="20" width="8.140625" style="26" bestFit="1" customWidth="1"/>
    <col min="21" max="21" width="8.42578125" style="26" bestFit="1" customWidth="1"/>
    <col min="22" max="22" width="8.5703125" style="26" customWidth="1"/>
    <col min="23" max="23" width="5.85546875" style="26" customWidth="1"/>
    <col min="24" max="24" width="6.5703125" style="26" bestFit="1" customWidth="1"/>
    <col min="25" max="25" width="22.85546875" style="26" customWidth="1"/>
    <col min="26" max="26" width="8.42578125" style="26" bestFit="1" customWidth="1"/>
    <col min="27" max="27" width="11" style="26" bestFit="1" customWidth="1"/>
    <col min="28" max="28" width="8.85546875" style="26" bestFit="1" customWidth="1"/>
    <col min="29" max="29" width="11.42578125" style="26" customWidth="1"/>
    <col min="30" max="30" width="9.140625" style="26"/>
    <col min="31" max="31" width="9.5703125" style="26" bestFit="1" customWidth="1"/>
    <col min="32" max="32" width="8.7109375" style="26" bestFit="1" customWidth="1"/>
    <col min="33" max="16384" width="9.140625" style="26"/>
  </cols>
  <sheetData>
    <row r="1" spans="1:30" ht="28.5" x14ac:dyDescent="0.25">
      <c r="A1" s="82" t="s">
        <v>42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</row>
    <row r="2" spans="1:30" ht="18" x14ac:dyDescent="0.35">
      <c r="A2" s="83" t="s">
        <v>87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</row>
    <row r="3" spans="1:30" ht="18.75" x14ac:dyDescent="0.3">
      <c r="A3" s="87" t="str">
        <f>'HO '!A3:Y3</f>
        <v>Wage Sheet for the month of October, 2017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</row>
    <row r="4" spans="1:30" x14ac:dyDescent="0.25">
      <c r="A4" s="62"/>
      <c r="B4" s="62"/>
      <c r="C4" s="73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71"/>
      <c r="V4" s="62"/>
      <c r="W4" s="62"/>
      <c r="X4" s="71"/>
      <c r="Y4" s="62"/>
    </row>
    <row r="5" spans="1:30" ht="15" customHeight="1" x14ac:dyDescent="0.25">
      <c r="A5" s="84" t="s">
        <v>88</v>
      </c>
      <c r="B5" s="84"/>
      <c r="C5" s="84"/>
      <c r="D5" s="86" t="s">
        <v>66</v>
      </c>
      <c r="E5" s="86"/>
      <c r="F5" s="86"/>
      <c r="G5" s="86"/>
      <c r="H5" s="86"/>
      <c r="I5" s="86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71"/>
      <c r="V5" s="62"/>
      <c r="W5" s="62"/>
      <c r="X5" s="71"/>
      <c r="Y5" s="62"/>
    </row>
    <row r="6" spans="1:30" ht="15" customHeight="1" x14ac:dyDescent="0.25">
      <c r="A6" s="84" t="s">
        <v>89</v>
      </c>
      <c r="B6" s="84"/>
      <c r="C6" s="84"/>
      <c r="D6" s="86" t="s">
        <v>86</v>
      </c>
      <c r="E6" s="86"/>
      <c r="F6" s="86"/>
      <c r="G6" s="86"/>
      <c r="H6" s="86"/>
      <c r="I6" s="86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71"/>
      <c r="V6" s="62"/>
      <c r="W6" s="62"/>
      <c r="X6" s="71"/>
      <c r="Y6" s="62"/>
    </row>
    <row r="7" spans="1:30" ht="15" customHeight="1" x14ac:dyDescent="0.25">
      <c r="A7" s="85" t="s">
        <v>90</v>
      </c>
      <c r="B7" s="85"/>
      <c r="C7" s="85"/>
      <c r="D7" s="86" t="s">
        <v>84</v>
      </c>
      <c r="E7" s="86"/>
      <c r="F7" s="86"/>
      <c r="G7" s="86"/>
      <c r="H7" s="86"/>
      <c r="I7" s="86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71"/>
      <c r="V7" s="62"/>
      <c r="W7" s="62"/>
      <c r="X7" s="71"/>
      <c r="Y7" s="62"/>
    </row>
    <row r="8" spans="1:30" ht="36" x14ac:dyDescent="0.25">
      <c r="A8" s="63" t="s">
        <v>0</v>
      </c>
      <c r="B8" s="63" t="s">
        <v>39</v>
      </c>
      <c r="C8" s="63" t="s">
        <v>1</v>
      </c>
      <c r="D8" s="64" t="s">
        <v>2</v>
      </c>
      <c r="E8" s="65" t="s">
        <v>3</v>
      </c>
      <c r="F8" s="65" t="s">
        <v>4</v>
      </c>
      <c r="G8" s="65" t="s">
        <v>5</v>
      </c>
      <c r="H8" s="66" t="s">
        <v>6</v>
      </c>
      <c r="I8" s="66" t="s">
        <v>7</v>
      </c>
      <c r="J8" s="66" t="s">
        <v>40</v>
      </c>
      <c r="K8" s="66" t="s">
        <v>8</v>
      </c>
      <c r="L8" s="66" t="s">
        <v>25</v>
      </c>
      <c r="M8" s="66" t="s">
        <v>65</v>
      </c>
      <c r="N8" s="65" t="s">
        <v>9</v>
      </c>
      <c r="O8" s="65" t="s">
        <v>14</v>
      </c>
      <c r="P8" s="65" t="s">
        <v>15</v>
      </c>
      <c r="Q8" s="65" t="s">
        <v>16</v>
      </c>
      <c r="R8" s="65" t="s">
        <v>17</v>
      </c>
      <c r="S8" s="65" t="s">
        <v>18</v>
      </c>
      <c r="T8" s="65" t="s">
        <v>19</v>
      </c>
      <c r="U8" s="65" t="s">
        <v>20</v>
      </c>
      <c r="V8" s="65" t="s">
        <v>41</v>
      </c>
      <c r="W8" s="65" t="s">
        <v>21</v>
      </c>
      <c r="X8" s="65" t="s">
        <v>22</v>
      </c>
      <c r="Y8" s="65" t="s">
        <v>23</v>
      </c>
      <c r="Z8" s="67" t="s">
        <v>10</v>
      </c>
      <c r="AA8" s="65" t="s">
        <v>11</v>
      </c>
      <c r="AB8" s="67" t="s">
        <v>12</v>
      </c>
      <c r="AC8" s="65" t="s">
        <v>13</v>
      </c>
    </row>
    <row r="9" spans="1:30" ht="15.75" x14ac:dyDescent="0.25">
      <c r="A9" s="1">
        <v>1</v>
      </c>
      <c r="B9" s="55" t="s">
        <v>140</v>
      </c>
      <c r="C9" s="10" t="s">
        <v>69</v>
      </c>
      <c r="D9" s="56" t="s">
        <v>24</v>
      </c>
      <c r="E9" s="3">
        <v>7489</v>
      </c>
      <c r="F9" s="3">
        <f>ROUND((E9*50%)/8*4,0)</f>
        <v>1872</v>
      </c>
      <c r="G9" s="4">
        <f>E9+F9</f>
        <v>9361</v>
      </c>
      <c r="H9" s="5">
        <v>26</v>
      </c>
      <c r="I9" s="11"/>
      <c r="J9" s="11"/>
      <c r="K9" s="3">
        <f>E9/H9*I9</f>
        <v>0</v>
      </c>
      <c r="L9" s="3">
        <f>F9/H9*I9</f>
        <v>0</v>
      </c>
      <c r="M9" s="3">
        <f>G9/H9*J9</f>
        <v>0</v>
      </c>
      <c r="N9" s="6">
        <f>SUM(K9:M9)</f>
        <v>0</v>
      </c>
      <c r="O9" s="7">
        <f>ROUND(Z9*12%,0)</f>
        <v>0</v>
      </c>
      <c r="P9" s="7">
        <f>ROUNDUP(AB9*1.75%,0)</f>
        <v>0</v>
      </c>
      <c r="Q9" s="8">
        <f>IF(N9&gt;40000,200,IF(N9&gt;25000,150,IF(N9&gt;15000,130,IF(N9&gt;10000,110,IF(N9&gt;8500,0,)))))</f>
        <v>0</v>
      </c>
      <c r="R9" s="3">
        <v>0</v>
      </c>
      <c r="S9" s="3">
        <v>0</v>
      </c>
      <c r="T9" s="9">
        <f>SUM(O9:S9)</f>
        <v>0</v>
      </c>
      <c r="U9" s="34">
        <f>N9-T9</f>
        <v>0</v>
      </c>
      <c r="V9" s="7">
        <f>((E9/H9*J9)*13.36%)</f>
        <v>0</v>
      </c>
      <c r="W9" s="5">
        <f>((E9/12)/H9*(I9))</f>
        <v>0</v>
      </c>
      <c r="X9" s="6">
        <f>U9+W9+V9</f>
        <v>0</v>
      </c>
      <c r="Y9" s="7"/>
      <c r="Z9" s="7">
        <f>ROUND(IF(($K9)&gt;15000,15000,IF(($K9)&lt;=15000,($K9))),0)</f>
        <v>0</v>
      </c>
      <c r="AA9" s="7">
        <f>ROUND(Z9*13.36%,0)</f>
        <v>0</v>
      </c>
      <c r="AB9" s="7">
        <f>ROUND($G9/$H9*($I9+J9),0)</f>
        <v>0</v>
      </c>
      <c r="AC9" s="7">
        <f>ROUNDUP(AB9*4.75%,0)</f>
        <v>0</v>
      </c>
    </row>
    <row r="10" spans="1:30" ht="15.75" x14ac:dyDescent="0.25">
      <c r="A10" s="1">
        <v>2</v>
      </c>
      <c r="B10" s="55" t="s">
        <v>141</v>
      </c>
      <c r="C10" s="10" t="s">
        <v>70</v>
      </c>
      <c r="D10" s="56" t="s">
        <v>24</v>
      </c>
      <c r="E10" s="3">
        <v>7489</v>
      </c>
      <c r="F10" s="3">
        <f t="shared" ref="F10:F11" si="0">ROUND((E10*50%)/8*4,0)</f>
        <v>1872</v>
      </c>
      <c r="G10" s="4">
        <f t="shared" ref="G10:G11" si="1">E10+F10</f>
        <v>9361</v>
      </c>
      <c r="H10" s="5">
        <v>26</v>
      </c>
      <c r="I10" s="11">
        <v>26</v>
      </c>
      <c r="J10" s="11">
        <v>2</v>
      </c>
      <c r="K10" s="3">
        <f t="shared" ref="K10:K11" si="2">E10/H10*I10</f>
        <v>7489</v>
      </c>
      <c r="L10" s="3">
        <f t="shared" ref="L10:L11" si="3">F10/H10*I10</f>
        <v>1872</v>
      </c>
      <c r="M10" s="3">
        <f t="shared" ref="M10:M11" si="4">G10/H10*J10</f>
        <v>720.07692307692309</v>
      </c>
      <c r="N10" s="6">
        <f t="shared" ref="N10:N14" si="5">SUM(K10:M10)</f>
        <v>10081.076923076924</v>
      </c>
      <c r="O10" s="7">
        <f t="shared" ref="O10:O11" si="6">ROUND(Z10*12%,0)</f>
        <v>899</v>
      </c>
      <c r="P10" s="7">
        <f t="shared" ref="P10:P11" si="7">ROUNDUP(AB10*1.75%,0)</f>
        <v>177</v>
      </c>
      <c r="Q10" s="8">
        <f t="shared" ref="Q10:Q11" si="8">IF(N10&gt;40000,200,IF(N10&gt;25000,150,IF(N10&gt;15000,130,IF(N10&gt;10000,110,IF(N10&gt;8500,0,)))))</f>
        <v>110</v>
      </c>
      <c r="R10" s="3">
        <v>0</v>
      </c>
      <c r="S10" s="3">
        <v>0</v>
      </c>
      <c r="T10" s="9">
        <f t="shared" ref="T10:T11" si="9">SUM(O10:S10)</f>
        <v>1186</v>
      </c>
      <c r="U10" s="34">
        <f t="shared" ref="U10:U11" si="10">N10-T10</f>
        <v>8895.0769230769238</v>
      </c>
      <c r="V10" s="7">
        <f>((E10/H10*J10)*13.36%)</f>
        <v>76.963876923076924</v>
      </c>
      <c r="W10" s="5">
        <f>((E10/12)/H10*(I10))</f>
        <v>624.08333333333337</v>
      </c>
      <c r="X10" s="6">
        <f t="shared" ref="X10:X14" si="11">U10+W10+V10</f>
        <v>9596.1241333333346</v>
      </c>
      <c r="Y10" s="7"/>
      <c r="Z10" s="7">
        <f t="shared" ref="Z10:Z13" si="12">ROUND(IF(($K10)&gt;15000,15000,IF(($K10)&lt;=15000,($K10))),0)</f>
        <v>7489</v>
      </c>
      <c r="AA10" s="7">
        <f t="shared" ref="AA10:AA11" si="13">ROUND(Z10*13.36%,0)</f>
        <v>1001</v>
      </c>
      <c r="AB10" s="7">
        <f>ROUND($G10/$H10*($I10+J10),0)</f>
        <v>10081</v>
      </c>
      <c r="AC10" s="7">
        <f t="shared" ref="AC10:AC11" si="14">ROUNDUP(AB10*4.75%,0)</f>
        <v>479</v>
      </c>
    </row>
    <row r="11" spans="1:30" ht="15.75" x14ac:dyDescent="0.25">
      <c r="A11" s="1">
        <v>3</v>
      </c>
      <c r="B11" s="55" t="s">
        <v>142</v>
      </c>
      <c r="C11" s="10" t="s">
        <v>154</v>
      </c>
      <c r="D11" s="56" t="s">
        <v>24</v>
      </c>
      <c r="E11" s="3">
        <v>7489</v>
      </c>
      <c r="F11" s="3">
        <f t="shared" si="0"/>
        <v>1872</v>
      </c>
      <c r="G11" s="4">
        <f t="shared" si="1"/>
        <v>9361</v>
      </c>
      <c r="H11" s="5">
        <v>26</v>
      </c>
      <c r="I11" s="11">
        <v>26</v>
      </c>
      <c r="J11" s="11">
        <v>3</v>
      </c>
      <c r="K11" s="3">
        <f t="shared" si="2"/>
        <v>7489</v>
      </c>
      <c r="L11" s="3">
        <f t="shared" si="3"/>
        <v>1872</v>
      </c>
      <c r="M11" s="3">
        <f t="shared" si="4"/>
        <v>1080.1153846153848</v>
      </c>
      <c r="N11" s="6">
        <f t="shared" si="5"/>
        <v>10441.115384615385</v>
      </c>
      <c r="O11" s="7">
        <f t="shared" si="6"/>
        <v>899</v>
      </c>
      <c r="P11" s="7">
        <f t="shared" si="7"/>
        <v>183</v>
      </c>
      <c r="Q11" s="8">
        <f t="shared" si="8"/>
        <v>110</v>
      </c>
      <c r="R11" s="3">
        <v>0</v>
      </c>
      <c r="S11" s="3">
        <v>0</v>
      </c>
      <c r="T11" s="9">
        <f t="shared" si="9"/>
        <v>1192</v>
      </c>
      <c r="U11" s="34">
        <f t="shared" si="10"/>
        <v>9249.1153846153848</v>
      </c>
      <c r="V11" s="7">
        <f>((E11/H11*J11)*13.36%)</f>
        <v>115.44581538461539</v>
      </c>
      <c r="W11" s="5">
        <f>((E11/12)/H11*(I11))</f>
        <v>624.08333333333337</v>
      </c>
      <c r="X11" s="6">
        <f t="shared" si="11"/>
        <v>9988.644533333334</v>
      </c>
      <c r="Y11" s="7"/>
      <c r="Z11" s="7">
        <f t="shared" si="12"/>
        <v>7489</v>
      </c>
      <c r="AA11" s="7">
        <f t="shared" si="13"/>
        <v>1001</v>
      </c>
      <c r="AB11" s="7">
        <f>ROUND($G11/$H11*($I11+J11),0)</f>
        <v>10441</v>
      </c>
      <c r="AC11" s="7">
        <f t="shared" si="14"/>
        <v>496</v>
      </c>
    </row>
    <row r="12" spans="1:30" ht="15.75" x14ac:dyDescent="0.25">
      <c r="A12" s="1">
        <v>4</v>
      </c>
      <c r="B12" s="55" t="s">
        <v>161</v>
      </c>
      <c r="C12" s="81" t="s">
        <v>171</v>
      </c>
      <c r="D12" s="56" t="s">
        <v>24</v>
      </c>
      <c r="E12" s="3">
        <v>7490</v>
      </c>
      <c r="F12" s="3">
        <f t="shared" ref="F12" si="15">ROUND((E12*50%)/8*4,0)</f>
        <v>1873</v>
      </c>
      <c r="G12" s="4">
        <f t="shared" ref="G12" si="16">E12+F12</f>
        <v>9363</v>
      </c>
      <c r="H12" s="5">
        <v>26</v>
      </c>
      <c r="I12" s="11">
        <v>4</v>
      </c>
      <c r="J12" s="11"/>
      <c r="K12" s="3">
        <f t="shared" ref="K12" si="17">E12/H12*I12</f>
        <v>1152.3076923076924</v>
      </c>
      <c r="L12" s="3">
        <f t="shared" ref="L12" si="18">F12/H12*I12</f>
        <v>288.15384615384613</v>
      </c>
      <c r="M12" s="3">
        <f t="shared" ref="M12" si="19">G12/H12*J12</f>
        <v>0</v>
      </c>
      <c r="N12" s="6">
        <f t="shared" ref="N12" si="20">SUM(K12:M12)</f>
        <v>1440.4615384615386</v>
      </c>
      <c r="O12" s="7">
        <f t="shared" ref="O12" si="21">ROUND(Z12*12%,0)</f>
        <v>138</v>
      </c>
      <c r="P12" s="7">
        <f t="shared" ref="P12" si="22">ROUNDUP(AB12*1.75%,0)</f>
        <v>26</v>
      </c>
      <c r="Q12" s="8">
        <f t="shared" ref="Q12" si="23">IF(N12&gt;40000,200,IF(N12&gt;25000,150,IF(N12&gt;15000,130,IF(N12&gt;10000,110,IF(N12&gt;8500,0,)))))</f>
        <v>0</v>
      </c>
      <c r="R12" s="3">
        <v>0</v>
      </c>
      <c r="S12" s="3">
        <v>0</v>
      </c>
      <c r="T12" s="9">
        <f t="shared" ref="T12" si="24">SUM(O12:S12)</f>
        <v>164</v>
      </c>
      <c r="U12" s="34">
        <f t="shared" ref="U12" si="25">N12-T12</f>
        <v>1276.4615384615386</v>
      </c>
      <c r="V12" s="7">
        <f>((E12/H12*J12)*13.36%)</f>
        <v>0</v>
      </c>
      <c r="W12" s="5">
        <f>((E12/12)/H12*(I12))</f>
        <v>96.025641025641022</v>
      </c>
      <c r="X12" s="6">
        <f t="shared" ref="X12" si="26">U12+W12+V12</f>
        <v>1372.4871794871797</v>
      </c>
      <c r="Y12" s="7"/>
      <c r="Z12" s="7">
        <f t="shared" si="12"/>
        <v>1152</v>
      </c>
      <c r="AA12" s="7">
        <f t="shared" ref="AA12" si="27">ROUND(Z12*13.36%,0)</f>
        <v>154</v>
      </c>
      <c r="AB12" s="7">
        <f>ROUND($G12/$H12*($I12+J12),0)</f>
        <v>1440</v>
      </c>
      <c r="AC12" s="7">
        <f t="shared" ref="AC12" si="28">ROUNDUP(AB12*4.75%,0)</f>
        <v>69</v>
      </c>
    </row>
    <row r="13" spans="1:30" ht="15.75" x14ac:dyDescent="0.25">
      <c r="A13" s="1">
        <v>4</v>
      </c>
      <c r="B13" s="55" t="s">
        <v>172</v>
      </c>
      <c r="C13" s="81" t="s">
        <v>173</v>
      </c>
      <c r="D13" s="56" t="s">
        <v>24</v>
      </c>
      <c r="E13" s="3">
        <v>7490</v>
      </c>
      <c r="F13" s="3">
        <f t="shared" ref="F13" si="29">ROUND((E13*50%)/8*4,0)</f>
        <v>1873</v>
      </c>
      <c r="G13" s="4">
        <f t="shared" ref="G13" si="30">E13+F13</f>
        <v>9363</v>
      </c>
      <c r="H13" s="5">
        <v>26</v>
      </c>
      <c r="I13" s="11">
        <v>9</v>
      </c>
      <c r="J13" s="11"/>
      <c r="K13" s="3">
        <f t="shared" ref="K13" si="31">E13/H13*I13</f>
        <v>2592.6923076923076</v>
      </c>
      <c r="L13" s="3">
        <f t="shared" ref="L13" si="32">F13/H13*I13</f>
        <v>648.34615384615381</v>
      </c>
      <c r="M13" s="3">
        <f t="shared" ref="M13" si="33">G13/H13*J13</f>
        <v>0</v>
      </c>
      <c r="N13" s="6">
        <f t="shared" ref="N13" si="34">SUM(K13:M13)</f>
        <v>3241.0384615384614</v>
      </c>
      <c r="O13" s="7">
        <f t="shared" ref="O13" si="35">ROUND(Z13*12%,0)</f>
        <v>311</v>
      </c>
      <c r="P13" s="7">
        <f t="shared" ref="P13" si="36">ROUNDUP(AB13*1.75%,0)</f>
        <v>57</v>
      </c>
      <c r="Q13" s="8">
        <f t="shared" ref="Q13" si="37">IF(N13&gt;40000,200,IF(N13&gt;25000,150,IF(N13&gt;15000,130,IF(N13&gt;10000,110,IF(N13&gt;8500,0,)))))</f>
        <v>0</v>
      </c>
      <c r="R13" s="3">
        <v>0</v>
      </c>
      <c r="S13" s="3">
        <v>0</v>
      </c>
      <c r="T13" s="9">
        <f t="shared" ref="T13" si="38">SUM(O13:S13)</f>
        <v>368</v>
      </c>
      <c r="U13" s="34">
        <f t="shared" ref="U13" si="39">N13-T13</f>
        <v>2873.0384615384614</v>
      </c>
      <c r="V13" s="7">
        <f>((E13/H13*J13)*13.36%)</f>
        <v>0</v>
      </c>
      <c r="W13" s="5">
        <f>((E13/12)/H13*(I13))</f>
        <v>216.05769230769229</v>
      </c>
      <c r="X13" s="6">
        <f t="shared" ref="X13" si="40">U13+W13+V13</f>
        <v>3089.0961538461538</v>
      </c>
      <c r="Y13" s="7"/>
      <c r="Z13" s="7">
        <f t="shared" si="12"/>
        <v>2593</v>
      </c>
      <c r="AA13" s="7">
        <f t="shared" ref="AA13" si="41">ROUND(Z13*13.36%,0)</f>
        <v>346</v>
      </c>
      <c r="AB13" s="7">
        <f>ROUND($G13/$H13*($I13+J13),0)</f>
        <v>3241</v>
      </c>
      <c r="AC13" s="7">
        <f t="shared" ref="AC13" si="42">ROUNDUP(AB13*4.75%,0)</f>
        <v>154</v>
      </c>
    </row>
    <row r="14" spans="1:30" ht="15.75" x14ac:dyDescent="0.25">
      <c r="A14" s="1"/>
      <c r="B14" s="55"/>
      <c r="C14" s="10"/>
      <c r="D14" s="58"/>
      <c r="E14" s="3"/>
      <c r="F14" s="3"/>
      <c r="G14" s="4"/>
      <c r="H14" s="5"/>
      <c r="I14" s="11"/>
      <c r="J14" s="11"/>
      <c r="K14" s="3"/>
      <c r="L14" s="3"/>
      <c r="M14" s="3"/>
      <c r="N14" s="6">
        <f t="shared" si="5"/>
        <v>0</v>
      </c>
      <c r="O14" s="7"/>
      <c r="P14" s="7"/>
      <c r="Q14" s="8"/>
      <c r="R14" s="3"/>
      <c r="S14" s="3"/>
      <c r="T14" s="9"/>
      <c r="U14" s="34"/>
      <c r="V14" s="7"/>
      <c r="W14" s="5"/>
      <c r="X14" s="6">
        <f t="shared" si="11"/>
        <v>0</v>
      </c>
      <c r="Y14" s="7"/>
      <c r="Z14" s="7"/>
      <c r="AA14" s="7"/>
      <c r="AB14" s="7"/>
      <c r="AC14" s="7"/>
    </row>
    <row r="15" spans="1:30" x14ac:dyDescent="0.25">
      <c r="A15" s="44"/>
      <c r="B15" s="44"/>
      <c r="C15" s="57"/>
      <c r="D15" s="12"/>
      <c r="E15" s="13"/>
      <c r="F15" s="13"/>
      <c r="G15" s="13"/>
      <c r="H15" s="13"/>
      <c r="I15" s="11">
        <f t="shared" ref="I15:AC15" si="43">SUM(I9:I14)</f>
        <v>65</v>
      </c>
      <c r="J15" s="11">
        <f t="shared" si="43"/>
        <v>5</v>
      </c>
      <c r="K15" s="13">
        <f t="shared" si="43"/>
        <v>18723</v>
      </c>
      <c r="L15" s="13">
        <f t="shared" si="43"/>
        <v>4680.5</v>
      </c>
      <c r="M15" s="13">
        <f t="shared" si="43"/>
        <v>1800.1923076923078</v>
      </c>
      <c r="N15" s="13">
        <f t="shared" si="43"/>
        <v>25203.692307692309</v>
      </c>
      <c r="O15" s="13">
        <f t="shared" si="43"/>
        <v>2247</v>
      </c>
      <c r="P15" s="13">
        <f t="shared" si="43"/>
        <v>443</v>
      </c>
      <c r="Q15" s="13">
        <f t="shared" si="43"/>
        <v>220</v>
      </c>
      <c r="R15" s="13">
        <f t="shared" si="43"/>
        <v>0</v>
      </c>
      <c r="S15" s="13">
        <f t="shared" si="43"/>
        <v>0</v>
      </c>
      <c r="T15" s="13">
        <f t="shared" si="43"/>
        <v>2910</v>
      </c>
      <c r="U15" s="13">
        <f t="shared" si="43"/>
        <v>22293.692307692309</v>
      </c>
      <c r="V15" s="13">
        <f t="shared" si="43"/>
        <v>192.4096923076923</v>
      </c>
      <c r="W15" s="13">
        <f t="shared" si="43"/>
        <v>1560.2500000000002</v>
      </c>
      <c r="X15" s="13">
        <f t="shared" si="43"/>
        <v>24046.352000000003</v>
      </c>
      <c r="Y15" s="13">
        <f t="shared" si="43"/>
        <v>0</v>
      </c>
      <c r="Z15" s="13">
        <f t="shared" si="43"/>
        <v>18723</v>
      </c>
      <c r="AA15" s="13">
        <f t="shared" si="43"/>
        <v>2502</v>
      </c>
      <c r="AB15" s="13">
        <f t="shared" si="43"/>
        <v>25203</v>
      </c>
      <c r="AC15" s="13">
        <f t="shared" si="43"/>
        <v>1198</v>
      </c>
    </row>
    <row r="16" spans="1:30" x14ac:dyDescent="0.25">
      <c r="AD16" s="43"/>
    </row>
  </sheetData>
  <mergeCells count="9">
    <mergeCell ref="A6:C6"/>
    <mergeCell ref="D6:I6"/>
    <mergeCell ref="A7:C7"/>
    <mergeCell ref="D7:I7"/>
    <mergeCell ref="A1:Y1"/>
    <mergeCell ref="A2:Y2"/>
    <mergeCell ref="A3:Y3"/>
    <mergeCell ref="A5:C5"/>
    <mergeCell ref="D5:I5"/>
  </mergeCells>
  <printOptions horizontalCentered="1"/>
  <pageMargins left="0" right="0" top="0.23" bottom="0" header="0" footer="0"/>
  <pageSetup paperSize="9" scale="64" orientation="landscape" copies="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C18"/>
  <sheetViews>
    <sheetView view="pageBreakPreview" zoomScaleNormal="100" zoomScaleSheetLayoutView="100" workbookViewId="0">
      <pane xSplit="9" ySplit="8" topLeftCell="J9" activePane="bottomRight" state="frozen"/>
      <selection activeCell="J19" sqref="J19"/>
      <selection pane="topRight" activeCell="J19" sqref="J19"/>
      <selection pane="bottomLeft" activeCell="J19" sqref="J19"/>
      <selection pane="bottomRight" activeCell="A17" sqref="A17:XFD17"/>
    </sheetView>
  </sheetViews>
  <sheetFormatPr defaultRowHeight="15" x14ac:dyDescent="0.25"/>
  <cols>
    <col min="1" max="1" width="3.7109375" style="26" customWidth="1"/>
    <col min="2" max="2" width="12.7109375" style="26" customWidth="1"/>
    <col min="3" max="3" width="15" style="29" bestFit="1" customWidth="1"/>
    <col min="4" max="4" width="12.5703125" style="28" bestFit="1" customWidth="1"/>
    <col min="5" max="5" width="5.7109375" style="26" customWidth="1"/>
    <col min="6" max="6" width="8" style="26" customWidth="1"/>
    <col min="7" max="7" width="6.5703125" style="26" bestFit="1" customWidth="1"/>
    <col min="8" max="8" width="6.28515625" style="26" bestFit="1" customWidth="1"/>
    <col min="9" max="9" width="6.5703125" style="26" bestFit="1" customWidth="1"/>
    <col min="10" max="10" width="5.42578125" style="26" customWidth="1"/>
    <col min="11" max="11" width="6.5703125" style="26" bestFit="1" customWidth="1"/>
    <col min="12" max="12" width="8.28515625" style="26" bestFit="1" customWidth="1"/>
    <col min="13" max="13" width="8.5703125" style="26" bestFit="1" customWidth="1"/>
    <col min="14" max="14" width="6.5703125" style="26" bestFit="1" customWidth="1"/>
    <col min="15" max="15" width="7.7109375" style="26" bestFit="1" customWidth="1"/>
    <col min="16" max="16" width="5.85546875" style="26" customWidth="1"/>
    <col min="17" max="17" width="9.5703125" style="26" bestFit="1" customWidth="1"/>
    <col min="18" max="18" width="9.140625" style="26" bestFit="1" customWidth="1"/>
    <col min="19" max="19" width="11" style="26" bestFit="1" customWidth="1"/>
    <col min="20" max="20" width="8.140625" style="26" bestFit="1" customWidth="1"/>
    <col min="21" max="21" width="8.42578125" style="26" bestFit="1" customWidth="1"/>
    <col min="22" max="22" width="8.5703125" style="26" customWidth="1"/>
    <col min="23" max="23" width="5.85546875" style="26" customWidth="1"/>
    <col min="24" max="24" width="6.5703125" style="26" bestFit="1" customWidth="1"/>
    <col min="25" max="25" width="22.85546875" style="26" customWidth="1"/>
    <col min="26" max="26" width="8.42578125" style="26" bestFit="1" customWidth="1"/>
    <col min="27" max="27" width="11" style="26" bestFit="1" customWidth="1"/>
    <col min="28" max="28" width="8.85546875" style="26" bestFit="1" customWidth="1"/>
    <col min="29" max="29" width="11.42578125" style="26" customWidth="1"/>
    <col min="30" max="30" width="9.140625" style="26"/>
    <col min="31" max="31" width="9.5703125" style="26" bestFit="1" customWidth="1"/>
    <col min="32" max="32" width="8.7109375" style="26" bestFit="1" customWidth="1"/>
    <col min="33" max="16384" width="9.140625" style="26"/>
  </cols>
  <sheetData>
    <row r="1" spans="1:29" ht="28.5" x14ac:dyDescent="0.25">
      <c r="A1" s="82" t="s">
        <v>42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</row>
    <row r="2" spans="1:29" ht="18" x14ac:dyDescent="0.35">
      <c r="A2" s="83" t="s">
        <v>87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</row>
    <row r="3" spans="1:29" ht="18.75" x14ac:dyDescent="0.3">
      <c r="A3" s="87" t="str">
        <f>'HO '!A3:Y3</f>
        <v>Wage Sheet for the month of October, 2017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</row>
    <row r="4" spans="1:29" x14ac:dyDescent="0.25">
      <c r="A4" s="62"/>
      <c r="B4" s="62"/>
      <c r="C4" s="74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71"/>
      <c r="V4" s="62"/>
      <c r="W4" s="62"/>
      <c r="X4" s="71"/>
      <c r="Y4" s="62"/>
    </row>
    <row r="5" spans="1:29" ht="15" customHeight="1" x14ac:dyDescent="0.25">
      <c r="A5" s="84" t="s">
        <v>88</v>
      </c>
      <c r="B5" s="84"/>
      <c r="C5" s="84"/>
      <c r="D5" s="86" t="s">
        <v>78</v>
      </c>
      <c r="E5" s="86"/>
      <c r="F5" s="86"/>
      <c r="G5" s="86"/>
      <c r="H5" s="86"/>
      <c r="I5" s="86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71"/>
      <c r="V5" s="62"/>
      <c r="W5" s="62"/>
      <c r="X5" s="71"/>
      <c r="Y5" s="62"/>
    </row>
    <row r="6" spans="1:29" ht="36.75" customHeight="1" x14ac:dyDescent="0.25">
      <c r="A6" s="84" t="s">
        <v>89</v>
      </c>
      <c r="B6" s="84"/>
      <c r="C6" s="84"/>
      <c r="D6" s="89" t="s">
        <v>150</v>
      </c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79"/>
      <c r="S6" s="79"/>
      <c r="T6" s="79"/>
      <c r="U6" s="71"/>
      <c r="V6" s="62"/>
      <c r="W6" s="62"/>
      <c r="X6" s="71"/>
      <c r="Y6" s="62"/>
    </row>
    <row r="7" spans="1:29" ht="15" customHeight="1" x14ac:dyDescent="0.25">
      <c r="A7" s="85" t="s">
        <v>90</v>
      </c>
      <c r="B7" s="85"/>
      <c r="C7" s="85"/>
      <c r="D7" s="88" t="s">
        <v>149</v>
      </c>
      <c r="E7" s="88"/>
      <c r="F7" s="88"/>
      <c r="G7" s="88"/>
      <c r="H7" s="88"/>
      <c r="I7" s="88"/>
      <c r="J7" s="88"/>
      <c r="K7" s="88"/>
      <c r="L7" s="88"/>
      <c r="M7" s="88"/>
      <c r="N7" s="88"/>
      <c r="O7" s="62"/>
      <c r="P7" s="62"/>
      <c r="Q7" s="62"/>
      <c r="R7" s="62"/>
      <c r="S7" s="62"/>
      <c r="T7" s="62"/>
      <c r="U7" s="71"/>
      <c r="V7" s="62"/>
      <c r="W7" s="62"/>
      <c r="X7" s="71"/>
      <c r="Y7" s="62"/>
    </row>
    <row r="8" spans="1:29" ht="36" x14ac:dyDescent="0.25">
      <c r="A8" s="63" t="s">
        <v>0</v>
      </c>
      <c r="B8" s="63" t="s">
        <v>39</v>
      </c>
      <c r="C8" s="63" t="s">
        <v>1</v>
      </c>
      <c r="D8" s="64" t="s">
        <v>2</v>
      </c>
      <c r="E8" s="65" t="s">
        <v>3</v>
      </c>
      <c r="F8" s="65" t="s">
        <v>4</v>
      </c>
      <c r="G8" s="65" t="s">
        <v>5</v>
      </c>
      <c r="H8" s="66" t="s">
        <v>6</v>
      </c>
      <c r="I8" s="66" t="s">
        <v>7</v>
      </c>
      <c r="J8" s="66" t="s">
        <v>40</v>
      </c>
      <c r="K8" s="66" t="s">
        <v>8</v>
      </c>
      <c r="L8" s="66" t="s">
        <v>25</v>
      </c>
      <c r="M8" s="66" t="s">
        <v>65</v>
      </c>
      <c r="N8" s="65" t="s">
        <v>9</v>
      </c>
      <c r="O8" s="65" t="s">
        <v>14</v>
      </c>
      <c r="P8" s="65" t="s">
        <v>15</v>
      </c>
      <c r="Q8" s="65" t="s">
        <v>16</v>
      </c>
      <c r="R8" s="65" t="s">
        <v>17</v>
      </c>
      <c r="S8" s="65" t="s">
        <v>18</v>
      </c>
      <c r="T8" s="65" t="s">
        <v>19</v>
      </c>
      <c r="U8" s="65" t="s">
        <v>20</v>
      </c>
      <c r="V8" s="65" t="s">
        <v>41</v>
      </c>
      <c r="W8" s="65" t="s">
        <v>21</v>
      </c>
      <c r="X8" s="65" t="s">
        <v>22</v>
      </c>
      <c r="Y8" s="65" t="s">
        <v>23</v>
      </c>
      <c r="Z8" s="67" t="s">
        <v>10</v>
      </c>
      <c r="AA8" s="65" t="s">
        <v>11</v>
      </c>
      <c r="AB8" s="67" t="s">
        <v>12</v>
      </c>
      <c r="AC8" s="65" t="s">
        <v>13</v>
      </c>
    </row>
    <row r="9" spans="1:29" x14ac:dyDescent="0.25">
      <c r="A9" s="1">
        <v>1</v>
      </c>
      <c r="B9" s="55" t="s">
        <v>147</v>
      </c>
      <c r="C9" s="10" t="s">
        <v>69</v>
      </c>
      <c r="D9" s="56" t="s">
        <v>24</v>
      </c>
      <c r="E9" s="3">
        <v>7546</v>
      </c>
      <c r="F9" s="3">
        <f>ROUND((E9*50%)/8*4,0)</f>
        <v>1887</v>
      </c>
      <c r="G9" s="4">
        <f>E9+F9</f>
        <v>9433</v>
      </c>
      <c r="H9" s="5">
        <v>26</v>
      </c>
      <c r="I9" s="11">
        <v>1</v>
      </c>
      <c r="J9" s="11"/>
      <c r="K9" s="3">
        <f>E9/H9*I9</f>
        <v>290.23076923076923</v>
      </c>
      <c r="L9" s="3">
        <f>F9/H9*I9</f>
        <v>72.57692307692308</v>
      </c>
      <c r="M9" s="3">
        <f>G9/H9*J9</f>
        <v>0</v>
      </c>
      <c r="N9" s="6">
        <f>SUM(K9:M9)</f>
        <v>362.80769230769232</v>
      </c>
      <c r="O9" s="7">
        <f>ROUND(Z9*12%,0)</f>
        <v>35</v>
      </c>
      <c r="P9" s="7">
        <f>ROUNDUP(AB9*1.75%,0)</f>
        <v>7</v>
      </c>
      <c r="Q9" s="8">
        <f>IF(N9&gt;40000,200,IF(N9&gt;25000,150,IF(N9&gt;15000,130,IF(N9&gt;10000,110,IF(N9&gt;8500,0,)))))</f>
        <v>0</v>
      </c>
      <c r="R9" s="3">
        <v>0</v>
      </c>
      <c r="S9" s="3">
        <v>0</v>
      </c>
      <c r="T9" s="9">
        <f>SUM(O9:S9)</f>
        <v>42</v>
      </c>
      <c r="U9" s="6">
        <f>N9-T9</f>
        <v>320.80769230769232</v>
      </c>
      <c r="V9" s="7">
        <f>((E9/H9*J9)*13.36%)</f>
        <v>0</v>
      </c>
      <c r="W9" s="5">
        <f>((E9/12)/H9*(I9))</f>
        <v>24.185897435897438</v>
      </c>
      <c r="X9" s="6">
        <f>U9+W9+V9</f>
        <v>344.99358974358978</v>
      </c>
      <c r="Y9" s="7"/>
      <c r="Z9" s="7">
        <f>ROUND(IF(($K9)&gt;15000,15000,IF(($K9)&lt;=15000,($K9))),0)</f>
        <v>290</v>
      </c>
      <c r="AA9" s="7">
        <f>ROUND(Z9*13.36%,0)</f>
        <v>39</v>
      </c>
      <c r="AB9" s="7">
        <f>ROUND($G9/$H9*($I9+J9),0)</f>
        <v>363</v>
      </c>
      <c r="AC9" s="7">
        <f>ROUNDUP(AB9*4.75%,0)</f>
        <v>18</v>
      </c>
    </row>
    <row r="10" spans="1:29" x14ac:dyDescent="0.25">
      <c r="A10" s="1">
        <v>2</v>
      </c>
      <c r="B10" s="55" t="s">
        <v>148</v>
      </c>
      <c r="C10" s="10" t="s">
        <v>67</v>
      </c>
      <c r="D10" s="56" t="s">
        <v>24</v>
      </c>
      <c r="E10" s="3">
        <v>7546</v>
      </c>
      <c r="F10" s="3">
        <f t="shared" ref="F10" si="0">ROUND((E10*50%)/8*4,0)</f>
        <v>1887</v>
      </c>
      <c r="G10" s="4">
        <f t="shared" ref="G10" si="1">E10+F10</f>
        <v>9433</v>
      </c>
      <c r="H10" s="5">
        <v>26</v>
      </c>
      <c r="I10" s="11">
        <v>25</v>
      </c>
      <c r="J10" s="11">
        <v>0</v>
      </c>
      <c r="K10" s="3">
        <f t="shared" ref="K10" si="2">E10/H10*I10</f>
        <v>7255.7692307692305</v>
      </c>
      <c r="L10" s="3">
        <f t="shared" ref="L10" si="3">F10/H10*I10</f>
        <v>1814.4230769230769</v>
      </c>
      <c r="M10" s="3">
        <f t="shared" ref="M10" si="4">G10/H10*J10</f>
        <v>0</v>
      </c>
      <c r="N10" s="6">
        <f>SUM(K10:M10)</f>
        <v>9070.1923076923067</v>
      </c>
      <c r="O10" s="7">
        <f t="shared" ref="O10" si="5">ROUND(Z10*12%,0)</f>
        <v>871</v>
      </c>
      <c r="P10" s="7">
        <f t="shared" ref="P10" si="6">ROUNDUP(AB10*1.75%,0)</f>
        <v>159</v>
      </c>
      <c r="Q10" s="8">
        <f t="shared" ref="Q10" si="7">IF(N10&gt;40000,200,IF(N10&gt;25000,150,IF(N10&gt;15000,130,IF(N10&gt;10000,110,IF(N10&gt;8500,0,)))))</f>
        <v>0</v>
      </c>
      <c r="R10" s="3">
        <v>0</v>
      </c>
      <c r="S10" s="3">
        <v>0</v>
      </c>
      <c r="T10" s="9">
        <f t="shared" ref="T10" si="8">SUM(O10:S10)</f>
        <v>1030</v>
      </c>
      <c r="U10" s="6">
        <f t="shared" ref="U10" si="9">N10-T10</f>
        <v>8040.1923076923067</v>
      </c>
      <c r="V10" s="7">
        <f>((E10/H10*J10)*13.36%)</f>
        <v>0</v>
      </c>
      <c r="W10" s="5">
        <f>((E10/12)/H10*(I10))</f>
        <v>604.64743589743591</v>
      </c>
      <c r="X10" s="6">
        <f t="shared" ref="X10" si="10">U10+W10+V10</f>
        <v>8644.8397435897423</v>
      </c>
      <c r="Y10" s="7"/>
      <c r="Z10" s="7">
        <f t="shared" ref="Z10" si="11">ROUND(IF(($K10)&gt;15000,15000,IF(($K10)&lt;=15000,($K10))),0)</f>
        <v>7256</v>
      </c>
      <c r="AA10" s="7">
        <f t="shared" ref="AA10" si="12">ROUND(Z10*13.36%,0)</f>
        <v>969</v>
      </c>
      <c r="AB10" s="7">
        <f>ROUND($G10/$H10*($I10+J10),0)</f>
        <v>9070</v>
      </c>
      <c r="AC10" s="7">
        <f t="shared" ref="AC10" si="13">ROUNDUP(AB10*4.75%,0)</f>
        <v>431</v>
      </c>
    </row>
    <row r="11" spans="1:29" x14ac:dyDescent="0.25">
      <c r="A11" s="1"/>
      <c r="B11" s="55"/>
      <c r="C11" s="10"/>
      <c r="D11" s="58"/>
      <c r="E11" s="3"/>
      <c r="F11" s="3"/>
      <c r="G11" s="4"/>
      <c r="H11" s="5"/>
      <c r="I11" s="11"/>
      <c r="J11" s="11"/>
      <c r="K11" s="3"/>
      <c r="L11" s="3"/>
      <c r="M11" s="3"/>
      <c r="N11" s="6"/>
      <c r="O11" s="7"/>
      <c r="P11" s="7"/>
      <c r="Q11" s="8"/>
      <c r="R11" s="3"/>
      <c r="S11" s="3"/>
      <c r="T11" s="9"/>
      <c r="U11" s="6"/>
      <c r="V11" s="7"/>
      <c r="W11" s="5"/>
      <c r="X11" s="6"/>
      <c r="Y11" s="7"/>
      <c r="Z11" s="7"/>
      <c r="AA11" s="7"/>
      <c r="AB11" s="7"/>
      <c r="AC11" s="7"/>
    </row>
    <row r="12" spans="1:29" x14ac:dyDescent="0.25">
      <c r="A12" s="44"/>
      <c r="B12" s="44"/>
      <c r="C12" s="12"/>
      <c r="D12" s="12"/>
      <c r="E12" s="13"/>
      <c r="F12" s="13"/>
      <c r="G12" s="13"/>
      <c r="H12" s="13"/>
      <c r="I12" s="11">
        <f t="shared" ref="I12:AC12" si="14">SUM(I9:I10)</f>
        <v>26</v>
      </c>
      <c r="J12" s="11">
        <f t="shared" si="14"/>
        <v>0</v>
      </c>
      <c r="K12" s="13">
        <f t="shared" si="14"/>
        <v>7546</v>
      </c>
      <c r="L12" s="13">
        <f t="shared" si="14"/>
        <v>1887</v>
      </c>
      <c r="M12" s="13">
        <f t="shared" si="14"/>
        <v>0</v>
      </c>
      <c r="N12" s="13">
        <f t="shared" si="14"/>
        <v>9432.9999999999982</v>
      </c>
      <c r="O12" s="13">
        <f t="shared" si="14"/>
        <v>906</v>
      </c>
      <c r="P12" s="13">
        <f t="shared" si="14"/>
        <v>166</v>
      </c>
      <c r="Q12" s="13">
        <f t="shared" si="14"/>
        <v>0</v>
      </c>
      <c r="R12" s="13">
        <f t="shared" si="14"/>
        <v>0</v>
      </c>
      <c r="S12" s="13">
        <f t="shared" si="14"/>
        <v>0</v>
      </c>
      <c r="T12" s="13">
        <f t="shared" si="14"/>
        <v>1072</v>
      </c>
      <c r="U12" s="13">
        <f t="shared" si="14"/>
        <v>8360.9999999999982</v>
      </c>
      <c r="V12" s="13">
        <f>SUM(V9:V10)</f>
        <v>0</v>
      </c>
      <c r="W12" s="13">
        <f t="shared" si="14"/>
        <v>628.83333333333337</v>
      </c>
      <c r="X12" s="13">
        <f t="shared" si="14"/>
        <v>8989.8333333333321</v>
      </c>
      <c r="Y12" s="13">
        <f t="shared" si="14"/>
        <v>0</v>
      </c>
      <c r="Z12" s="13">
        <f t="shared" si="14"/>
        <v>7546</v>
      </c>
      <c r="AA12" s="13">
        <f t="shared" si="14"/>
        <v>1008</v>
      </c>
      <c r="AB12" s="13">
        <f t="shared" si="14"/>
        <v>9433</v>
      </c>
      <c r="AC12" s="13">
        <f t="shared" si="14"/>
        <v>449</v>
      </c>
    </row>
    <row r="13" spans="1:29" x14ac:dyDescent="0.25">
      <c r="A13" s="1">
        <v>1</v>
      </c>
      <c r="B13" s="55" t="s">
        <v>143</v>
      </c>
      <c r="C13" s="75" t="s">
        <v>71</v>
      </c>
      <c r="D13" s="69" t="s">
        <v>80</v>
      </c>
      <c r="E13" s="3">
        <v>7546</v>
      </c>
      <c r="F13" s="3">
        <v>0</v>
      </c>
      <c r="G13" s="4">
        <f>E13+F13</f>
        <v>7546</v>
      </c>
      <c r="H13" s="5">
        <v>26</v>
      </c>
      <c r="I13" s="11">
        <v>20</v>
      </c>
      <c r="J13" s="11"/>
      <c r="K13" s="3">
        <f>E13/H13*I13</f>
        <v>5804.6153846153848</v>
      </c>
      <c r="L13" s="3">
        <f>F13/H13*I13</f>
        <v>0</v>
      </c>
      <c r="M13" s="3">
        <f>G13/H13*J13</f>
        <v>0</v>
      </c>
      <c r="N13" s="6">
        <f>SUM(K13:M13)</f>
        <v>5804.6153846153848</v>
      </c>
      <c r="O13" s="7">
        <f>ROUND(Z13*12%,0)</f>
        <v>697</v>
      </c>
      <c r="P13" s="7">
        <f>ROUNDUP(AB13*1.75%,0)</f>
        <v>102</v>
      </c>
      <c r="Q13" s="8">
        <f>IF(N13&gt;40000,200,IF(N13&gt;25000,150,IF(N13&gt;15000,130,IF(N13&gt;10000,110,IF(N13&gt;8500,0,)))))</f>
        <v>0</v>
      </c>
      <c r="R13" s="3">
        <v>0</v>
      </c>
      <c r="S13" s="3">
        <v>0</v>
      </c>
      <c r="T13" s="9">
        <f>SUM(O13:S13)</f>
        <v>799</v>
      </c>
      <c r="U13" s="6">
        <f>N13-T13</f>
        <v>5005.6153846153848</v>
      </c>
      <c r="V13" s="7">
        <f>((E13/H13*J13)*13.36%)</f>
        <v>0</v>
      </c>
      <c r="W13" s="5">
        <f>((E13/12)/H13*(I13))</f>
        <v>483.71794871794873</v>
      </c>
      <c r="X13" s="6">
        <f>U13+W13+V13</f>
        <v>5489.3333333333339</v>
      </c>
      <c r="Y13" s="7"/>
      <c r="Z13" s="7">
        <f>ROUND(IF(($K13)&gt;15000,15000,IF(($K13)&lt;=15000,($K13))),0)</f>
        <v>5805</v>
      </c>
      <c r="AA13" s="7">
        <f>ROUND(Z13*13.36%,0)</f>
        <v>776</v>
      </c>
      <c r="AB13" s="7">
        <f>ROUND($G13/$H13*($I13+J13),0)</f>
        <v>5805</v>
      </c>
      <c r="AC13" s="7">
        <f>ROUNDUP(AB13*4.75%,0)</f>
        <v>276</v>
      </c>
    </row>
    <row r="14" spans="1:29" x14ac:dyDescent="0.25">
      <c r="A14" s="1">
        <v>2</v>
      </c>
      <c r="B14" s="55" t="s">
        <v>144</v>
      </c>
      <c r="C14" s="75" t="s">
        <v>72</v>
      </c>
      <c r="D14" s="69" t="s">
        <v>80</v>
      </c>
      <c r="E14" s="3">
        <v>7546</v>
      </c>
      <c r="F14" s="3">
        <v>0</v>
      </c>
      <c r="G14" s="4">
        <f t="shared" ref="G14:G16" si="15">E14+F14</f>
        <v>7546</v>
      </c>
      <c r="H14" s="5">
        <v>26</v>
      </c>
      <c r="I14" s="11">
        <v>24</v>
      </c>
      <c r="J14" s="11"/>
      <c r="K14" s="3">
        <f t="shared" ref="K14:K16" si="16">E14/H14*I14</f>
        <v>6965.538461538461</v>
      </c>
      <c r="L14" s="3">
        <f t="shared" ref="L14:L16" si="17">F14/H14*I14</f>
        <v>0</v>
      </c>
      <c r="M14" s="3">
        <f t="shared" ref="M14:M16" si="18">G14/H14*J14</f>
        <v>0</v>
      </c>
      <c r="N14" s="6">
        <f t="shared" ref="N14:N16" si="19">SUM(K14:M14)</f>
        <v>6965.538461538461</v>
      </c>
      <c r="O14" s="7">
        <f t="shared" ref="O14:O16" si="20">ROUND(Z14*12%,0)</f>
        <v>836</v>
      </c>
      <c r="P14" s="7">
        <f t="shared" ref="P14:P16" si="21">ROUNDUP(AB14*1.75%,0)</f>
        <v>122</v>
      </c>
      <c r="Q14" s="8">
        <f t="shared" ref="Q14:Q16" si="22">IF(N14&gt;40000,200,IF(N14&gt;25000,150,IF(N14&gt;15000,130,IF(N14&gt;10000,110,IF(N14&gt;8500,0,)))))</f>
        <v>0</v>
      </c>
      <c r="R14" s="3">
        <v>0</v>
      </c>
      <c r="S14" s="3">
        <v>0</v>
      </c>
      <c r="T14" s="9">
        <f t="shared" ref="T14:T16" si="23">SUM(O14:S14)</f>
        <v>958</v>
      </c>
      <c r="U14" s="6">
        <f t="shared" ref="U14:U16" si="24">N14-T14</f>
        <v>6007.538461538461</v>
      </c>
      <c r="V14" s="7">
        <f>((E14/H14*J14)*13.36%)</f>
        <v>0</v>
      </c>
      <c r="W14" s="5">
        <f>((E14/12)/H14*(I14))</f>
        <v>580.46153846153857</v>
      </c>
      <c r="X14" s="6">
        <f t="shared" ref="X14:X16" si="25">U14+W14+V14</f>
        <v>6588</v>
      </c>
      <c r="Y14" s="7"/>
      <c r="Z14" s="7">
        <f t="shared" ref="Z14:Z16" si="26">ROUND(IF(($K14)&gt;15000,15000,IF(($K14)&lt;=15000,($K14))),0)</f>
        <v>6966</v>
      </c>
      <c r="AA14" s="7">
        <f t="shared" ref="AA14:AA16" si="27">ROUND(Z14*13.36%,0)</f>
        <v>931</v>
      </c>
      <c r="AB14" s="7">
        <f>ROUND($G14/$H14*($I14+J14),0)</f>
        <v>6966</v>
      </c>
      <c r="AC14" s="7">
        <f t="shared" ref="AC14:AC16" si="28">ROUNDUP(AB14*4.75%,0)</f>
        <v>331</v>
      </c>
    </row>
    <row r="15" spans="1:29" x14ac:dyDescent="0.25">
      <c r="A15" s="1">
        <v>3</v>
      </c>
      <c r="B15" s="55" t="s">
        <v>145</v>
      </c>
      <c r="C15" s="75" t="s">
        <v>73</v>
      </c>
      <c r="D15" s="69" t="s">
        <v>80</v>
      </c>
      <c r="E15" s="3">
        <v>7546</v>
      </c>
      <c r="F15" s="3">
        <v>0</v>
      </c>
      <c r="G15" s="4">
        <f t="shared" si="15"/>
        <v>7546</v>
      </c>
      <c r="H15" s="5">
        <v>26</v>
      </c>
      <c r="I15" s="11">
        <v>7</v>
      </c>
      <c r="J15" s="11"/>
      <c r="K15" s="3">
        <f t="shared" si="16"/>
        <v>2031.6153846153845</v>
      </c>
      <c r="L15" s="3">
        <f t="shared" si="17"/>
        <v>0</v>
      </c>
      <c r="M15" s="3">
        <f t="shared" si="18"/>
        <v>0</v>
      </c>
      <c r="N15" s="6">
        <f t="shared" si="19"/>
        <v>2031.6153846153845</v>
      </c>
      <c r="O15" s="7">
        <f t="shared" si="20"/>
        <v>244</v>
      </c>
      <c r="P15" s="7">
        <f t="shared" si="21"/>
        <v>36</v>
      </c>
      <c r="Q15" s="8">
        <f t="shared" si="22"/>
        <v>0</v>
      </c>
      <c r="R15" s="3">
        <v>0</v>
      </c>
      <c r="S15" s="3">
        <v>0</v>
      </c>
      <c r="T15" s="9">
        <f t="shared" si="23"/>
        <v>280</v>
      </c>
      <c r="U15" s="6">
        <f t="shared" si="24"/>
        <v>1751.6153846153845</v>
      </c>
      <c r="V15" s="7">
        <f>((E15/H15*J15)*13.36%)</f>
        <v>0</v>
      </c>
      <c r="W15" s="5">
        <f>((E15/12)/H15*(I15))</f>
        <v>169.30128205128207</v>
      </c>
      <c r="X15" s="6">
        <f t="shared" si="25"/>
        <v>1920.9166666666665</v>
      </c>
      <c r="Y15" s="7"/>
      <c r="Z15" s="7">
        <f t="shared" si="26"/>
        <v>2032</v>
      </c>
      <c r="AA15" s="7">
        <f t="shared" si="27"/>
        <v>271</v>
      </c>
      <c r="AB15" s="7">
        <f>ROUND($G15/$H15*($I15+J15),0)</f>
        <v>2032</v>
      </c>
      <c r="AC15" s="7">
        <f t="shared" si="28"/>
        <v>97</v>
      </c>
    </row>
    <row r="16" spans="1:29" x14ac:dyDescent="0.25">
      <c r="A16" s="1">
        <v>4</v>
      </c>
      <c r="B16" s="55" t="s">
        <v>146</v>
      </c>
      <c r="C16" s="75" t="s">
        <v>74</v>
      </c>
      <c r="D16" s="69" t="s">
        <v>80</v>
      </c>
      <c r="E16" s="3">
        <v>7546</v>
      </c>
      <c r="F16" s="3">
        <v>0</v>
      </c>
      <c r="G16" s="4">
        <f t="shared" si="15"/>
        <v>7546</v>
      </c>
      <c r="H16" s="5">
        <v>26</v>
      </c>
      <c r="I16" s="11">
        <v>23</v>
      </c>
      <c r="J16" s="11"/>
      <c r="K16" s="3">
        <f t="shared" si="16"/>
        <v>6675.3076923076924</v>
      </c>
      <c r="L16" s="3">
        <f t="shared" si="17"/>
        <v>0</v>
      </c>
      <c r="M16" s="3">
        <f t="shared" si="18"/>
        <v>0</v>
      </c>
      <c r="N16" s="6">
        <f t="shared" si="19"/>
        <v>6675.3076923076924</v>
      </c>
      <c r="O16" s="7">
        <f t="shared" si="20"/>
        <v>801</v>
      </c>
      <c r="P16" s="7">
        <f t="shared" si="21"/>
        <v>117</v>
      </c>
      <c r="Q16" s="8">
        <f t="shared" si="22"/>
        <v>0</v>
      </c>
      <c r="R16" s="3">
        <v>0</v>
      </c>
      <c r="S16" s="3">
        <v>0</v>
      </c>
      <c r="T16" s="9">
        <f t="shared" si="23"/>
        <v>918</v>
      </c>
      <c r="U16" s="6">
        <f t="shared" si="24"/>
        <v>5757.3076923076924</v>
      </c>
      <c r="V16" s="7">
        <f>((E16/H16*J16)*13.36%)</f>
        <v>0</v>
      </c>
      <c r="W16" s="5">
        <f>((E16/12)/H16*(I16))</f>
        <v>556.27564102564111</v>
      </c>
      <c r="X16" s="6">
        <f t="shared" si="25"/>
        <v>6313.5833333333339</v>
      </c>
      <c r="Y16" s="7"/>
      <c r="Z16" s="7">
        <f t="shared" si="26"/>
        <v>6675</v>
      </c>
      <c r="AA16" s="7">
        <f t="shared" si="27"/>
        <v>892</v>
      </c>
      <c r="AB16" s="7">
        <f>ROUND($G16/$H16*($I16+J16),0)</f>
        <v>6675</v>
      </c>
      <c r="AC16" s="7">
        <f t="shared" si="28"/>
        <v>318</v>
      </c>
    </row>
    <row r="17" spans="1:29" x14ac:dyDescent="0.25">
      <c r="A17" s="1"/>
      <c r="B17" s="55"/>
      <c r="C17" s="75"/>
      <c r="D17" s="56"/>
      <c r="E17" s="3"/>
      <c r="F17" s="3"/>
      <c r="G17" s="4"/>
      <c r="H17" s="5"/>
      <c r="I17" s="11"/>
      <c r="J17" s="11"/>
      <c r="K17" s="3"/>
      <c r="L17" s="3"/>
      <c r="M17" s="3"/>
      <c r="N17" s="6"/>
      <c r="O17" s="7"/>
      <c r="P17" s="7"/>
      <c r="Q17" s="8"/>
      <c r="R17" s="3"/>
      <c r="S17" s="3"/>
      <c r="T17" s="9"/>
      <c r="U17" s="6"/>
      <c r="V17" s="7"/>
      <c r="W17" s="5"/>
      <c r="X17" s="6"/>
      <c r="Y17" s="7"/>
      <c r="Z17" s="7"/>
      <c r="AA17" s="7"/>
      <c r="AB17" s="7"/>
      <c r="AC17" s="7"/>
    </row>
    <row r="18" spans="1:29" x14ac:dyDescent="0.25">
      <c r="A18" s="44"/>
      <c r="B18" s="44"/>
      <c r="C18" s="76"/>
      <c r="D18" s="12"/>
      <c r="E18" s="13"/>
      <c r="F18" s="13"/>
      <c r="G18" s="13"/>
      <c r="H18" s="13"/>
      <c r="I18" s="59">
        <f t="shared" ref="I18:AC18" si="29">SUM(I13:I17)</f>
        <v>74</v>
      </c>
      <c r="J18" s="59">
        <f t="shared" si="29"/>
        <v>0</v>
      </c>
      <c r="K18" s="59">
        <f t="shared" si="29"/>
        <v>21477.076923076922</v>
      </c>
      <c r="L18" s="59">
        <f t="shared" si="29"/>
        <v>0</v>
      </c>
      <c r="M18" s="59">
        <f t="shared" si="29"/>
        <v>0</v>
      </c>
      <c r="N18" s="59">
        <f t="shared" si="29"/>
        <v>21477.076923076922</v>
      </c>
      <c r="O18" s="59">
        <f t="shared" si="29"/>
        <v>2578</v>
      </c>
      <c r="P18" s="59">
        <f t="shared" si="29"/>
        <v>377</v>
      </c>
      <c r="Q18" s="59">
        <f t="shared" si="29"/>
        <v>0</v>
      </c>
      <c r="R18" s="59">
        <f t="shared" si="29"/>
        <v>0</v>
      </c>
      <c r="S18" s="59">
        <f t="shared" si="29"/>
        <v>0</v>
      </c>
      <c r="T18" s="59">
        <f t="shared" si="29"/>
        <v>2955</v>
      </c>
      <c r="U18" s="59">
        <f t="shared" si="29"/>
        <v>18522.076923076922</v>
      </c>
      <c r="V18" s="59">
        <f t="shared" si="29"/>
        <v>0</v>
      </c>
      <c r="W18" s="59">
        <f t="shared" si="29"/>
        <v>1789.7564102564104</v>
      </c>
      <c r="X18" s="59">
        <f t="shared" si="29"/>
        <v>20311.833333333336</v>
      </c>
      <c r="Y18" s="59">
        <f t="shared" si="29"/>
        <v>0</v>
      </c>
      <c r="Z18" s="59">
        <f t="shared" si="29"/>
        <v>21478</v>
      </c>
      <c r="AA18" s="59">
        <f t="shared" si="29"/>
        <v>2870</v>
      </c>
      <c r="AB18" s="59">
        <f t="shared" si="29"/>
        <v>21478</v>
      </c>
      <c r="AC18" s="59">
        <f t="shared" si="29"/>
        <v>1022</v>
      </c>
    </row>
  </sheetData>
  <mergeCells count="9">
    <mergeCell ref="A6:C6"/>
    <mergeCell ref="A7:C7"/>
    <mergeCell ref="A1:Y1"/>
    <mergeCell ref="A2:Y2"/>
    <mergeCell ref="A3:Y3"/>
    <mergeCell ref="A5:C5"/>
    <mergeCell ref="D5:I5"/>
    <mergeCell ref="D7:N7"/>
    <mergeCell ref="D6:Q6"/>
  </mergeCells>
  <printOptions horizontalCentered="1"/>
  <pageMargins left="0" right="0" top="0.23" bottom="0" header="0" footer="0"/>
  <pageSetup paperSize="9" scale="66" orientation="landscape" copies="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25"/>
  <sheetViews>
    <sheetView zoomScaleSheetLayoutView="100" workbookViewId="0">
      <pane xSplit="1" ySplit="5" topLeftCell="B6" activePane="bottomRight" state="frozen"/>
      <selection activeCell="K10" sqref="K10"/>
      <selection pane="topRight" activeCell="K10" sqref="K10"/>
      <selection pane="bottomLeft" activeCell="K10" sqref="K10"/>
      <selection pane="bottomRight" activeCell="F23" sqref="F23"/>
    </sheetView>
  </sheetViews>
  <sheetFormatPr defaultRowHeight="15" x14ac:dyDescent="0.25"/>
  <cols>
    <col min="1" max="1" width="44" style="2" bestFit="1" customWidth="1"/>
    <col min="2" max="10" width="12" style="2" customWidth="1"/>
    <col min="11" max="13" width="10" style="2" bestFit="1" customWidth="1"/>
    <col min="14" max="16384" width="9.140625" style="2"/>
  </cols>
  <sheetData>
    <row r="1" spans="1:11" ht="21" x14ac:dyDescent="0.25">
      <c r="A1" s="90" t="s">
        <v>158</v>
      </c>
      <c r="B1" s="90"/>
      <c r="C1" s="90"/>
      <c r="D1" s="90"/>
      <c r="E1" s="90"/>
      <c r="F1" s="90"/>
      <c r="G1" s="90"/>
      <c r="H1" s="90"/>
      <c r="I1" s="90"/>
      <c r="J1" s="90"/>
    </row>
    <row r="2" spans="1:1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</row>
    <row r="3" spans="1:11" ht="25.5" x14ac:dyDescent="0.25">
      <c r="A3" s="14" t="s">
        <v>31</v>
      </c>
      <c r="B3" s="15" t="s">
        <v>24</v>
      </c>
      <c r="C3" s="15" t="s">
        <v>26</v>
      </c>
      <c r="D3" s="15" t="s">
        <v>27</v>
      </c>
      <c r="E3" s="15" t="s">
        <v>28</v>
      </c>
      <c r="F3" s="15" t="s">
        <v>32</v>
      </c>
      <c r="G3" s="15" t="s">
        <v>57</v>
      </c>
      <c r="H3" s="15" t="s">
        <v>29</v>
      </c>
      <c r="I3" s="15" t="s">
        <v>29</v>
      </c>
      <c r="J3" s="15" t="s">
        <v>30</v>
      </c>
    </row>
    <row r="4" spans="1:11" s="16" customFormat="1" ht="12.75" x14ac:dyDescent="0.2">
      <c r="A4" s="14" t="s">
        <v>33</v>
      </c>
      <c r="B4" s="15" t="s">
        <v>34</v>
      </c>
      <c r="C4" s="15" t="s">
        <v>34</v>
      </c>
      <c r="D4" s="15" t="s">
        <v>34</v>
      </c>
      <c r="E4" s="15" t="s">
        <v>35</v>
      </c>
      <c r="F4" s="15" t="s">
        <v>35</v>
      </c>
      <c r="G4" s="15" t="s">
        <v>35</v>
      </c>
      <c r="H4" s="15" t="s">
        <v>35</v>
      </c>
      <c r="I4" s="15"/>
      <c r="J4" s="15" t="s">
        <v>35</v>
      </c>
    </row>
    <row r="5" spans="1:11" s="16" customFormat="1" ht="12.75" x14ac:dyDescent="0.2">
      <c r="A5" s="17" t="s">
        <v>3</v>
      </c>
      <c r="B5" s="18">
        <v>7489</v>
      </c>
      <c r="C5" s="18">
        <v>8301</v>
      </c>
      <c r="D5" s="18">
        <v>9132</v>
      </c>
      <c r="E5" s="18">
        <v>7489</v>
      </c>
      <c r="F5" s="18">
        <v>8301</v>
      </c>
      <c r="G5" s="18">
        <v>7546</v>
      </c>
      <c r="H5" s="18">
        <v>7546</v>
      </c>
      <c r="I5" s="18">
        <v>7546</v>
      </c>
      <c r="J5" s="18">
        <v>9132</v>
      </c>
    </row>
    <row r="6" spans="1:11" x14ac:dyDescent="0.25">
      <c r="A6" s="17" t="s">
        <v>58</v>
      </c>
      <c r="B6" s="18"/>
      <c r="C6" s="18"/>
      <c r="D6" s="18"/>
      <c r="E6" s="18"/>
      <c r="F6" s="18"/>
      <c r="G6" s="20">
        <v>500</v>
      </c>
      <c r="H6" s="20">
        <v>7080</v>
      </c>
      <c r="I6" s="20">
        <v>0</v>
      </c>
      <c r="J6" s="20">
        <v>550</v>
      </c>
    </row>
    <row r="7" spans="1:11" x14ac:dyDescent="0.25">
      <c r="A7" s="17" t="s">
        <v>59</v>
      </c>
      <c r="B7" s="19">
        <f>ROUND((B5*50%)/8*4,0)</f>
        <v>1872</v>
      </c>
      <c r="C7" s="19">
        <f t="shared" ref="C7:D7" si="0">ROUND((C5*50%)/8*4,0)</f>
        <v>2075</v>
      </c>
      <c r="D7" s="19">
        <f t="shared" si="0"/>
        <v>2283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</row>
    <row r="8" spans="1:11" x14ac:dyDescent="0.25">
      <c r="A8" s="21"/>
      <c r="B8" s="18"/>
      <c r="C8" s="18"/>
      <c r="D8" s="18"/>
      <c r="E8" s="18"/>
      <c r="F8" s="18"/>
      <c r="G8" s="18"/>
      <c r="H8" s="18"/>
      <c r="I8" s="18"/>
      <c r="J8" s="18"/>
    </row>
    <row r="9" spans="1:11" x14ac:dyDescent="0.25">
      <c r="A9" s="37" t="s">
        <v>36</v>
      </c>
      <c r="B9" s="38">
        <f>SUM(B5:B8)</f>
        <v>9361</v>
      </c>
      <c r="C9" s="38">
        <f t="shared" ref="C9:J9" si="1">SUM(C5:C8)</f>
        <v>10376</v>
      </c>
      <c r="D9" s="38">
        <f t="shared" si="1"/>
        <v>11415</v>
      </c>
      <c r="E9" s="38">
        <f t="shared" si="1"/>
        <v>7489</v>
      </c>
      <c r="F9" s="38">
        <f>SUM(F5:F8)</f>
        <v>8301</v>
      </c>
      <c r="G9" s="38">
        <f t="shared" si="1"/>
        <v>8046</v>
      </c>
      <c r="H9" s="38">
        <f t="shared" si="1"/>
        <v>14626</v>
      </c>
      <c r="I9" s="38">
        <f t="shared" si="1"/>
        <v>7546</v>
      </c>
      <c r="J9" s="38">
        <f t="shared" si="1"/>
        <v>9682</v>
      </c>
    </row>
    <row r="10" spans="1:11" x14ac:dyDescent="0.25">
      <c r="A10" s="22" t="s">
        <v>37</v>
      </c>
      <c r="B10" s="23"/>
      <c r="C10" s="23"/>
      <c r="D10" s="23"/>
      <c r="E10" s="23"/>
      <c r="F10" s="23"/>
      <c r="G10" s="24"/>
      <c r="H10" s="23"/>
      <c r="I10" s="23"/>
      <c r="J10" s="23"/>
    </row>
    <row r="11" spans="1:11" x14ac:dyDescent="0.25">
      <c r="A11" s="17" t="s">
        <v>159</v>
      </c>
      <c r="B11" s="18">
        <f>ROUND(B5*13.15%,0)</f>
        <v>985</v>
      </c>
      <c r="C11" s="18">
        <f t="shared" ref="C11:J11" si="2">ROUND(C5*13.15%,0)</f>
        <v>1092</v>
      </c>
      <c r="D11" s="18">
        <f t="shared" si="2"/>
        <v>1201</v>
      </c>
      <c r="E11" s="18">
        <f t="shared" si="2"/>
        <v>985</v>
      </c>
      <c r="F11" s="18">
        <f t="shared" si="2"/>
        <v>1092</v>
      </c>
      <c r="G11" s="18">
        <f t="shared" si="2"/>
        <v>992</v>
      </c>
      <c r="H11" s="18">
        <f t="shared" si="2"/>
        <v>992</v>
      </c>
      <c r="I11" s="18">
        <f t="shared" si="2"/>
        <v>992</v>
      </c>
      <c r="J11" s="18">
        <f t="shared" si="2"/>
        <v>1201</v>
      </c>
    </row>
    <row r="12" spans="1:11" x14ac:dyDescent="0.25">
      <c r="A12" s="17" t="s">
        <v>60</v>
      </c>
      <c r="B12" s="18">
        <f>ROUNDUP(B9*4.75%,0)</f>
        <v>445</v>
      </c>
      <c r="C12" s="18">
        <f t="shared" ref="C12:J12" si="3">ROUNDUP(C9*4.75%,0)</f>
        <v>493</v>
      </c>
      <c r="D12" s="18">
        <f t="shared" si="3"/>
        <v>543</v>
      </c>
      <c r="E12" s="18">
        <f t="shared" si="3"/>
        <v>356</v>
      </c>
      <c r="F12" s="18">
        <f t="shared" si="3"/>
        <v>395</v>
      </c>
      <c r="G12" s="18">
        <f t="shared" si="3"/>
        <v>383</v>
      </c>
      <c r="H12" s="18">
        <f t="shared" si="3"/>
        <v>695</v>
      </c>
      <c r="I12" s="18">
        <f t="shared" si="3"/>
        <v>359</v>
      </c>
      <c r="J12" s="18">
        <f t="shared" si="3"/>
        <v>460</v>
      </c>
    </row>
    <row r="13" spans="1:11" x14ac:dyDescent="0.25">
      <c r="A13" s="17" t="s">
        <v>61</v>
      </c>
      <c r="B13" s="18">
        <f>ROUND(B5/12,0)</f>
        <v>624</v>
      </c>
      <c r="C13" s="18">
        <f t="shared" ref="C13:J13" si="4">ROUND(C5/12,0)</f>
        <v>692</v>
      </c>
      <c r="D13" s="18">
        <f t="shared" si="4"/>
        <v>761</v>
      </c>
      <c r="E13" s="18">
        <f>ROUND(E5/12,0)</f>
        <v>624</v>
      </c>
      <c r="F13" s="18">
        <f t="shared" si="4"/>
        <v>692</v>
      </c>
      <c r="G13" s="18">
        <f t="shared" si="4"/>
        <v>629</v>
      </c>
      <c r="H13" s="18">
        <f t="shared" si="4"/>
        <v>629</v>
      </c>
      <c r="I13" s="18">
        <f t="shared" si="4"/>
        <v>629</v>
      </c>
      <c r="J13" s="18">
        <f t="shared" si="4"/>
        <v>761</v>
      </c>
    </row>
    <row r="14" spans="1:11" x14ac:dyDescent="0.25">
      <c r="A14" s="17" t="s">
        <v>56</v>
      </c>
      <c r="B14" s="18">
        <v>150</v>
      </c>
      <c r="C14" s="18">
        <v>150</v>
      </c>
      <c r="D14" s="18">
        <v>150</v>
      </c>
      <c r="E14" s="18">
        <v>150</v>
      </c>
      <c r="F14" s="18">
        <v>150</v>
      </c>
      <c r="G14" s="18">
        <v>0</v>
      </c>
      <c r="H14" s="18">
        <v>0</v>
      </c>
      <c r="I14" s="18">
        <v>0</v>
      </c>
      <c r="J14" s="18">
        <v>0</v>
      </c>
    </row>
    <row r="15" spans="1:11" x14ac:dyDescent="0.25">
      <c r="A15" s="17"/>
      <c r="B15" s="18"/>
      <c r="C15" s="18"/>
      <c r="D15" s="18"/>
      <c r="E15" s="18"/>
      <c r="F15" s="18"/>
      <c r="G15" s="18"/>
      <c r="H15" s="18"/>
      <c r="I15" s="18"/>
      <c r="J15" s="18"/>
      <c r="K15" s="25"/>
    </row>
    <row r="16" spans="1:11" x14ac:dyDescent="0.25">
      <c r="A16" s="39" t="s">
        <v>38</v>
      </c>
      <c r="B16" s="40">
        <f>SUM(B11:B15)+B9</f>
        <v>11565</v>
      </c>
      <c r="C16" s="40">
        <f t="shared" ref="C16:J16" si="5">SUM(C11:C15)+C9</f>
        <v>12803</v>
      </c>
      <c r="D16" s="40">
        <f t="shared" si="5"/>
        <v>14070</v>
      </c>
      <c r="E16" s="40">
        <f t="shared" si="5"/>
        <v>9604</v>
      </c>
      <c r="F16" s="40">
        <f t="shared" si="5"/>
        <v>10630</v>
      </c>
      <c r="G16" s="40">
        <f t="shared" si="5"/>
        <v>10050</v>
      </c>
      <c r="H16" s="40">
        <f t="shared" si="5"/>
        <v>16942</v>
      </c>
      <c r="I16" s="40">
        <f>SUM(I11:I15)+I9</f>
        <v>9526</v>
      </c>
      <c r="J16" s="40">
        <f t="shared" si="5"/>
        <v>12104</v>
      </c>
    </row>
    <row r="17" spans="1:10" x14ac:dyDescent="0.25">
      <c r="A17" s="17" t="s">
        <v>62</v>
      </c>
      <c r="B17" s="41">
        <f>ROUND(B16*7%,0)</f>
        <v>810</v>
      </c>
      <c r="C17" s="41">
        <f t="shared" ref="C17:J17" si="6">ROUND(C16*7%,0)</f>
        <v>896</v>
      </c>
      <c r="D17" s="41">
        <f t="shared" si="6"/>
        <v>985</v>
      </c>
      <c r="E17" s="41">
        <f t="shared" si="6"/>
        <v>672</v>
      </c>
      <c r="F17" s="41">
        <f t="shared" si="6"/>
        <v>744</v>
      </c>
      <c r="G17" s="41">
        <f t="shared" si="6"/>
        <v>704</v>
      </c>
      <c r="H17" s="41">
        <f t="shared" si="6"/>
        <v>1186</v>
      </c>
      <c r="I17" s="41">
        <f t="shared" si="6"/>
        <v>667</v>
      </c>
      <c r="J17" s="41">
        <f t="shared" si="6"/>
        <v>847</v>
      </c>
    </row>
    <row r="18" spans="1:10" x14ac:dyDescent="0.25">
      <c r="A18" s="17"/>
      <c r="B18" s="18"/>
      <c r="C18" s="18"/>
      <c r="D18" s="18"/>
      <c r="E18" s="18"/>
      <c r="F18" s="18"/>
      <c r="G18" s="18"/>
      <c r="H18" s="18"/>
      <c r="I18" s="18"/>
      <c r="J18" s="18"/>
    </row>
    <row r="19" spans="1:10" ht="25.5" x14ac:dyDescent="0.25">
      <c r="A19" s="39" t="s">
        <v>63</v>
      </c>
      <c r="B19" s="40">
        <f>B16+B17</f>
        <v>12375</v>
      </c>
      <c r="C19" s="40">
        <f t="shared" ref="C19:J19" si="7">C16+C17</f>
        <v>13699</v>
      </c>
      <c r="D19" s="40">
        <f t="shared" si="7"/>
        <v>15055</v>
      </c>
      <c r="E19" s="40">
        <f t="shared" si="7"/>
        <v>10276</v>
      </c>
      <c r="F19" s="40">
        <f t="shared" si="7"/>
        <v>11374</v>
      </c>
      <c r="G19" s="40">
        <f t="shared" si="7"/>
        <v>10754</v>
      </c>
      <c r="H19" s="40">
        <f t="shared" si="7"/>
        <v>18128</v>
      </c>
      <c r="I19" s="40">
        <f t="shared" si="7"/>
        <v>10193</v>
      </c>
      <c r="J19" s="40">
        <f t="shared" si="7"/>
        <v>12951</v>
      </c>
    </row>
    <row r="20" spans="1:10" x14ac:dyDescent="0.25">
      <c r="A20" s="39"/>
      <c r="B20" s="42">
        <f>B19/26</f>
        <v>475.96153846153845</v>
      </c>
      <c r="C20" s="42">
        <f t="shared" ref="C20:J20" si="8">C19/26</f>
        <v>526.88461538461536</v>
      </c>
      <c r="D20" s="42">
        <f t="shared" si="8"/>
        <v>579.03846153846155</v>
      </c>
      <c r="E20" s="42">
        <f t="shared" si="8"/>
        <v>395.23076923076923</v>
      </c>
      <c r="F20" s="42">
        <f t="shared" si="8"/>
        <v>437.46153846153845</v>
      </c>
      <c r="G20" s="42">
        <f t="shared" si="8"/>
        <v>413.61538461538464</v>
      </c>
      <c r="H20" s="42">
        <f t="shared" si="8"/>
        <v>697.23076923076928</v>
      </c>
      <c r="I20" s="42">
        <f t="shared" si="8"/>
        <v>392.03846153846155</v>
      </c>
      <c r="J20" s="42">
        <f t="shared" si="8"/>
        <v>498.11538461538464</v>
      </c>
    </row>
    <row r="22" spans="1:10" x14ac:dyDescent="0.25">
      <c r="E22" s="80"/>
      <c r="F22" s="80"/>
      <c r="H22" s="80"/>
      <c r="J22" s="80"/>
    </row>
    <row r="23" spans="1:10" x14ac:dyDescent="0.25">
      <c r="E23" s="80"/>
      <c r="F23" s="80"/>
      <c r="H23" s="80"/>
      <c r="J23" s="80"/>
    </row>
    <row r="24" spans="1:10" x14ac:dyDescent="0.25">
      <c r="F24" s="26"/>
      <c r="H24" s="26"/>
      <c r="J24" s="26"/>
    </row>
    <row r="25" spans="1:10" x14ac:dyDescent="0.25">
      <c r="E25" s="80"/>
      <c r="F25" s="80"/>
      <c r="H25" s="80"/>
      <c r="J25" s="80"/>
    </row>
  </sheetData>
  <mergeCells count="1">
    <mergeCell ref="A1:J1"/>
  </mergeCells>
  <printOptions horizontalCentered="1"/>
  <pageMargins left="0" right="0" top="0.19685039370078741" bottom="0" header="0" footer="0"/>
  <pageSetup paperSize="9" scale="9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HO </vt:lpstr>
      <vt:lpstr>Electrician</vt:lpstr>
      <vt:lpstr>Lovelock</vt:lpstr>
      <vt:lpstr>Gangetica</vt:lpstr>
      <vt:lpstr>Aura</vt:lpstr>
      <vt:lpstr>Allure</vt:lpstr>
      <vt:lpstr>Pecan</vt:lpstr>
      <vt:lpstr>Rate - 01.01.2017-30.06.2017</vt:lpstr>
      <vt:lpstr>Allure!Print_Area</vt:lpstr>
      <vt:lpstr>Aura!Print_Area</vt:lpstr>
      <vt:lpstr>Electrician!Print_Area</vt:lpstr>
      <vt:lpstr>Gangetica!Print_Area</vt:lpstr>
      <vt:lpstr>'HO '!Print_Area</vt:lpstr>
      <vt:lpstr>Lovelock!Print_Area</vt:lpstr>
      <vt:lpstr>Pecan!Print_Area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Sunder Agarwal</dc:creator>
  <cp:lastModifiedBy>NEWBY</cp:lastModifiedBy>
  <cp:lastPrinted>2017-07-25T05:07:38Z</cp:lastPrinted>
  <dcterms:created xsi:type="dcterms:W3CDTF">2015-11-25T10:31:25Z</dcterms:created>
  <dcterms:modified xsi:type="dcterms:W3CDTF">2017-11-11T07:11:46Z</dcterms:modified>
</cp:coreProperties>
</file>