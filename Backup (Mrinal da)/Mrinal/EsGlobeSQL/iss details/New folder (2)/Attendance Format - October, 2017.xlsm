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filterPrivacy="1" codeName="ThisWorkbook" hidePivotFieldList="1" defaultThemeVersion="124226"/>
  <bookViews>
    <workbookView xWindow="0" yWindow="0" windowWidth="20490" windowHeight="9045" tabRatio="606"/>
  </bookViews>
  <sheets>
    <sheet name="Primarc Retail Store Pvt. Ltd" sheetId="4" r:id="rId1"/>
    <sheet name="Primarc Realty &amp; Pecan" sheetId="13" r:id="rId2"/>
  </sheets>
  <externalReferences>
    <externalReference r:id="rId3"/>
    <externalReference r:id="rId4"/>
    <externalReference r:id="rId5"/>
  </externalReferences>
  <definedNames>
    <definedName name="_xlnm._FilterDatabase" localSheetId="1" hidden="1">'Primarc Realty &amp; Pecan'!$B$3:$G$51</definedName>
    <definedName name="_xlnm._FilterDatabase" localSheetId="0" hidden="1">'Primarc Retail Store Pvt. Ltd'!$C$3:$F$67</definedName>
    <definedName name="_xlnm.Criteria" localSheetId="1">'Primarc Realty &amp; Pecan'!#REF!</definedName>
    <definedName name="_xlnm.Criteria" localSheetId="0">'Primarc Retail Store Pvt. Ltd'!#REF!</definedName>
    <definedName name="list">[1]Rate!$A$4:$A$11</definedName>
    <definedName name="List1">'[2]Company List'!$B$3:$B$11</definedName>
    <definedName name="List2">'[3]Company List'!$B$3:$B$11</definedName>
    <definedName name="_xlnm.Print_Area" localSheetId="1">'Primarc Realty &amp; Pecan'!$A$1:$G$53</definedName>
    <definedName name="_xlnm.Print_Area" localSheetId="0">'Primarc Retail Store Pvt. Ltd'!$D$1:$G$69</definedName>
    <definedName name="_xlnm.Print_Titles" localSheetId="1">'Primarc Realty &amp; Pecan'!$3:$3</definedName>
    <definedName name="_xlnm.Print_Titles" localSheetId="0">'Primarc Retail Store Pvt. Ltd'!$3:$3</definedName>
  </definedNames>
  <calcPr calcId="152511"/>
</workbook>
</file>

<file path=xl/calcChain.xml><?xml version="1.0" encoding="utf-8"?>
<calcChain xmlns="http://schemas.openxmlformats.org/spreadsheetml/2006/main">
  <c r="G56" i="13" l="1"/>
  <c r="F56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3" i="13" s="1"/>
  <c r="A34" i="13" s="1"/>
  <c r="A35" i="13" s="1"/>
  <c r="A36" i="13" s="1"/>
  <c r="A37" i="13" s="1"/>
  <c r="A38" i="13" s="1"/>
  <c r="A39" i="13" s="1"/>
  <c r="A40" i="13" s="1"/>
  <c r="A42" i="13" s="1"/>
  <c r="A43" i="13" s="1"/>
  <c r="A44" i="13" s="1"/>
  <c r="A45" i="13" s="1"/>
  <c r="A46" i="13" s="1"/>
  <c r="A48" i="13" s="1"/>
  <c r="A49" i="13" s="1"/>
  <c r="A50" i="13" s="1"/>
  <c r="A51" i="13" s="1"/>
  <c r="A52" i="13" s="1"/>
  <c r="A53" i="13" s="1"/>
  <c r="A54" i="13" s="1"/>
  <c r="A14" i="4" l="1"/>
  <c r="A6" i="4"/>
  <c r="A7" i="4" s="1"/>
  <c r="A9" i="4" s="1"/>
  <c r="A10" i="4" s="1"/>
  <c r="A11" i="4" s="1"/>
  <c r="A12" i="4" s="1"/>
  <c r="A5" i="4"/>
  <c r="A15" i="4" l="1"/>
  <c r="A16" i="4" s="1"/>
  <c r="A17" i="4" s="1"/>
  <c r="A20" i="4" l="1"/>
  <c r="A21" i="4" s="1"/>
  <c r="A23" i="4" s="1"/>
  <c r="A18" i="4"/>
  <c r="F69" i="4"/>
  <c r="A26" i="4" l="1"/>
  <c r="A27" i="4" s="1"/>
  <c r="A29" i="4" s="1"/>
  <c r="A31" i="4" s="1"/>
  <c r="A33" i="4" s="1"/>
  <c r="A35" i="4" s="1"/>
  <c r="A36" i="4" s="1"/>
  <c r="A38" i="4" s="1"/>
  <c r="A39" i="4" s="1"/>
  <c r="A40" i="4" s="1"/>
  <c r="A42" i="4" s="1"/>
  <c r="A43" i="4" s="1"/>
  <c r="A45" i="4" s="1"/>
  <c r="A46" i="4" s="1"/>
  <c r="A47" i="4" s="1"/>
  <c r="A48" i="4" s="1"/>
  <c r="A49" i="4" s="1"/>
  <c r="A51" i="4" s="1"/>
  <c r="A52" i="4" s="1"/>
  <c r="A53" i="4" s="1"/>
  <c r="A55" i="4" s="1"/>
  <c r="A56" i="4" s="1"/>
  <c r="A58" i="4" s="1"/>
  <c r="A59" i="4" s="1"/>
  <c r="A60" i="4" s="1"/>
  <c r="A62" i="4" s="1"/>
  <c r="A63" i="4" s="1"/>
  <c r="A64" i="4" s="1"/>
  <c r="A66" i="4" s="1"/>
  <c r="A67" i="4" s="1"/>
  <c r="A24" i="4"/>
</calcChain>
</file>

<file path=xl/sharedStrings.xml><?xml version="1.0" encoding="utf-8"?>
<sst xmlns="http://schemas.openxmlformats.org/spreadsheetml/2006/main" count="391" uniqueCount="220">
  <si>
    <t>Housekeeping</t>
  </si>
  <si>
    <t>Security Guard</t>
  </si>
  <si>
    <t>Godown</t>
  </si>
  <si>
    <t>PC Office</t>
  </si>
  <si>
    <t>RS-Hiland Park</t>
  </si>
  <si>
    <t>RS-Forum Mall</t>
  </si>
  <si>
    <t>Shyagugst St.</t>
  </si>
  <si>
    <t>RS-Quest Mall</t>
  </si>
  <si>
    <t>RS-Jossar Road</t>
  </si>
  <si>
    <t>RS-N L Lane</t>
  </si>
  <si>
    <t>Essence-Kakurgachi</t>
  </si>
  <si>
    <t>RS-Krishnanagar</t>
  </si>
  <si>
    <t>PF-Krishnanagar</t>
  </si>
  <si>
    <t>RS-Bhelupur-UP</t>
  </si>
  <si>
    <t>RS-Sundarpur-UP</t>
  </si>
  <si>
    <t>RS-Balasore</t>
  </si>
  <si>
    <t>RS-Cuttac</t>
  </si>
  <si>
    <t>RS-Giridih</t>
  </si>
  <si>
    <t>RS-Agartala</t>
  </si>
  <si>
    <t>Primarc Sukriti</t>
  </si>
  <si>
    <t>Sl. No.</t>
  </si>
  <si>
    <t>Name of Workman</t>
  </si>
  <si>
    <t>Designation/ nature of work done</t>
  </si>
  <si>
    <t>Units of work done</t>
  </si>
  <si>
    <t>Santanu Mitra</t>
  </si>
  <si>
    <t>Dipu Shaw</t>
  </si>
  <si>
    <t>Arun Nath</t>
  </si>
  <si>
    <t>Amarjit Dey</t>
  </si>
  <si>
    <t>No. of days Worked</t>
  </si>
  <si>
    <t>ID Card No.</t>
  </si>
  <si>
    <t>Site Code</t>
  </si>
  <si>
    <t>PRS/Godown/HK/001</t>
  </si>
  <si>
    <t>PRS/Godown/HK/002</t>
  </si>
  <si>
    <t>PRS/Godown/HK/003</t>
  </si>
  <si>
    <t>PRS/Godown/SG/001</t>
  </si>
  <si>
    <t>PRS/Office/HK/001</t>
  </si>
  <si>
    <t>Bijendra Mallick</t>
  </si>
  <si>
    <t>PRS/Office/HK/002</t>
  </si>
  <si>
    <t>Ajay Biswas</t>
  </si>
  <si>
    <t>PRS/Office/HK/003</t>
  </si>
  <si>
    <t>Tapan Debnath</t>
  </si>
  <si>
    <t>PRS/RS-Hiland Park/HK/001</t>
  </si>
  <si>
    <t>Dipankar Naskar</t>
  </si>
  <si>
    <t>PRS/RS-Hiland Park/HK/003</t>
  </si>
  <si>
    <t>PRS/RS-Forum Mall/HK/001</t>
  </si>
  <si>
    <t>Sudip Ghosh</t>
  </si>
  <si>
    <t>PRS/Shyagugst St./HK/002</t>
  </si>
  <si>
    <t>Tushar Dutta</t>
  </si>
  <si>
    <t>PRS/Shyagugst St./HK/003</t>
  </si>
  <si>
    <t>Golak Das</t>
  </si>
  <si>
    <t>PRS/RS-Quest Mall/HK/001</t>
  </si>
  <si>
    <t>Bhaskar Naskar</t>
  </si>
  <si>
    <t>PRS/RS-Jossar Road/SG/001</t>
  </si>
  <si>
    <t>PRS/RS-N L Lane/HK/001</t>
  </si>
  <si>
    <t>PRS/Essence-Kakurgachi/HK/001</t>
  </si>
  <si>
    <t>PRS/Essence-Kakurgachi/HK/003</t>
  </si>
  <si>
    <t>Dipak Debnath</t>
  </si>
  <si>
    <t>PRS/Burdwan - 1/SG/001</t>
  </si>
  <si>
    <t>PRS/Burdwan - 2/HK/001</t>
  </si>
  <si>
    <t>Parikshit Biswas</t>
  </si>
  <si>
    <t>PRS/Burdwan - 2/SG/001</t>
  </si>
  <si>
    <t>PRS/RS-Krishnanagar/SG/001</t>
  </si>
  <si>
    <t>Sandip Sarkar</t>
  </si>
  <si>
    <t>PRS/PF-Krishnanagar/HK/001</t>
  </si>
  <si>
    <t>Tarak Karmakar</t>
  </si>
  <si>
    <t>PRS/RS-Bhelupur-UP/HK/001</t>
  </si>
  <si>
    <t>PRS/RS-Bhelupur-UP/HK/002</t>
  </si>
  <si>
    <t>Nijamuddin</t>
  </si>
  <si>
    <t>PRS/RS-Bhelupur-UP/HK/003</t>
  </si>
  <si>
    <t>Hadish</t>
  </si>
  <si>
    <t>PRS/RS-Bhelupur-UP/HK/004</t>
  </si>
  <si>
    <t>PRS/RS-Bhelupur-UP/SG/001</t>
  </si>
  <si>
    <t>PRS/RS-Sundarpur-UP/HK/001</t>
  </si>
  <si>
    <t>Satyam Mishra</t>
  </si>
  <si>
    <t>PRS/RS-Sundarpur-UP/HK/002</t>
  </si>
  <si>
    <t>Sonu Seth</t>
  </si>
  <si>
    <t>PRS/RS-Sundarpur-UP/HK/003</t>
  </si>
  <si>
    <t>PRS/Balasore/HK/001</t>
  </si>
  <si>
    <t>PRS/Balasore/SG/001</t>
  </si>
  <si>
    <t>Debesh Das</t>
  </si>
  <si>
    <t>PRS/Cuttac/HK/001</t>
  </si>
  <si>
    <t>Tarunakant Singh</t>
  </si>
  <si>
    <t>PRS/Cuttac/HK/002</t>
  </si>
  <si>
    <t>PRS/Cuttac/SG/001</t>
  </si>
  <si>
    <t>SK Siraz</t>
  </si>
  <si>
    <t>PRS/Giridih/HK/001</t>
  </si>
  <si>
    <t>PRS/Agartala/HK/001</t>
  </si>
  <si>
    <t>Sunny Das</t>
  </si>
  <si>
    <t>PRS/Sukriti/SG/001</t>
  </si>
  <si>
    <t>Santosh Thakur</t>
  </si>
  <si>
    <t>PRS/Sukriti/SG/002</t>
  </si>
  <si>
    <t>Burdwan - 2</t>
  </si>
  <si>
    <t>Burdwan - 1</t>
  </si>
  <si>
    <t>Housekeeping (2)</t>
  </si>
  <si>
    <t>Sk Sazzad Hossan</t>
  </si>
  <si>
    <t>Sankar Sardar</t>
  </si>
  <si>
    <t>Sakti Sadhan Dey</t>
  </si>
  <si>
    <t>Rabi Sikder</t>
  </si>
  <si>
    <t>Manoranjan Bhowmik</t>
  </si>
  <si>
    <t>Shambhu Majumder</t>
  </si>
  <si>
    <t>Vicky Sahani</t>
  </si>
  <si>
    <t>Ranjeet Kumar Sahani</t>
  </si>
  <si>
    <t>Vijoy Bajaj</t>
  </si>
  <si>
    <t>Satrughan Das</t>
  </si>
  <si>
    <t>Pramod Kumar Padhi</t>
  </si>
  <si>
    <t>Rabiul Sardar</t>
  </si>
  <si>
    <t>Raju Kumar Rathod</t>
  </si>
  <si>
    <t>Rohit Kumar</t>
  </si>
  <si>
    <t>Umesh Jana</t>
  </si>
  <si>
    <t>Primarc Retail Store Pvt. Ltd</t>
  </si>
  <si>
    <t>Primarc HO</t>
  </si>
  <si>
    <t>Primarc HO/HK/001</t>
  </si>
  <si>
    <t>Bablu Mitra</t>
  </si>
  <si>
    <t>Primarc HO/HK/002</t>
  </si>
  <si>
    <t>Ranjit Mondal</t>
  </si>
  <si>
    <t>Primarc HO/HK/003</t>
  </si>
  <si>
    <t>Pulak Guha</t>
  </si>
  <si>
    <t>Primarc HO/HK/004</t>
  </si>
  <si>
    <t>Debashis Ghosh</t>
  </si>
  <si>
    <t>Primarc HO/HK/005</t>
  </si>
  <si>
    <t>Amit Mallik</t>
  </si>
  <si>
    <t>Primarc HO/HK/006</t>
  </si>
  <si>
    <t>Sanjit Mondal</t>
  </si>
  <si>
    <t>Primarc HO/HK/007</t>
  </si>
  <si>
    <t>Haru Das</t>
  </si>
  <si>
    <t>Primarc HO/HK/008</t>
  </si>
  <si>
    <t>Primarc HO/HK/009</t>
  </si>
  <si>
    <t>Amit Gayan</t>
  </si>
  <si>
    <t>Primarc HO/HK/010</t>
  </si>
  <si>
    <t>Prasanto Chowdhury</t>
  </si>
  <si>
    <t>Primarc HO/HK/011</t>
  </si>
  <si>
    <t>Ajay Sadhukhan</t>
  </si>
  <si>
    <t>Primarc HO/HK/012</t>
  </si>
  <si>
    <t>Primarc HO/HK/013</t>
  </si>
  <si>
    <t>Primarc HO/HK (S)/001</t>
  </si>
  <si>
    <t>Arpan Basu</t>
  </si>
  <si>
    <t>Housekeeping - Semi Skilled</t>
  </si>
  <si>
    <t>Primarc HO/ Recept/ 001</t>
  </si>
  <si>
    <t>Josephine Paul</t>
  </si>
  <si>
    <t>Receptionist</t>
  </si>
  <si>
    <t>Primarc HO/ Elec/001</t>
  </si>
  <si>
    <t>Kamaluddin Khan</t>
  </si>
  <si>
    <t>Electrician</t>
  </si>
  <si>
    <t>Gangetica/SG/001</t>
  </si>
  <si>
    <t>Gangetica</t>
  </si>
  <si>
    <t>Rakesh Mukherjee</t>
  </si>
  <si>
    <t>Gangetica/SG/002</t>
  </si>
  <si>
    <t>Sanjay Ghosh</t>
  </si>
  <si>
    <t>Gangetica/SG/003</t>
  </si>
  <si>
    <t>Robin Sen</t>
  </si>
  <si>
    <t>Gangetica/SG/004</t>
  </si>
  <si>
    <t>Mintu Das</t>
  </si>
  <si>
    <t>Gangetica/SG/005</t>
  </si>
  <si>
    <t>Swapan Kumar Das</t>
  </si>
  <si>
    <t>Gangetica/SG/006</t>
  </si>
  <si>
    <t>Mithun Das</t>
  </si>
  <si>
    <t>Gangetica/SG/007</t>
  </si>
  <si>
    <t>Utpal Bhattacharya</t>
  </si>
  <si>
    <t>Gangetica/HK/001</t>
  </si>
  <si>
    <t>Sukumar Debnath</t>
  </si>
  <si>
    <t>Gangetica/HK/002</t>
  </si>
  <si>
    <t>Samiran Mallick</t>
  </si>
  <si>
    <t>Aura/SG/001</t>
  </si>
  <si>
    <t>Aura</t>
  </si>
  <si>
    <t>Manoj Podder</t>
  </si>
  <si>
    <t>Aura/SG/002</t>
  </si>
  <si>
    <t>Kalipada Nandi</t>
  </si>
  <si>
    <t>Aura/SG/003</t>
  </si>
  <si>
    <t>Laxmi Narayan Kisku</t>
  </si>
  <si>
    <t>Aura/SG/004</t>
  </si>
  <si>
    <t>Prabin Kumar Mishra</t>
  </si>
  <si>
    <t>Aura/SG/005</t>
  </si>
  <si>
    <t>Aura/HK/001</t>
  </si>
  <si>
    <t>Santu Hela</t>
  </si>
  <si>
    <t>Aura/HK/002</t>
  </si>
  <si>
    <t>Pratap Duley</t>
  </si>
  <si>
    <t>Aura/HK/003</t>
  </si>
  <si>
    <t>Samiran Malik</t>
  </si>
  <si>
    <t>Allure/SG/001</t>
  </si>
  <si>
    <t>Allura</t>
  </si>
  <si>
    <t>Sumanta Dutta</t>
  </si>
  <si>
    <t>Allure/SG/002</t>
  </si>
  <si>
    <t>SK Hossain</t>
  </si>
  <si>
    <t>Allure/SG/004</t>
  </si>
  <si>
    <t>Allure/SG/006</t>
  </si>
  <si>
    <t>Manas Singh</t>
  </si>
  <si>
    <t>Pecan/SG/001</t>
  </si>
  <si>
    <t>Pecan</t>
  </si>
  <si>
    <t>Subhas Ch. Sardar</t>
  </si>
  <si>
    <t>Pecan/SG/002</t>
  </si>
  <si>
    <t>Pecan/HK/001</t>
  </si>
  <si>
    <t>Srimanta Naskar</t>
  </si>
  <si>
    <t>Pecan/HK/003</t>
  </si>
  <si>
    <t>Suman Shikari</t>
  </si>
  <si>
    <t>Pecan/HK/004</t>
  </si>
  <si>
    <t>Partha Naskar</t>
  </si>
  <si>
    <t>Primarc Realty &amp; Pecan</t>
  </si>
  <si>
    <t>PGID/HK/001</t>
  </si>
  <si>
    <t>PGI Distributors</t>
  </si>
  <si>
    <t>PGID/HK/003</t>
  </si>
  <si>
    <t>PGID/HK/005</t>
  </si>
  <si>
    <t>PGID/SG/001</t>
  </si>
  <si>
    <t>Samir Saha</t>
  </si>
  <si>
    <t>Anup Bhattacharjee</t>
  </si>
  <si>
    <t>Allure/SG/005</t>
  </si>
  <si>
    <t>Ajay Shaw</t>
  </si>
  <si>
    <t>Kashinath Das</t>
  </si>
  <si>
    <t>SK Abdul Malek</t>
  </si>
  <si>
    <t>Paritosh Shikari</t>
  </si>
  <si>
    <t>PRS/Office/HK/004</t>
  </si>
  <si>
    <t>PGID/SG/002</t>
  </si>
  <si>
    <t>Susanta routh</t>
  </si>
  <si>
    <t>PRS/RS-Forum Mall/HK/002</t>
  </si>
  <si>
    <t>Argha Sarkar</t>
  </si>
  <si>
    <t>Tarun dey</t>
  </si>
  <si>
    <t>Lalu Oraon</t>
  </si>
  <si>
    <t>Roni Sikder</t>
  </si>
  <si>
    <t>tushar dutta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</si>
  <si>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</t>
  </si>
  <si>
    <t>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</si>
</sst>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 * #,##0.00_ ;_ * \-#,##0.00_ ;_ * &quot;-&quot;??_ ;_ @_ "/>
    <numFmt numFmtId="166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8"/>
      <color theme="1"/>
      <name val="Verdana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u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33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41">
    <xf numFmtId="0" fontId="0" fillId="0" borderId="0" xfId="0"/>
    <xf numFmtId="0" fontId="3" fillId="2" borderId="0" xfId="2" applyFont="1" applyFill="1"/>
    <xf numFmtId="1" fontId="5" fillId="2" borderId="1" xfId="0" applyNumberFormat="1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7" fillId="2" borderId="0" xfId="2" applyFont="1" applyFill="1"/>
    <xf numFmtId="0" fontId="8" fillId="2" borderId="0" xfId="2" applyFont="1" applyFill="1" applyAlignment="1">
      <alignment horizontal="center" vertical="center"/>
    </xf>
    <xf numFmtId="0" fontId="9" fillId="2" borderId="0" xfId="2" applyFont="1" applyFill="1"/>
    <xf numFmtId="0" fontId="9" fillId="2" borderId="1" xfId="2" applyFont="1" applyFill="1" applyBorder="1" applyAlignment="1">
      <alignment vertical="center" wrapText="1"/>
    </xf>
    <xf numFmtId="0" fontId="9" fillId="2" borderId="2" xfId="2" applyFont="1" applyFill="1" applyBorder="1" applyAlignment="1">
      <alignment vertical="center" wrapText="1"/>
    </xf>
    <xf numFmtId="1" fontId="10" fillId="2" borderId="1" xfId="0" applyNumberFormat="1" applyFont="1" applyFill="1" applyBorder="1" applyAlignment="1">
      <alignment horizontal="left" vertical="center"/>
    </xf>
    <xf numFmtId="0" fontId="9" fillId="2" borderId="2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9" fillId="3" borderId="1" xfId="2" applyFont="1" applyFill="1" applyBorder="1" applyAlignment="1">
      <alignment vertical="center" wrapText="1"/>
    </xf>
    <xf numFmtId="0" fontId="3" fillId="2" borderId="0" xfId="2" applyFont="1" applyFill="1" applyAlignment="1">
      <alignment horizontal="left" vertical="center"/>
    </xf>
    <xf numFmtId="0" fontId="10" fillId="2" borderId="1" xfId="0" applyFont="1" applyFill="1" applyBorder="1" applyAlignment="1">
      <alignment horizontal="left" vertical="center" wrapText="1"/>
    </xf>
    <xf numFmtId="0" fontId="9" fillId="2" borderId="1" xfId="2" applyFont="1" applyFill="1" applyBorder="1" applyAlignment="1">
      <alignment horizontal="left" vertical="center" wrapText="1"/>
    </xf>
    <xf numFmtId="0" fontId="9" fillId="3" borderId="1" xfId="2" applyFont="1" applyFill="1" applyBorder="1" applyAlignment="1">
      <alignment horizontal="left" vertical="center" wrapText="1"/>
    </xf>
    <xf numFmtId="0" fontId="4" fillId="2" borderId="0" xfId="2" applyFont="1" applyFill="1" applyAlignment="1">
      <alignment vertical="center"/>
    </xf>
    <xf numFmtId="0" fontId="10" fillId="2" borderId="2" xfId="0" applyFont="1" applyFill="1" applyBorder="1" applyAlignment="1">
      <alignment horizontal="left" vertical="center" wrapText="1"/>
    </xf>
    <xf numFmtId="1" fontId="10" fillId="2" borderId="3" xfId="0" applyNumberFormat="1" applyFont="1" applyFill="1" applyBorder="1" applyAlignment="1">
      <alignment horizontal="left" vertical="center"/>
    </xf>
    <xf numFmtId="0" fontId="9" fillId="2" borderId="3" xfId="2" applyFont="1" applyFill="1" applyBorder="1" applyAlignment="1">
      <alignment vertical="center" wrapText="1"/>
    </xf>
    <xf numFmtId="0" fontId="9" fillId="2" borderId="3" xfId="2" applyFont="1" applyFill="1" applyBorder="1" applyAlignment="1">
      <alignment horizontal="left" vertical="center" wrapText="1"/>
    </xf>
    <xf numFmtId="1" fontId="10" fillId="2" borderId="2" xfId="0" applyNumberFormat="1" applyFont="1" applyFill="1" applyBorder="1" applyAlignment="1">
      <alignment horizontal="left" vertical="center"/>
    </xf>
    <xf numFmtId="0" fontId="9" fillId="2" borderId="2" xfId="2" applyFont="1" applyFill="1" applyBorder="1" applyAlignment="1">
      <alignment horizontal="left" vertical="center" wrapText="1"/>
    </xf>
    <xf numFmtId="0" fontId="11" fillId="4" borderId="1" xfId="2" applyFont="1" applyFill="1" applyBorder="1" applyAlignment="1">
      <alignment horizontal="center" vertical="center" wrapText="1"/>
    </xf>
    <xf numFmtId="166" fontId="8" fillId="3" borderId="1" xfId="1" applyNumberFormat="1" applyFont="1" applyFill="1" applyBorder="1" applyAlignment="1">
      <alignment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8" fillId="2" borderId="2" xfId="2" applyFont="1" applyFill="1" applyBorder="1" applyAlignment="1">
      <alignment horizontal="center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9" fillId="3" borderId="1" xfId="2" applyFont="1" applyFill="1" applyBorder="1" applyAlignment="1">
      <alignment horizontal="center" vertical="center" wrapText="1"/>
    </xf>
    <xf numFmtId="0" fontId="3" fillId="2" borderId="0" xfId="2" applyFont="1" applyFill="1" applyAlignment="1">
      <alignment horizontal="center"/>
    </xf>
    <xf numFmtId="0" fontId="8" fillId="2" borderId="1" xfId="2" applyFont="1" applyFill="1" applyBorder="1" applyAlignment="1">
      <alignment horizontal="center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4" fillId="2" borderId="0" xfId="2" applyFont="1" applyFill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horizontal="center"/>
    </xf>
    <xf numFmtId="0" fontId="3" fillId="2" borderId="1" xfId="2" applyFont="1" applyFill="1" applyBorder="1"/>
    <xf numFmtId="0" fontId="3" fillId="2" borderId="1" xfId="2" applyFont="1" applyFill="1" applyBorder="1" applyAlignment="1">
      <alignment horizontal="left" vertical="center"/>
    </xf>
    <xf numFmtId="0" fontId="12" fillId="3" borderId="0" xfId="2" applyFont="1" applyFill="1" applyAlignment="1">
      <alignment horizontal="center" vertical="center"/>
    </xf>
  </cellXfs>
  <cellStyles count="9">
    <cellStyle name="Comma" xfId="1" builtinId="3"/>
    <cellStyle name="Comma 2" xfId="3"/>
    <cellStyle name="Comma 3" xfId="4"/>
    <cellStyle name="Comma 4" xfId="5"/>
    <cellStyle name="Normal" xfId="0" builtinId="0"/>
    <cellStyle name="Normal 2" xfId="2"/>
    <cellStyle name="Normal 2 2" xfId="6"/>
    <cellStyle name="Normal 4" xfId="7"/>
    <cellStyle name="Style 1" xfId="8"/>
  </cellStyles>
  <dxfs count="2"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nfotech\EsGlobeSQL\iss%20details\New%20folder%20(2)\Rajiv%20Dawn\Bill%20Format\Bill%20-%20Primarc%20Realty%20&amp;%20Pec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nfotech\EsGlobeSQL\iss%20details\New%20folder%20(2)\HR%20Payroll%20Data\Payroll\Salary%20Sheets\FY%20-%202015%20-%2016\November,%202015\Salary%20Sheet%20-November,%202015\Chandresh%20Badar\Salary%20Sheet%20September,%202015%20-%20Southwinds%20Project%20LLP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nfotech\EsGlobeSQL\iss%20details\New%20folder%20(2)\Avijit\Payroll\Salary%20Sheets\FY%20-%202016%20-%2017\January,%202017\Salary%20Sheet%20-%20January,%202017\Chandresh%20Badar\Salary%20Sheet%20January,%202017%20-%20Primarc%20Projects%20Pvt%20%20Lt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 final (2)"/>
      <sheetName val="Bill final"/>
      <sheetName val="Rate"/>
      <sheetName val="CODE"/>
      <sheetName val="Hed Count"/>
      <sheetName val="Sheet3"/>
    </sheetNames>
    <sheetDataSet>
      <sheetData sheetId="0" refreshError="1"/>
      <sheetData sheetId="1" refreshError="1"/>
      <sheetData sheetId="2">
        <row r="4">
          <cell r="A4" t="str">
            <v>Housekeeping</v>
          </cell>
        </row>
        <row r="5">
          <cell r="A5" t="str">
            <v xml:space="preserve">Housekeeping Semi Skilled </v>
          </cell>
        </row>
        <row r="6">
          <cell r="A6" t="str">
            <v xml:space="preserve">Receptionist </v>
          </cell>
        </row>
        <row r="7">
          <cell r="A7" t="str">
            <v xml:space="preserve">Security Guard </v>
          </cell>
        </row>
        <row r="8">
          <cell r="A8" t="str">
            <v xml:space="preserve">Security Officer </v>
          </cell>
        </row>
        <row r="9">
          <cell r="A9" t="str">
            <v>Electrician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Attendance - Trainee"/>
      <sheetName val="Salary Sheet - Trainee"/>
      <sheetName val="Compan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Primarc Projects Pvt. Ltd.</v>
          </cell>
        </row>
        <row r="4">
          <cell r="B4" t="str">
            <v>Southwinds Project LLP</v>
          </cell>
        </row>
        <row r="5">
          <cell r="B5" t="str">
            <v>Wellside Resort Pvt. Ltd.</v>
          </cell>
        </row>
        <row r="6">
          <cell r="B6" t="str">
            <v>MCK PGE Projects LLP</v>
          </cell>
        </row>
        <row r="7">
          <cell r="B7" t="str">
            <v>PGE Homes LLP</v>
          </cell>
        </row>
        <row r="8">
          <cell r="B8" t="str">
            <v>Primarc Riya Projects LLP</v>
          </cell>
        </row>
        <row r="9">
          <cell r="B9" t="str">
            <v>Primarc Pecan Retail Pvt Ltd</v>
          </cell>
        </row>
        <row r="10">
          <cell r="B10" t="str">
            <v>Parvati Resources Pvt. Ltd.</v>
          </cell>
        </row>
        <row r="11">
          <cell r="B11" t="str">
            <v>Mangrove Buildcon LLP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Sodexo"/>
      <sheetName val="Company List"/>
      <sheetName val="Leave Calculation"/>
    </sheetNames>
    <sheetDataSet>
      <sheetData sheetId="0">
        <row r="5">
          <cell r="B5" t="str">
            <v>Employee Code</v>
          </cell>
        </row>
      </sheetData>
      <sheetData sheetId="1">
        <row r="4">
          <cell r="B4" t="str">
            <v>Employee Code</v>
          </cell>
        </row>
      </sheetData>
      <sheetData sheetId="2"/>
      <sheetData sheetId="3"/>
      <sheetData sheetId="4"/>
      <sheetData sheetId="5">
        <row r="3">
          <cell r="B3" t="str">
            <v>Primarc Projects Pvt. Ltd.</v>
          </cell>
        </row>
        <row r="4">
          <cell r="B4" t="str">
            <v>Wellside Resort Pvt. Ltd.</v>
          </cell>
        </row>
        <row r="5">
          <cell r="B5" t="str">
            <v>Primarc Shrachi Projects LLP</v>
          </cell>
        </row>
        <row r="6">
          <cell r="B6" t="str">
            <v>PGE Homes LLP</v>
          </cell>
        </row>
        <row r="7">
          <cell r="B7" t="str">
            <v>Primarc Riya Projects LLP</v>
          </cell>
        </row>
        <row r="8">
          <cell r="B8" t="str">
            <v>Mangrove Buildcon LLP</v>
          </cell>
        </row>
        <row r="9">
          <cell r="B9" t="str">
            <v>Southwinds Project LLP</v>
          </cell>
        </row>
        <row r="10">
          <cell r="B10" t="str">
            <v>MCK PGE Projects LLP</v>
          </cell>
        </row>
        <row r="11">
          <cell r="B11" t="str">
            <v>Parvati Resources Pvt. Ltd.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69"/>
  <sheetViews>
    <sheetView tabSelected="1" zoomScaleNormal="100" zoomScaleSheetLayoutView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55" sqref="H55"/>
    </sheetView>
  </sheetViews>
  <sheetFormatPr defaultRowHeight="15" x14ac:dyDescent="0.2"/>
  <cols>
    <col min="1" max="1" width="5.5703125" style="1" bestFit="1" customWidth="1"/>
    <col min="2" max="2" width="26.28515625" style="1" bestFit="1" customWidth="1"/>
    <col min="3" max="3" width="17.7109375" style="13" bestFit="1" customWidth="1"/>
    <col min="4" max="4" width="20.42578125" style="1" customWidth="1"/>
    <col min="5" max="5" width="16" style="13" customWidth="1"/>
    <col min="6" max="6" width="12.28515625" style="1" customWidth="1"/>
    <col min="7" max="7" width="12.42578125" style="1" customWidth="1"/>
    <col min="8" max="16384" width="9.140625" style="1"/>
  </cols>
  <sheetData>
    <row r="1" spans="1:7" ht="23.25" customHeight="1" x14ac:dyDescent="0.2">
      <c r="A1" s="40" t="s">
        <v>109</v>
      </c>
      <c r="B1" s="40"/>
      <c r="C1" s="40"/>
      <c r="D1" s="40"/>
      <c r="E1" s="40"/>
      <c r="F1" s="40"/>
      <c r="G1" s="40"/>
    </row>
    <row r="2" spans="1:7" ht="23.25" x14ac:dyDescent="0.2">
      <c r="D2" s="17"/>
      <c r="E2" s="34"/>
      <c r="F2" s="34"/>
      <c r="G2" s="34"/>
    </row>
    <row r="3" spans="1:7" s="5" customFormat="1" ht="24" x14ac:dyDescent="0.25">
      <c r="A3" s="24" t="s">
        <v>20</v>
      </c>
      <c r="B3" s="24" t="s">
        <v>29</v>
      </c>
      <c r="C3" s="24" t="s">
        <v>30</v>
      </c>
      <c r="D3" s="24" t="s">
        <v>21</v>
      </c>
      <c r="E3" s="24" t="s">
        <v>22</v>
      </c>
      <c r="F3" s="24" t="s">
        <v>28</v>
      </c>
      <c r="G3" s="24" t="s">
        <v>23</v>
      </c>
    </row>
    <row r="4" spans="1:7" s="6" customFormat="1" ht="12" x14ac:dyDescent="0.2">
      <c r="A4" s="10">
        <v>1</v>
      </c>
      <c r="B4" s="9" t="s">
        <v>31</v>
      </c>
      <c r="C4" s="2" t="s">
        <v>2</v>
      </c>
      <c r="D4" s="8" t="s">
        <v>24</v>
      </c>
      <c r="E4" s="18" t="s">
        <v>0</v>
      </c>
      <c r="F4" s="27">
        <v>23</v>
      </c>
      <c r="G4" s="10"/>
    </row>
    <row r="5" spans="1:7" s="6" customFormat="1" ht="12" x14ac:dyDescent="0.2">
      <c r="A5" s="11">
        <f>A4+1</f>
        <v>2</v>
      </c>
      <c r="B5" s="9" t="s">
        <v>32</v>
      </c>
      <c r="C5" s="2" t="s">
        <v>2</v>
      </c>
      <c r="D5" s="7" t="s">
        <v>25</v>
      </c>
      <c r="E5" s="14" t="s">
        <v>0</v>
      </c>
      <c r="F5" s="26">
        <v>27</v>
      </c>
      <c r="G5" s="10"/>
    </row>
    <row r="6" spans="1:7" s="6" customFormat="1" ht="12" x14ac:dyDescent="0.2">
      <c r="A6" s="11">
        <f t="shared" ref="A6:A67" si="0">A5+1</f>
        <v>3</v>
      </c>
      <c r="B6" s="9" t="s">
        <v>33</v>
      </c>
      <c r="C6" s="2" t="s">
        <v>2</v>
      </c>
      <c r="D6" s="7" t="s">
        <v>26</v>
      </c>
      <c r="E6" s="14" t="s">
        <v>0</v>
      </c>
      <c r="F6" s="26">
        <v>25</v>
      </c>
      <c r="G6" s="10"/>
    </row>
    <row r="7" spans="1:7" s="6" customFormat="1" ht="12" x14ac:dyDescent="0.2">
      <c r="A7" s="11">
        <f t="shared" si="0"/>
        <v>4</v>
      </c>
      <c r="B7" s="9" t="s">
        <v>34</v>
      </c>
      <c r="C7" s="2" t="s">
        <v>2</v>
      </c>
      <c r="D7" s="7" t="s">
        <v>94</v>
      </c>
      <c r="E7" s="14" t="s">
        <v>1</v>
      </c>
      <c r="F7" s="28">
        <v>23</v>
      </c>
      <c r="G7" s="10"/>
    </row>
    <row r="8" spans="1:7" s="6" customFormat="1" ht="12" x14ac:dyDescent="0.2">
      <c r="A8" s="11"/>
      <c r="B8" s="9"/>
      <c r="C8" s="2"/>
      <c r="D8" s="7"/>
      <c r="E8" s="14"/>
      <c r="F8" s="33"/>
      <c r="G8" s="10"/>
    </row>
    <row r="9" spans="1:7" s="6" customFormat="1" ht="12" x14ac:dyDescent="0.2">
      <c r="A9" s="11">
        <f t="shared" si="0"/>
        <v>1</v>
      </c>
      <c r="B9" s="9" t="s">
        <v>35</v>
      </c>
      <c r="C9" s="2" t="s">
        <v>3</v>
      </c>
      <c r="D9" s="7" t="s">
        <v>36</v>
      </c>
      <c r="E9" s="14" t="s">
        <v>0</v>
      </c>
      <c r="F9" s="33">
        <v>25</v>
      </c>
      <c r="G9" s="10"/>
    </row>
    <row r="10" spans="1:7" s="6" customFormat="1" ht="12" x14ac:dyDescent="0.2">
      <c r="A10" s="11">
        <f t="shared" si="0"/>
        <v>2</v>
      </c>
      <c r="B10" s="9" t="s">
        <v>37</v>
      </c>
      <c r="C10" s="2" t="s">
        <v>3</v>
      </c>
      <c r="D10" s="7" t="s">
        <v>38</v>
      </c>
      <c r="E10" s="15" t="s">
        <v>0</v>
      </c>
      <c r="F10" s="26">
        <v>26</v>
      </c>
      <c r="G10" s="10"/>
    </row>
    <row r="11" spans="1:7" s="6" customFormat="1" ht="12" x14ac:dyDescent="0.2">
      <c r="A11" s="11">
        <f t="shared" si="0"/>
        <v>3</v>
      </c>
      <c r="B11" s="9" t="s">
        <v>39</v>
      </c>
      <c r="C11" s="2" t="s">
        <v>3</v>
      </c>
      <c r="D11" s="7" t="s">
        <v>40</v>
      </c>
      <c r="E11" s="15" t="s">
        <v>0</v>
      </c>
      <c r="F11" s="26">
        <v>24</v>
      </c>
      <c r="G11" s="10"/>
    </row>
    <row r="12" spans="1:7" s="6" customFormat="1" ht="12" x14ac:dyDescent="0.2">
      <c r="A12" s="11">
        <f t="shared" si="0"/>
        <v>4</v>
      </c>
      <c r="B12" s="9" t="s">
        <v>209</v>
      </c>
      <c r="C12" s="2" t="s">
        <v>3</v>
      </c>
      <c r="D12" s="7" t="s">
        <v>131</v>
      </c>
      <c r="E12" s="15" t="s">
        <v>0</v>
      </c>
      <c r="F12" s="33">
        <v>1</v>
      </c>
      <c r="G12" s="10"/>
    </row>
    <row r="13" spans="1:7" s="6" customFormat="1" ht="12" x14ac:dyDescent="0.2">
      <c r="A13" s="11"/>
      <c r="B13" s="9"/>
      <c r="C13" s="2"/>
      <c r="D13" s="7"/>
      <c r="E13" s="15"/>
      <c r="F13" s="33"/>
      <c r="G13" s="10"/>
    </row>
    <row r="14" spans="1:7" s="6" customFormat="1" ht="12" x14ac:dyDescent="0.2">
      <c r="A14" s="11">
        <f t="shared" si="0"/>
        <v>1</v>
      </c>
      <c r="B14" s="9" t="s">
        <v>197</v>
      </c>
      <c r="C14" s="2" t="s">
        <v>198</v>
      </c>
      <c r="D14" s="7" t="s">
        <v>202</v>
      </c>
      <c r="E14" s="15" t="s">
        <v>0</v>
      </c>
      <c r="F14" s="26">
        <v>11</v>
      </c>
      <c r="G14" s="10"/>
    </row>
    <row r="15" spans="1:7" s="6" customFormat="1" ht="12" x14ac:dyDescent="0.2">
      <c r="A15" s="11">
        <f t="shared" si="0"/>
        <v>2</v>
      </c>
      <c r="B15" s="9" t="s">
        <v>199</v>
      </c>
      <c r="C15" s="2" t="s">
        <v>198</v>
      </c>
      <c r="D15" s="7" t="s">
        <v>205</v>
      </c>
      <c r="E15" s="15" t="s">
        <v>0</v>
      </c>
      <c r="F15" s="33">
        <v>26</v>
      </c>
      <c r="G15" s="10"/>
    </row>
    <row r="16" spans="1:7" s="6" customFormat="1" ht="12" x14ac:dyDescent="0.2">
      <c r="A16" s="11">
        <f t="shared" si="0"/>
        <v>3</v>
      </c>
      <c r="B16" s="9" t="s">
        <v>200</v>
      </c>
      <c r="C16" s="2" t="s">
        <v>198</v>
      </c>
      <c r="D16" s="7" t="s">
        <v>96</v>
      </c>
      <c r="E16" s="15" t="s">
        <v>0</v>
      </c>
      <c r="F16" s="26">
        <v>27</v>
      </c>
      <c r="G16" s="10"/>
    </row>
    <row r="17" spans="1:7" s="6" customFormat="1" ht="12" x14ac:dyDescent="0.2">
      <c r="A17" s="11">
        <f t="shared" si="0"/>
        <v>4</v>
      </c>
      <c r="B17" s="9" t="s">
        <v>201</v>
      </c>
      <c r="C17" s="2" t="s">
        <v>198</v>
      </c>
      <c r="D17" s="7" t="s">
        <v>203</v>
      </c>
      <c r="E17" s="15" t="s">
        <v>1</v>
      </c>
      <c r="F17" s="28">
        <v>25</v>
      </c>
      <c r="G17" s="10"/>
    </row>
    <row r="18" spans="1:7" s="6" customFormat="1" ht="12" x14ac:dyDescent="0.2">
      <c r="A18" s="11">
        <f t="shared" si="0"/>
        <v>5</v>
      </c>
      <c r="B18" s="9" t="s">
        <v>210</v>
      </c>
      <c r="C18" s="2" t="s">
        <v>198</v>
      </c>
      <c r="D18" s="7" t="s">
        <v>211</v>
      </c>
      <c r="E18" s="15" t="s">
        <v>0</v>
      </c>
      <c r="F18" s="33">
        <v>5</v>
      </c>
      <c r="G18" s="10"/>
    </row>
    <row r="19" spans="1:7" s="6" customFormat="1" ht="12" x14ac:dyDescent="0.2">
      <c r="A19" s="11"/>
      <c r="B19" s="9"/>
      <c r="C19" s="2"/>
      <c r="D19" s="7"/>
      <c r="E19" s="15"/>
      <c r="F19" s="33"/>
      <c r="G19" s="10"/>
    </row>
    <row r="20" spans="1:7" s="6" customFormat="1" ht="12" x14ac:dyDescent="0.2">
      <c r="A20" s="11">
        <f t="shared" si="0"/>
        <v>1</v>
      </c>
      <c r="B20" s="9" t="s">
        <v>41</v>
      </c>
      <c r="C20" s="2" t="s">
        <v>4</v>
      </c>
      <c r="D20" s="7" t="s">
        <v>42</v>
      </c>
      <c r="E20" s="15" t="s">
        <v>0</v>
      </c>
      <c r="F20" s="26">
        <v>28</v>
      </c>
      <c r="G20" s="10"/>
    </row>
    <row r="21" spans="1:7" s="6" customFormat="1" ht="12" x14ac:dyDescent="0.2">
      <c r="A21" s="11">
        <f t="shared" si="0"/>
        <v>2</v>
      </c>
      <c r="B21" s="9" t="s">
        <v>43</v>
      </c>
      <c r="C21" s="2" t="s">
        <v>4</v>
      </c>
      <c r="D21" s="7" t="s">
        <v>95</v>
      </c>
      <c r="E21" s="15" t="s">
        <v>0</v>
      </c>
      <c r="F21" s="33">
        <v>30</v>
      </c>
      <c r="G21" s="10"/>
    </row>
    <row r="22" spans="1:7" s="6" customFormat="1" ht="12" x14ac:dyDescent="0.2">
      <c r="A22" s="11"/>
      <c r="B22" s="9"/>
      <c r="C22" s="2"/>
      <c r="D22" s="7"/>
      <c r="E22" s="15"/>
      <c r="F22" s="33"/>
      <c r="G22" s="10"/>
    </row>
    <row r="23" spans="1:7" s="6" customFormat="1" ht="12" x14ac:dyDescent="0.2">
      <c r="A23" s="11">
        <f t="shared" si="0"/>
        <v>1</v>
      </c>
      <c r="B23" s="9" t="s">
        <v>44</v>
      </c>
      <c r="C23" s="2" t="s">
        <v>5</v>
      </c>
      <c r="D23" s="7" t="s">
        <v>45</v>
      </c>
      <c r="E23" s="15" t="s">
        <v>0</v>
      </c>
      <c r="F23" s="33">
        <v>29</v>
      </c>
      <c r="G23" s="10"/>
    </row>
    <row r="24" spans="1:7" s="6" customFormat="1" ht="12" x14ac:dyDescent="0.2">
      <c r="A24" s="11">
        <f t="shared" si="0"/>
        <v>2</v>
      </c>
      <c r="B24" s="9" t="s">
        <v>212</v>
      </c>
      <c r="C24" s="2" t="s">
        <v>5</v>
      </c>
      <c r="D24" s="7" t="s">
        <v>213</v>
      </c>
      <c r="E24" s="15" t="s">
        <v>0</v>
      </c>
      <c r="F24" s="33">
        <v>2</v>
      </c>
      <c r="G24" s="10"/>
    </row>
    <row r="25" spans="1:7" s="6" customFormat="1" ht="12" x14ac:dyDescent="0.2">
      <c r="A25" s="11"/>
      <c r="B25" s="9"/>
      <c r="C25" s="2"/>
      <c r="D25" s="7"/>
      <c r="E25" s="15"/>
      <c r="F25" s="33"/>
      <c r="G25" s="10"/>
    </row>
    <row r="26" spans="1:7" s="6" customFormat="1" ht="12" x14ac:dyDescent="0.2">
      <c r="A26" s="11">
        <f t="shared" si="0"/>
        <v>1</v>
      </c>
      <c r="B26" s="9" t="s">
        <v>46</v>
      </c>
      <c r="C26" s="2" t="s">
        <v>6</v>
      </c>
      <c r="D26" s="7" t="s">
        <v>47</v>
      </c>
      <c r="E26" s="15" t="s">
        <v>0</v>
      </c>
      <c r="F26" s="26">
        <v>24</v>
      </c>
      <c r="G26" s="10"/>
    </row>
    <row r="27" spans="1:7" s="6" customFormat="1" ht="12" x14ac:dyDescent="0.2">
      <c r="A27" s="11">
        <f t="shared" si="0"/>
        <v>2</v>
      </c>
      <c r="B27" s="9" t="s">
        <v>48</v>
      </c>
      <c r="C27" s="2" t="s">
        <v>6</v>
      </c>
      <c r="D27" s="7" t="s">
        <v>49</v>
      </c>
      <c r="E27" s="15" t="s">
        <v>0</v>
      </c>
      <c r="F27" s="28">
        <v>25</v>
      </c>
      <c r="G27" s="10"/>
    </row>
    <row r="28" spans="1:7" s="6" customFormat="1" ht="12" x14ac:dyDescent="0.2">
      <c r="A28" s="11"/>
      <c r="B28" s="9"/>
      <c r="C28" s="2"/>
      <c r="D28" s="7"/>
      <c r="E28" s="15"/>
      <c r="F28" s="33"/>
      <c r="G28" s="10"/>
    </row>
    <row r="29" spans="1:7" s="6" customFormat="1" ht="12" x14ac:dyDescent="0.2">
      <c r="A29" s="11">
        <f t="shared" si="0"/>
        <v>1</v>
      </c>
      <c r="B29" s="9" t="s">
        <v>50</v>
      </c>
      <c r="C29" s="2" t="s">
        <v>7</v>
      </c>
      <c r="D29" s="7" t="s">
        <v>51</v>
      </c>
      <c r="E29" s="15" t="s">
        <v>0</v>
      </c>
      <c r="F29" s="33">
        <v>32</v>
      </c>
      <c r="G29" s="10"/>
    </row>
    <row r="30" spans="1:7" s="6" customFormat="1" ht="12" x14ac:dyDescent="0.2">
      <c r="A30" s="11"/>
      <c r="B30" s="9"/>
      <c r="C30" s="2"/>
      <c r="D30" s="7"/>
      <c r="E30" s="15"/>
      <c r="F30" s="33"/>
      <c r="G30" s="10"/>
    </row>
    <row r="31" spans="1:7" s="4" customFormat="1" ht="12" x14ac:dyDescent="0.15">
      <c r="A31" s="11">
        <f t="shared" si="0"/>
        <v>1</v>
      </c>
      <c r="B31" s="9" t="s">
        <v>52</v>
      </c>
      <c r="C31" s="2" t="s">
        <v>8</v>
      </c>
      <c r="D31" s="7" t="s">
        <v>97</v>
      </c>
      <c r="E31" s="15" t="s">
        <v>1</v>
      </c>
      <c r="F31" s="26">
        <v>30</v>
      </c>
      <c r="G31" s="10"/>
    </row>
    <row r="32" spans="1:7" s="4" customFormat="1" ht="12" x14ac:dyDescent="0.15">
      <c r="A32" s="11"/>
      <c r="B32" s="9"/>
      <c r="C32" s="2"/>
      <c r="D32" s="7"/>
      <c r="E32" s="15"/>
      <c r="F32" s="33"/>
      <c r="G32" s="10"/>
    </row>
    <row r="33" spans="1:7" s="4" customFormat="1" ht="12" x14ac:dyDescent="0.15">
      <c r="A33" s="11">
        <f t="shared" si="0"/>
        <v>1</v>
      </c>
      <c r="B33" s="9" t="s">
        <v>53</v>
      </c>
      <c r="C33" s="2" t="s">
        <v>9</v>
      </c>
      <c r="D33" s="7" t="s">
        <v>214</v>
      </c>
      <c r="E33" s="15" t="s">
        <v>0</v>
      </c>
      <c r="F33" s="26">
        <v>26</v>
      </c>
      <c r="G33" s="10"/>
    </row>
    <row r="34" spans="1:7" s="4" customFormat="1" ht="12" x14ac:dyDescent="0.15">
      <c r="A34" s="11"/>
      <c r="B34" s="9"/>
      <c r="C34" s="2"/>
      <c r="D34" s="7"/>
      <c r="E34" s="15"/>
      <c r="F34" s="33"/>
      <c r="G34" s="10"/>
    </row>
    <row r="35" spans="1:7" s="4" customFormat="1" ht="12" x14ac:dyDescent="0.15">
      <c r="A35" s="11">
        <f t="shared" si="0"/>
        <v>1</v>
      </c>
      <c r="B35" s="9" t="s">
        <v>54</v>
      </c>
      <c r="C35" s="2" t="s">
        <v>10</v>
      </c>
      <c r="D35" s="7" t="s">
        <v>27</v>
      </c>
      <c r="E35" s="15" t="s">
        <v>0</v>
      </c>
      <c r="F35" s="33">
        <v>30</v>
      </c>
      <c r="G35" s="10"/>
    </row>
    <row r="36" spans="1:7" s="4" customFormat="1" ht="12" x14ac:dyDescent="0.15">
      <c r="A36" s="11">
        <f t="shared" si="0"/>
        <v>2</v>
      </c>
      <c r="B36" s="9" t="s">
        <v>55</v>
      </c>
      <c r="C36" s="2" t="s">
        <v>10</v>
      </c>
      <c r="D36" s="7" t="s">
        <v>56</v>
      </c>
      <c r="E36" s="15" t="s">
        <v>0</v>
      </c>
      <c r="F36" s="26">
        <v>31</v>
      </c>
      <c r="G36" s="10"/>
    </row>
    <row r="37" spans="1:7" s="4" customFormat="1" ht="12" x14ac:dyDescent="0.15">
      <c r="A37" s="11"/>
      <c r="B37" s="9"/>
      <c r="C37" s="2"/>
      <c r="D37" s="7"/>
      <c r="E37" s="15"/>
      <c r="F37" s="33"/>
      <c r="G37" s="10"/>
    </row>
    <row r="38" spans="1:7" s="4" customFormat="1" ht="12" x14ac:dyDescent="0.15">
      <c r="A38" s="11">
        <f t="shared" si="0"/>
        <v>1</v>
      </c>
      <c r="B38" s="9" t="s">
        <v>57</v>
      </c>
      <c r="C38" s="2" t="s">
        <v>92</v>
      </c>
      <c r="D38" s="7" t="s">
        <v>98</v>
      </c>
      <c r="E38" s="15" t="s">
        <v>1</v>
      </c>
      <c r="F38" s="28">
        <v>31</v>
      </c>
      <c r="G38" s="10"/>
    </row>
    <row r="39" spans="1:7" s="4" customFormat="1" ht="12" x14ac:dyDescent="0.15">
      <c r="A39" s="11">
        <f t="shared" si="0"/>
        <v>2</v>
      </c>
      <c r="B39" s="9" t="s">
        <v>58</v>
      </c>
      <c r="C39" s="2" t="s">
        <v>91</v>
      </c>
      <c r="D39" s="20" t="s">
        <v>59</v>
      </c>
      <c r="E39" s="15" t="s">
        <v>0</v>
      </c>
      <c r="F39" s="33">
        <v>32</v>
      </c>
      <c r="G39" s="10"/>
    </row>
    <row r="40" spans="1:7" s="4" customFormat="1" ht="12" x14ac:dyDescent="0.15">
      <c r="A40" s="11">
        <f t="shared" si="0"/>
        <v>3</v>
      </c>
      <c r="B40" s="9" t="s">
        <v>60</v>
      </c>
      <c r="C40" s="2" t="s">
        <v>91</v>
      </c>
      <c r="D40" s="20" t="s">
        <v>99</v>
      </c>
      <c r="E40" s="15" t="s">
        <v>1</v>
      </c>
      <c r="F40" s="32"/>
      <c r="G40" s="10"/>
    </row>
    <row r="41" spans="1:7" s="4" customFormat="1" ht="12" x14ac:dyDescent="0.15">
      <c r="A41" s="11"/>
      <c r="B41" s="9"/>
      <c r="C41" s="2"/>
      <c r="D41" s="20"/>
      <c r="E41" s="15"/>
      <c r="F41" s="33"/>
      <c r="G41" s="10"/>
    </row>
    <row r="42" spans="1:7" s="4" customFormat="1" ht="12" x14ac:dyDescent="0.15">
      <c r="A42" s="11">
        <f t="shared" si="0"/>
        <v>1</v>
      </c>
      <c r="B42" s="9" t="s">
        <v>61</v>
      </c>
      <c r="C42" s="2" t="s">
        <v>11</v>
      </c>
      <c r="D42" s="20" t="s">
        <v>62</v>
      </c>
      <c r="E42" s="15" t="s">
        <v>1</v>
      </c>
      <c r="F42" s="33">
        <v>30</v>
      </c>
      <c r="G42" s="10"/>
    </row>
    <row r="43" spans="1:7" s="4" customFormat="1" ht="12" x14ac:dyDescent="0.15">
      <c r="A43" s="11">
        <f t="shared" si="0"/>
        <v>2</v>
      </c>
      <c r="B43" s="9" t="s">
        <v>63</v>
      </c>
      <c r="C43" s="2" t="s">
        <v>12</v>
      </c>
      <c r="D43" s="7" t="s">
        <v>64</v>
      </c>
      <c r="E43" s="15" t="s">
        <v>0</v>
      </c>
      <c r="F43" s="26">
        <v>26</v>
      </c>
      <c r="G43" s="10"/>
    </row>
    <row r="44" spans="1:7" s="4" customFormat="1" ht="12" x14ac:dyDescent="0.15">
      <c r="A44" s="11"/>
      <c r="B44" s="9"/>
      <c r="C44" s="2"/>
      <c r="D44" s="7"/>
      <c r="E44" s="15"/>
      <c r="F44" s="33"/>
      <c r="G44" s="10"/>
    </row>
    <row r="45" spans="1:7" s="4" customFormat="1" ht="12" x14ac:dyDescent="0.15">
      <c r="A45" s="11">
        <f t="shared" si="0"/>
        <v>1</v>
      </c>
      <c r="B45" s="9" t="s">
        <v>65</v>
      </c>
      <c r="C45" s="2" t="s">
        <v>13</v>
      </c>
      <c r="D45" s="7" t="s">
        <v>100</v>
      </c>
      <c r="E45" s="15" t="s">
        <v>0</v>
      </c>
      <c r="F45" s="33">
        <v>32</v>
      </c>
      <c r="G45" s="10"/>
    </row>
    <row r="46" spans="1:7" s="4" customFormat="1" ht="12" x14ac:dyDescent="0.15">
      <c r="A46" s="11">
        <f t="shared" si="0"/>
        <v>2</v>
      </c>
      <c r="B46" s="9" t="s">
        <v>66</v>
      </c>
      <c r="C46" s="2" t="s">
        <v>13</v>
      </c>
      <c r="D46" s="7" t="s">
        <v>67</v>
      </c>
      <c r="E46" s="15" t="s">
        <v>0</v>
      </c>
      <c r="F46" s="26">
        <v>32</v>
      </c>
      <c r="G46" s="10"/>
    </row>
    <row r="47" spans="1:7" s="4" customFormat="1" ht="12" x14ac:dyDescent="0.15">
      <c r="A47" s="11">
        <f t="shared" si="0"/>
        <v>3</v>
      </c>
      <c r="B47" s="9" t="s">
        <v>68</v>
      </c>
      <c r="C47" s="2" t="s">
        <v>13</v>
      </c>
      <c r="D47" s="7" t="s">
        <v>69</v>
      </c>
      <c r="E47" s="15" t="s">
        <v>0</v>
      </c>
      <c r="F47" s="29">
        <v>28</v>
      </c>
      <c r="G47" s="10"/>
    </row>
    <row r="48" spans="1:7" s="4" customFormat="1" ht="12" x14ac:dyDescent="0.15">
      <c r="A48" s="11">
        <f t="shared" si="0"/>
        <v>4</v>
      </c>
      <c r="B48" s="9" t="s">
        <v>70</v>
      </c>
      <c r="C48" s="2" t="s">
        <v>13</v>
      </c>
      <c r="D48" s="7" t="s">
        <v>101</v>
      </c>
      <c r="E48" s="15" t="s">
        <v>0</v>
      </c>
      <c r="F48" s="33">
        <v>31</v>
      </c>
      <c r="G48" s="10"/>
    </row>
    <row r="49" spans="1:7" s="4" customFormat="1" ht="12" x14ac:dyDescent="0.15">
      <c r="A49" s="11">
        <f t="shared" si="0"/>
        <v>5</v>
      </c>
      <c r="B49" s="9" t="s">
        <v>71</v>
      </c>
      <c r="C49" s="3" t="s">
        <v>13</v>
      </c>
      <c r="D49" s="7" t="s">
        <v>102</v>
      </c>
      <c r="E49" s="15" t="s">
        <v>1</v>
      </c>
      <c r="F49" s="26">
        <v>32</v>
      </c>
      <c r="G49" s="11"/>
    </row>
    <row r="50" spans="1:7" s="4" customFormat="1" ht="12" x14ac:dyDescent="0.15">
      <c r="A50" s="11"/>
      <c r="B50" s="22"/>
      <c r="C50" s="36"/>
      <c r="D50" s="8"/>
      <c r="E50" s="23"/>
      <c r="F50" s="27"/>
      <c r="G50" s="10"/>
    </row>
    <row r="51" spans="1:7" s="4" customFormat="1" ht="12" x14ac:dyDescent="0.15">
      <c r="A51" s="11">
        <f t="shared" si="0"/>
        <v>1</v>
      </c>
      <c r="B51" s="22" t="s">
        <v>72</v>
      </c>
      <c r="C51" s="18" t="s">
        <v>14</v>
      </c>
      <c r="D51" s="8" t="s">
        <v>73</v>
      </c>
      <c r="E51" s="23" t="s">
        <v>93</v>
      </c>
      <c r="F51" s="27">
        <v>31</v>
      </c>
      <c r="G51" s="10"/>
    </row>
    <row r="52" spans="1:7" s="4" customFormat="1" ht="12" x14ac:dyDescent="0.15">
      <c r="A52" s="11">
        <f t="shared" si="0"/>
        <v>2</v>
      </c>
      <c r="B52" s="22" t="s">
        <v>74</v>
      </c>
      <c r="C52" s="18" t="s">
        <v>14</v>
      </c>
      <c r="D52" s="8" t="s">
        <v>75</v>
      </c>
      <c r="E52" s="23" t="s">
        <v>0</v>
      </c>
      <c r="F52" s="27">
        <v>29</v>
      </c>
      <c r="G52" s="10"/>
    </row>
    <row r="53" spans="1:7" s="4" customFormat="1" ht="12" x14ac:dyDescent="0.15">
      <c r="A53" s="11">
        <f t="shared" si="0"/>
        <v>3</v>
      </c>
      <c r="B53" s="9" t="s">
        <v>76</v>
      </c>
      <c r="C53" s="14" t="s">
        <v>14</v>
      </c>
      <c r="D53" s="7" t="s">
        <v>106</v>
      </c>
      <c r="E53" s="15" t="s">
        <v>0</v>
      </c>
      <c r="F53" s="26">
        <v>32</v>
      </c>
      <c r="G53" s="10"/>
    </row>
    <row r="54" spans="1:7" s="4" customFormat="1" ht="12" x14ac:dyDescent="0.15">
      <c r="A54" s="11"/>
      <c r="B54" s="9"/>
      <c r="C54" s="14"/>
      <c r="D54" s="7"/>
      <c r="E54" s="15"/>
      <c r="F54" s="33"/>
      <c r="G54" s="10"/>
    </row>
    <row r="55" spans="1:7" s="4" customFormat="1" ht="12" x14ac:dyDescent="0.15">
      <c r="A55" s="11">
        <f t="shared" si="0"/>
        <v>1</v>
      </c>
      <c r="B55" s="9" t="s">
        <v>77</v>
      </c>
      <c r="C55" s="14" t="s">
        <v>15</v>
      </c>
      <c r="D55" s="7" t="s">
        <v>103</v>
      </c>
      <c r="E55" s="15" t="s">
        <v>0</v>
      </c>
      <c r="F55" s="33">
        <v>29</v>
      </c>
      <c r="G55" s="10"/>
    </row>
    <row r="56" spans="1:7" s="4" customFormat="1" ht="12" x14ac:dyDescent="0.15">
      <c r="A56" s="11">
        <f t="shared" si="0"/>
        <v>2</v>
      </c>
      <c r="B56" s="9" t="s">
        <v>78</v>
      </c>
      <c r="C56" s="3" t="s">
        <v>15</v>
      </c>
      <c r="D56" s="7" t="s">
        <v>79</v>
      </c>
      <c r="E56" s="15" t="s">
        <v>1</v>
      </c>
      <c r="F56" s="26">
        <v>25</v>
      </c>
      <c r="G56" s="10"/>
    </row>
    <row r="57" spans="1:7" s="4" customFormat="1" ht="12" x14ac:dyDescent="0.15">
      <c r="A57" s="11"/>
      <c r="B57" s="9"/>
      <c r="C57" s="3"/>
      <c r="D57" s="7"/>
      <c r="E57" s="15"/>
      <c r="F57" s="33"/>
      <c r="G57" s="10"/>
    </row>
    <row r="58" spans="1:7" s="4" customFormat="1" ht="12" x14ac:dyDescent="0.15">
      <c r="A58" s="11">
        <f t="shared" si="0"/>
        <v>1</v>
      </c>
      <c r="B58" s="9" t="s">
        <v>80</v>
      </c>
      <c r="C58" s="3" t="s">
        <v>16</v>
      </c>
      <c r="D58" s="7" t="s">
        <v>81</v>
      </c>
      <c r="E58" s="15" t="s">
        <v>0</v>
      </c>
      <c r="F58" s="26">
        <v>32</v>
      </c>
      <c r="G58" s="10"/>
    </row>
    <row r="59" spans="1:7" s="4" customFormat="1" ht="12" x14ac:dyDescent="0.15">
      <c r="A59" s="11">
        <f t="shared" si="0"/>
        <v>2</v>
      </c>
      <c r="B59" s="9" t="s">
        <v>82</v>
      </c>
      <c r="C59" s="3" t="s">
        <v>16</v>
      </c>
      <c r="D59" s="7" t="s">
        <v>104</v>
      </c>
      <c r="E59" s="15" t="s">
        <v>0</v>
      </c>
      <c r="F59" s="33">
        <v>32</v>
      </c>
      <c r="G59" s="10"/>
    </row>
    <row r="60" spans="1:7" s="4" customFormat="1" ht="12" x14ac:dyDescent="0.15">
      <c r="A60" s="11">
        <f t="shared" si="0"/>
        <v>3</v>
      </c>
      <c r="B60" s="9" t="s">
        <v>83</v>
      </c>
      <c r="C60" s="3" t="s">
        <v>16</v>
      </c>
      <c r="D60" s="7" t="s">
        <v>84</v>
      </c>
      <c r="E60" s="15" t="s">
        <v>1</v>
      </c>
      <c r="F60" s="26">
        <v>32</v>
      </c>
      <c r="G60" s="10"/>
    </row>
    <row r="61" spans="1:7" s="4" customFormat="1" ht="12" x14ac:dyDescent="0.15">
      <c r="A61" s="11"/>
      <c r="B61" s="9"/>
      <c r="C61" s="3"/>
      <c r="D61" s="7"/>
      <c r="E61" s="15"/>
      <c r="F61" s="33"/>
      <c r="G61" s="10"/>
    </row>
    <row r="62" spans="1:7" s="4" customFormat="1" ht="12" x14ac:dyDescent="0.15">
      <c r="A62" s="11">
        <f t="shared" si="0"/>
        <v>1</v>
      </c>
      <c r="B62" s="9" t="s">
        <v>85</v>
      </c>
      <c r="C62" s="3" t="s">
        <v>17</v>
      </c>
      <c r="D62" s="7" t="s">
        <v>107</v>
      </c>
      <c r="E62" s="15" t="s">
        <v>0</v>
      </c>
      <c r="F62" s="33"/>
      <c r="G62" s="10"/>
    </row>
    <row r="63" spans="1:7" s="4" customFormat="1" ht="12" x14ac:dyDescent="0.15">
      <c r="A63" s="11">
        <f t="shared" si="0"/>
        <v>2</v>
      </c>
      <c r="B63" s="9"/>
      <c r="C63" s="3"/>
      <c r="D63" s="7"/>
      <c r="E63" s="15"/>
      <c r="F63" s="33"/>
      <c r="G63" s="10"/>
    </row>
    <row r="64" spans="1:7" s="4" customFormat="1" ht="12" x14ac:dyDescent="0.15">
      <c r="A64" s="11">
        <f t="shared" si="0"/>
        <v>3</v>
      </c>
      <c r="B64" s="9" t="s">
        <v>86</v>
      </c>
      <c r="C64" s="3" t="s">
        <v>18</v>
      </c>
      <c r="D64" s="7" t="s">
        <v>87</v>
      </c>
      <c r="E64" s="15" t="s">
        <v>0</v>
      </c>
      <c r="F64" s="26">
        <v>26</v>
      </c>
      <c r="G64" s="10"/>
    </row>
    <row r="65" spans="1:7" s="4" customFormat="1" ht="12" x14ac:dyDescent="0.15">
      <c r="A65" s="11"/>
      <c r="B65" s="9"/>
      <c r="C65" s="3"/>
      <c r="D65" s="7"/>
      <c r="E65" s="15"/>
      <c r="F65" s="33"/>
      <c r="G65" s="10"/>
    </row>
    <row r="66" spans="1:7" s="4" customFormat="1" ht="12" x14ac:dyDescent="0.15">
      <c r="A66" s="11">
        <f t="shared" si="0"/>
        <v>1</v>
      </c>
      <c r="B66" s="9" t="s">
        <v>88</v>
      </c>
      <c r="C66" s="3" t="s">
        <v>19</v>
      </c>
      <c r="D66" s="7" t="s">
        <v>89</v>
      </c>
      <c r="E66" s="15" t="s">
        <v>1</v>
      </c>
      <c r="F66" s="33" t="s">
        <v>219</v>
      </c>
      <c r="G66" s="10"/>
    </row>
    <row r="67" spans="1:7" s="4" customFormat="1" ht="12" x14ac:dyDescent="0.15">
      <c r="A67" s="11">
        <f t="shared" si="0"/>
        <v>2</v>
      </c>
      <c r="B67" s="9" t="s">
        <v>90</v>
      </c>
      <c r="C67" s="3" t="s">
        <v>19</v>
      </c>
      <c r="D67" s="7" t="s">
        <v>105</v>
      </c>
      <c r="E67" s="15" t="s">
        <v>1</v>
      </c>
      <c r="F67" s="26" t="s">
        <v>219</v>
      </c>
      <c r="G67" s="10"/>
    </row>
    <row r="68" spans="1:7" s="4" customFormat="1" ht="12" x14ac:dyDescent="0.15">
      <c r="A68" s="11"/>
      <c r="B68" s="7"/>
      <c r="C68" s="15"/>
      <c r="D68" s="7"/>
      <c r="E68" s="15"/>
      <c r="F68" s="11"/>
      <c r="G68" s="11"/>
    </row>
    <row r="69" spans="1:7" s="4" customFormat="1" ht="12" x14ac:dyDescent="0.15">
      <c r="A69" s="30"/>
      <c r="B69" s="12"/>
      <c r="C69" s="16"/>
      <c r="D69" s="12"/>
      <c r="E69" s="16"/>
      <c r="F69" s="25">
        <f>SUM(F4:F68)</f>
        <v>1097</v>
      </c>
      <c r="G69" s="25"/>
    </row>
  </sheetData>
  <mergeCells count="1">
    <mergeCell ref="A1:G1"/>
  </mergeCells>
  <printOptions horizontalCentered="1"/>
  <pageMargins left="0" right="0" top="0.25" bottom="0" header="0" footer="0"/>
  <pageSetup paperSize="9" scale="6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56"/>
  <sheetViews>
    <sheetView zoomScaleNormal="100" zoomScaleSheetLayoutView="100" workbookViewId="0">
      <pane xSplit="7" ySplit="3" topLeftCell="H25" activePane="bottomRight" state="frozen"/>
      <selection pane="topRight" activeCell="H1" sqref="H1"/>
      <selection pane="bottomLeft" activeCell="A4" sqref="A4"/>
      <selection pane="bottomRight" activeCell="L30" sqref="L30"/>
    </sheetView>
  </sheetViews>
  <sheetFormatPr defaultRowHeight="15" x14ac:dyDescent="0.2"/>
  <cols>
    <col min="1" max="1" width="4.5703125" style="31" customWidth="1"/>
    <col min="2" max="2" width="19.85546875" style="1" bestFit="1" customWidth="1"/>
    <col min="3" max="3" width="10.28515625" style="13" bestFit="1" customWidth="1"/>
    <col min="4" max="4" width="17.42578125" style="1" bestFit="1" customWidth="1"/>
    <col min="5" max="5" width="19.28515625" style="13" customWidth="1"/>
    <col min="6" max="6" width="9.85546875" style="1" customWidth="1"/>
    <col min="7" max="7" width="9.5703125" style="1" customWidth="1"/>
    <col min="8" max="16384" width="9.140625" style="1"/>
  </cols>
  <sheetData>
    <row r="1" spans="1:7" ht="21" customHeight="1" x14ac:dyDescent="0.2">
      <c r="A1" s="40" t="s">
        <v>196</v>
      </c>
      <c r="B1" s="40"/>
      <c r="C1" s="40"/>
      <c r="D1" s="40"/>
      <c r="E1" s="40"/>
      <c r="F1" s="40"/>
      <c r="G1" s="40"/>
    </row>
    <row r="2" spans="1:7" ht="23.25" x14ac:dyDescent="0.2">
      <c r="A2" s="34"/>
      <c r="D2" s="17"/>
      <c r="E2" s="34"/>
      <c r="F2" s="34"/>
      <c r="G2" s="34"/>
    </row>
    <row r="3" spans="1:7" s="5" customFormat="1" ht="24" x14ac:dyDescent="0.25">
      <c r="A3" s="24" t="s">
        <v>20</v>
      </c>
      <c r="B3" s="24" t="s">
        <v>29</v>
      </c>
      <c r="C3" s="24" t="s">
        <v>30</v>
      </c>
      <c r="D3" s="24" t="s">
        <v>21</v>
      </c>
      <c r="E3" s="24" t="s">
        <v>22</v>
      </c>
      <c r="F3" s="24" t="s">
        <v>28</v>
      </c>
      <c r="G3" s="24" t="s">
        <v>23</v>
      </c>
    </row>
    <row r="4" spans="1:7" s="6" customFormat="1" ht="12" x14ac:dyDescent="0.2">
      <c r="A4" s="10">
        <v>1</v>
      </c>
      <c r="B4" s="9" t="s">
        <v>111</v>
      </c>
      <c r="C4" s="2" t="s">
        <v>110</v>
      </c>
      <c r="D4" s="7" t="s">
        <v>112</v>
      </c>
      <c r="E4" s="18" t="s">
        <v>0</v>
      </c>
      <c r="F4" s="27">
        <v>28</v>
      </c>
      <c r="G4" s="27"/>
    </row>
    <row r="5" spans="1:7" s="6" customFormat="1" ht="12" x14ac:dyDescent="0.2">
      <c r="A5" s="10">
        <f>A4+1</f>
        <v>2</v>
      </c>
      <c r="B5" s="9" t="s">
        <v>113</v>
      </c>
      <c r="C5" s="2" t="s">
        <v>110</v>
      </c>
      <c r="D5" s="7" t="s">
        <v>114</v>
      </c>
      <c r="E5" s="14" t="s">
        <v>0</v>
      </c>
      <c r="F5" s="27">
        <v>22</v>
      </c>
      <c r="G5" s="27"/>
    </row>
    <row r="6" spans="1:7" s="6" customFormat="1" ht="12" x14ac:dyDescent="0.2">
      <c r="A6" s="10">
        <f t="shared" ref="A6:A54" si="0">A5+1</f>
        <v>3</v>
      </c>
      <c r="B6" s="9" t="s">
        <v>115</v>
      </c>
      <c r="C6" s="2" t="s">
        <v>110</v>
      </c>
      <c r="D6" s="7" t="s">
        <v>116</v>
      </c>
      <c r="E6" s="14" t="s">
        <v>0</v>
      </c>
      <c r="F6" s="27">
        <v>29</v>
      </c>
      <c r="G6" s="27"/>
    </row>
    <row r="7" spans="1:7" s="6" customFormat="1" ht="12" x14ac:dyDescent="0.2">
      <c r="A7" s="10">
        <f t="shared" si="0"/>
        <v>4</v>
      </c>
      <c r="B7" s="9" t="s">
        <v>117</v>
      </c>
      <c r="C7" s="2" t="s">
        <v>110</v>
      </c>
      <c r="D7" s="7" t="s">
        <v>118</v>
      </c>
      <c r="E7" s="14" t="s">
        <v>0</v>
      </c>
      <c r="F7" s="27">
        <v>27</v>
      </c>
      <c r="G7" s="27"/>
    </row>
    <row r="8" spans="1:7" s="6" customFormat="1" ht="12" x14ac:dyDescent="0.2">
      <c r="A8" s="10">
        <f t="shared" si="0"/>
        <v>5</v>
      </c>
      <c r="B8" s="9" t="s">
        <v>119</v>
      </c>
      <c r="C8" s="2" t="s">
        <v>110</v>
      </c>
      <c r="D8" s="7" t="s">
        <v>120</v>
      </c>
      <c r="E8" s="15" t="s">
        <v>0</v>
      </c>
      <c r="F8" s="27">
        <v>25</v>
      </c>
      <c r="G8" s="27"/>
    </row>
    <row r="9" spans="1:7" s="6" customFormat="1" ht="12" x14ac:dyDescent="0.2">
      <c r="A9" s="10">
        <f t="shared" si="0"/>
        <v>6</v>
      </c>
      <c r="B9" s="9" t="s">
        <v>121</v>
      </c>
      <c r="C9" s="2" t="s">
        <v>110</v>
      </c>
      <c r="D9" s="7" t="s">
        <v>122</v>
      </c>
      <c r="E9" s="15" t="s">
        <v>0</v>
      </c>
      <c r="F9" s="27">
        <v>21</v>
      </c>
      <c r="G9" s="27"/>
    </row>
    <row r="10" spans="1:7" s="6" customFormat="1" ht="12" x14ac:dyDescent="0.2">
      <c r="A10" s="10">
        <f t="shared" si="0"/>
        <v>7</v>
      </c>
      <c r="B10" s="9" t="s">
        <v>123</v>
      </c>
      <c r="C10" s="2" t="s">
        <v>110</v>
      </c>
      <c r="D10" s="7" t="s">
        <v>124</v>
      </c>
      <c r="E10" s="15" t="s">
        <v>0</v>
      </c>
      <c r="F10" s="27">
        <v>28</v>
      </c>
      <c r="G10" s="27"/>
    </row>
    <row r="11" spans="1:7" s="6" customFormat="1" ht="12" x14ac:dyDescent="0.2">
      <c r="A11" s="10">
        <f t="shared" si="0"/>
        <v>8</v>
      </c>
      <c r="B11" s="9" t="s">
        <v>125</v>
      </c>
      <c r="C11" s="2" t="s">
        <v>110</v>
      </c>
      <c r="D11" s="7" t="s">
        <v>215</v>
      </c>
      <c r="E11" s="15" t="s">
        <v>0</v>
      </c>
      <c r="F11" s="27">
        <v>31</v>
      </c>
      <c r="G11" s="27"/>
    </row>
    <row r="12" spans="1:7" s="6" customFormat="1" ht="12" x14ac:dyDescent="0.2">
      <c r="A12" s="10">
        <f t="shared" si="0"/>
        <v>9</v>
      </c>
      <c r="B12" s="9" t="s">
        <v>126</v>
      </c>
      <c r="C12" s="2" t="s">
        <v>110</v>
      </c>
      <c r="D12" s="7" t="s">
        <v>127</v>
      </c>
      <c r="E12" s="15" t="s">
        <v>0</v>
      </c>
      <c r="F12" s="27">
        <v>25</v>
      </c>
      <c r="G12" s="27"/>
    </row>
    <row r="13" spans="1:7" s="6" customFormat="1" ht="12" x14ac:dyDescent="0.2">
      <c r="A13" s="10">
        <f t="shared" si="0"/>
        <v>10</v>
      </c>
      <c r="B13" s="9" t="s">
        <v>128</v>
      </c>
      <c r="C13" s="2" t="s">
        <v>110</v>
      </c>
      <c r="D13" s="7" t="s">
        <v>129</v>
      </c>
      <c r="E13" s="15" t="s">
        <v>0</v>
      </c>
      <c r="F13" s="27">
        <v>24</v>
      </c>
      <c r="G13" s="27"/>
    </row>
    <row r="14" spans="1:7" s="6" customFormat="1" ht="12" x14ac:dyDescent="0.2">
      <c r="A14" s="10">
        <f t="shared" si="0"/>
        <v>11</v>
      </c>
      <c r="B14" s="9" t="s">
        <v>130</v>
      </c>
      <c r="C14" s="2" t="s">
        <v>110</v>
      </c>
      <c r="D14" s="7" t="s">
        <v>131</v>
      </c>
      <c r="E14" s="15" t="s">
        <v>0</v>
      </c>
      <c r="F14" s="27">
        <v>12</v>
      </c>
      <c r="G14" s="27"/>
    </row>
    <row r="15" spans="1:7" s="6" customFormat="1" ht="12" x14ac:dyDescent="0.2">
      <c r="A15" s="10">
        <f t="shared" si="0"/>
        <v>12</v>
      </c>
      <c r="B15" s="9" t="s">
        <v>132</v>
      </c>
      <c r="C15" s="2" t="s">
        <v>110</v>
      </c>
      <c r="D15" s="7" t="s">
        <v>216</v>
      </c>
      <c r="E15" s="15" t="s">
        <v>0</v>
      </c>
      <c r="F15" s="27">
        <v>12</v>
      </c>
      <c r="G15" s="27"/>
    </row>
    <row r="16" spans="1:7" s="6" customFormat="1" ht="12" x14ac:dyDescent="0.2">
      <c r="A16" s="10">
        <f t="shared" si="0"/>
        <v>13</v>
      </c>
      <c r="B16" s="9" t="s">
        <v>133</v>
      </c>
      <c r="C16" s="2" t="s">
        <v>110</v>
      </c>
      <c r="D16" s="7" t="s">
        <v>213</v>
      </c>
      <c r="E16" s="15" t="s">
        <v>0</v>
      </c>
      <c r="F16" s="27">
        <v>19</v>
      </c>
      <c r="G16" s="27"/>
    </row>
    <row r="17" spans="1:7" s="6" customFormat="1" ht="11.25" customHeight="1" x14ac:dyDescent="0.2">
      <c r="A17" s="10">
        <f t="shared" si="0"/>
        <v>14</v>
      </c>
      <c r="B17" s="9" t="s">
        <v>134</v>
      </c>
      <c r="C17" s="2" t="s">
        <v>110</v>
      </c>
      <c r="D17" s="7" t="s">
        <v>135</v>
      </c>
      <c r="E17" s="15" t="s">
        <v>136</v>
      </c>
      <c r="F17" s="27">
        <v>25</v>
      </c>
      <c r="G17" s="27"/>
    </row>
    <row r="18" spans="1:7" s="4" customFormat="1" ht="12" x14ac:dyDescent="0.15">
      <c r="A18" s="10">
        <f t="shared" si="0"/>
        <v>15</v>
      </c>
      <c r="B18" s="9" t="s">
        <v>137</v>
      </c>
      <c r="C18" s="2" t="s">
        <v>110</v>
      </c>
      <c r="D18" s="7" t="s">
        <v>138</v>
      </c>
      <c r="E18" s="15" t="s">
        <v>139</v>
      </c>
      <c r="F18" s="27">
        <v>13</v>
      </c>
      <c r="G18" s="27"/>
    </row>
    <row r="19" spans="1:7" s="4" customFormat="1" ht="12" x14ac:dyDescent="0.15">
      <c r="A19" s="10">
        <f t="shared" si="0"/>
        <v>16</v>
      </c>
      <c r="B19" s="9" t="s">
        <v>140</v>
      </c>
      <c r="C19" s="2" t="s">
        <v>110</v>
      </c>
      <c r="D19" s="7" t="s">
        <v>141</v>
      </c>
      <c r="E19" s="35" t="s">
        <v>142</v>
      </c>
      <c r="F19" s="27">
        <v>30</v>
      </c>
      <c r="G19" s="27"/>
    </row>
    <row r="20" spans="1:7" s="4" customFormat="1" ht="12" x14ac:dyDescent="0.15">
      <c r="A20" s="10"/>
      <c r="B20" s="9"/>
      <c r="C20" s="2"/>
      <c r="D20" s="7"/>
      <c r="E20" s="35"/>
      <c r="F20" s="27"/>
      <c r="G20" s="27"/>
    </row>
    <row r="21" spans="1:7" s="4" customFormat="1" ht="12" x14ac:dyDescent="0.15">
      <c r="A21" s="10">
        <f t="shared" si="0"/>
        <v>1</v>
      </c>
      <c r="B21" s="9" t="s">
        <v>143</v>
      </c>
      <c r="C21" s="2" t="s">
        <v>144</v>
      </c>
      <c r="D21" s="7" t="s">
        <v>145</v>
      </c>
      <c r="E21" s="15" t="s">
        <v>1</v>
      </c>
      <c r="F21" s="27"/>
      <c r="G21" s="27"/>
    </row>
    <row r="22" spans="1:7" s="4" customFormat="1" ht="12" x14ac:dyDescent="0.15">
      <c r="A22" s="10">
        <f t="shared" si="0"/>
        <v>2</v>
      </c>
      <c r="B22" s="9" t="s">
        <v>146</v>
      </c>
      <c r="C22" s="2" t="s">
        <v>144</v>
      </c>
      <c r="D22" s="7" t="s">
        <v>147</v>
      </c>
      <c r="E22" s="15" t="s">
        <v>1</v>
      </c>
      <c r="F22" s="27"/>
      <c r="G22" s="27"/>
    </row>
    <row r="23" spans="1:7" s="4" customFormat="1" ht="12" x14ac:dyDescent="0.15">
      <c r="A23" s="10">
        <f t="shared" si="0"/>
        <v>3</v>
      </c>
      <c r="B23" s="9" t="s">
        <v>148</v>
      </c>
      <c r="C23" s="2" t="s">
        <v>144</v>
      </c>
      <c r="D23" s="7" t="s">
        <v>149</v>
      </c>
      <c r="E23" s="15" t="s">
        <v>1</v>
      </c>
      <c r="F23" s="27"/>
      <c r="G23" s="27"/>
    </row>
    <row r="24" spans="1:7" s="4" customFormat="1" ht="12" x14ac:dyDescent="0.15">
      <c r="A24" s="10">
        <f t="shared" si="0"/>
        <v>4</v>
      </c>
      <c r="B24" s="9" t="s">
        <v>150</v>
      </c>
      <c r="C24" s="2" t="s">
        <v>144</v>
      </c>
      <c r="D24" s="7" t="s">
        <v>151</v>
      </c>
      <c r="E24" s="15" t="s">
        <v>1</v>
      </c>
      <c r="F24" s="27"/>
      <c r="G24" s="27"/>
    </row>
    <row r="25" spans="1:7" s="4" customFormat="1" ht="12" x14ac:dyDescent="0.15">
      <c r="A25" s="10">
        <f t="shared" si="0"/>
        <v>5</v>
      </c>
      <c r="B25" s="9" t="s">
        <v>152</v>
      </c>
      <c r="C25" s="2" t="s">
        <v>144</v>
      </c>
      <c r="D25" s="7" t="s">
        <v>153</v>
      </c>
      <c r="E25" s="15" t="s">
        <v>1</v>
      </c>
      <c r="F25" s="27"/>
      <c r="G25" s="27"/>
    </row>
    <row r="26" spans="1:7" s="4" customFormat="1" ht="12" x14ac:dyDescent="0.15">
      <c r="A26" s="10">
        <f t="shared" si="0"/>
        <v>6</v>
      </c>
      <c r="B26" s="9" t="s">
        <v>154</v>
      </c>
      <c r="C26" s="2" t="s">
        <v>144</v>
      </c>
      <c r="D26" s="7" t="s">
        <v>155</v>
      </c>
      <c r="E26" s="15" t="s">
        <v>1</v>
      </c>
      <c r="F26" s="27"/>
      <c r="G26" s="27"/>
    </row>
    <row r="27" spans="1:7" s="4" customFormat="1" ht="12" x14ac:dyDescent="0.15">
      <c r="A27" s="10">
        <f t="shared" si="0"/>
        <v>7</v>
      </c>
      <c r="B27" s="9" t="s">
        <v>156</v>
      </c>
      <c r="C27" s="2" t="s">
        <v>144</v>
      </c>
      <c r="D27" s="20" t="s">
        <v>157</v>
      </c>
      <c r="E27" s="15" t="s">
        <v>1</v>
      </c>
      <c r="F27" s="27"/>
      <c r="G27" s="27"/>
    </row>
    <row r="28" spans="1:7" s="4" customFormat="1" ht="12" x14ac:dyDescent="0.15">
      <c r="A28" s="10">
        <f t="shared" si="0"/>
        <v>8</v>
      </c>
      <c r="B28" s="19" t="s">
        <v>156</v>
      </c>
      <c r="C28" s="2" t="s">
        <v>144</v>
      </c>
      <c r="D28" s="20" t="s">
        <v>206</v>
      </c>
      <c r="E28" s="21" t="s">
        <v>1</v>
      </c>
      <c r="F28" s="27"/>
      <c r="G28" s="27"/>
    </row>
    <row r="29" spans="1:7" s="4" customFormat="1" ht="12" x14ac:dyDescent="0.15">
      <c r="A29" s="10">
        <f t="shared" si="0"/>
        <v>9</v>
      </c>
      <c r="B29" s="9" t="s">
        <v>156</v>
      </c>
      <c r="C29" s="2" t="s">
        <v>144</v>
      </c>
      <c r="D29" s="7" t="s">
        <v>207</v>
      </c>
      <c r="E29" s="15" t="s">
        <v>1</v>
      </c>
      <c r="F29" s="27"/>
      <c r="G29" s="27"/>
    </row>
    <row r="30" spans="1:7" s="4" customFormat="1" ht="12" x14ac:dyDescent="0.15">
      <c r="A30" s="10">
        <f t="shared" si="0"/>
        <v>10</v>
      </c>
      <c r="B30" s="9" t="s">
        <v>158</v>
      </c>
      <c r="C30" s="3" t="s">
        <v>144</v>
      </c>
      <c r="D30" s="7" t="s">
        <v>159</v>
      </c>
      <c r="E30" s="15" t="s">
        <v>0</v>
      </c>
      <c r="F30" s="27"/>
      <c r="G30" s="27"/>
    </row>
    <row r="31" spans="1:7" s="4" customFormat="1" ht="12" x14ac:dyDescent="0.15">
      <c r="A31" s="10">
        <f t="shared" si="0"/>
        <v>11</v>
      </c>
      <c r="B31" s="22" t="s">
        <v>160</v>
      </c>
      <c r="C31" s="3" t="s">
        <v>144</v>
      </c>
      <c r="D31" s="8" t="s">
        <v>161</v>
      </c>
      <c r="E31" s="23" t="s">
        <v>0</v>
      </c>
      <c r="F31" s="27"/>
      <c r="G31" s="27"/>
    </row>
    <row r="32" spans="1:7" s="4" customFormat="1" ht="12" x14ac:dyDescent="0.15">
      <c r="A32" s="10"/>
      <c r="B32" s="22"/>
      <c r="C32" s="3"/>
      <c r="D32" s="8"/>
      <c r="E32" s="23"/>
      <c r="F32" s="27"/>
      <c r="G32" s="27"/>
    </row>
    <row r="33" spans="1:7" s="4" customFormat="1" ht="12" x14ac:dyDescent="0.15">
      <c r="A33" s="10">
        <f t="shared" si="0"/>
        <v>1</v>
      </c>
      <c r="B33" s="9" t="s">
        <v>162</v>
      </c>
      <c r="C33" s="3" t="s">
        <v>163</v>
      </c>
      <c r="D33" s="7" t="s">
        <v>164</v>
      </c>
      <c r="E33" s="15" t="s">
        <v>1</v>
      </c>
      <c r="F33" s="27"/>
      <c r="G33" s="27"/>
    </row>
    <row r="34" spans="1:7" s="4" customFormat="1" ht="12" x14ac:dyDescent="0.15">
      <c r="A34" s="10">
        <f t="shared" si="0"/>
        <v>2</v>
      </c>
      <c r="B34" s="9" t="s">
        <v>165</v>
      </c>
      <c r="C34" s="3" t="s">
        <v>163</v>
      </c>
      <c r="D34" s="7" t="s">
        <v>166</v>
      </c>
      <c r="E34" s="15" t="s">
        <v>1</v>
      </c>
      <c r="F34" s="27"/>
      <c r="G34" s="27"/>
    </row>
    <row r="35" spans="1:7" s="4" customFormat="1" ht="12" x14ac:dyDescent="0.15">
      <c r="A35" s="10">
        <f t="shared" si="0"/>
        <v>3</v>
      </c>
      <c r="B35" s="9" t="s">
        <v>167</v>
      </c>
      <c r="C35" s="3" t="s">
        <v>163</v>
      </c>
      <c r="D35" s="7" t="s">
        <v>168</v>
      </c>
      <c r="E35" s="15" t="s">
        <v>1</v>
      </c>
      <c r="F35" s="27"/>
      <c r="G35" s="27"/>
    </row>
    <row r="36" spans="1:7" s="4" customFormat="1" ht="12" x14ac:dyDescent="0.15">
      <c r="A36" s="10">
        <f t="shared" si="0"/>
        <v>4</v>
      </c>
      <c r="B36" s="9" t="s">
        <v>169</v>
      </c>
      <c r="C36" s="3" t="s">
        <v>163</v>
      </c>
      <c r="D36" s="7" t="s">
        <v>170</v>
      </c>
      <c r="E36" s="15" t="s">
        <v>1</v>
      </c>
      <c r="F36" s="27"/>
      <c r="G36" s="27"/>
    </row>
    <row r="37" spans="1:7" s="4" customFormat="1" ht="12" x14ac:dyDescent="0.15">
      <c r="A37" s="10">
        <f t="shared" si="0"/>
        <v>5</v>
      </c>
      <c r="B37" s="9" t="s">
        <v>171</v>
      </c>
      <c r="C37" s="3" t="s">
        <v>163</v>
      </c>
      <c r="D37" s="7" t="s">
        <v>161</v>
      </c>
      <c r="E37" s="15" t="s">
        <v>1</v>
      </c>
      <c r="F37" s="27"/>
      <c r="G37" s="27"/>
    </row>
    <row r="38" spans="1:7" s="4" customFormat="1" ht="12" x14ac:dyDescent="0.15">
      <c r="A38" s="10">
        <f t="shared" si="0"/>
        <v>6</v>
      </c>
      <c r="B38" s="9" t="s">
        <v>172</v>
      </c>
      <c r="C38" s="3" t="s">
        <v>163</v>
      </c>
      <c r="D38" s="7" t="s">
        <v>173</v>
      </c>
      <c r="E38" s="15" t="s">
        <v>0</v>
      </c>
      <c r="F38" s="27"/>
      <c r="G38" s="27"/>
    </row>
    <row r="39" spans="1:7" s="4" customFormat="1" ht="12" x14ac:dyDescent="0.15">
      <c r="A39" s="10">
        <f t="shared" si="0"/>
        <v>7</v>
      </c>
      <c r="B39" s="9" t="s">
        <v>174</v>
      </c>
      <c r="C39" s="3" t="s">
        <v>163</v>
      </c>
      <c r="D39" s="7" t="s">
        <v>175</v>
      </c>
      <c r="E39" s="15" t="s">
        <v>0</v>
      </c>
      <c r="F39" s="27"/>
      <c r="G39" s="27"/>
    </row>
    <row r="40" spans="1:7" s="4" customFormat="1" ht="12" x14ac:dyDescent="0.15">
      <c r="A40" s="10">
        <f t="shared" si="0"/>
        <v>8</v>
      </c>
      <c r="B40" s="9" t="s">
        <v>176</v>
      </c>
      <c r="C40" s="3" t="s">
        <v>163</v>
      </c>
      <c r="D40" s="7" t="s">
        <v>177</v>
      </c>
      <c r="E40" s="15" t="s">
        <v>0</v>
      </c>
      <c r="F40" s="27"/>
      <c r="G40" s="27"/>
    </row>
    <row r="41" spans="1:7" s="4" customFormat="1" ht="12" x14ac:dyDescent="0.15">
      <c r="A41" s="10"/>
      <c r="B41" s="9"/>
      <c r="C41" s="3"/>
      <c r="D41" s="7"/>
      <c r="E41" s="15"/>
      <c r="F41" s="27"/>
      <c r="G41" s="27"/>
    </row>
    <row r="42" spans="1:7" s="4" customFormat="1" ht="12" x14ac:dyDescent="0.15">
      <c r="A42" s="10">
        <f t="shared" si="0"/>
        <v>1</v>
      </c>
      <c r="B42" s="9" t="s">
        <v>178</v>
      </c>
      <c r="C42" s="3" t="s">
        <v>179</v>
      </c>
      <c r="D42" s="7" t="s">
        <v>180</v>
      </c>
      <c r="E42" s="15" t="s">
        <v>1</v>
      </c>
      <c r="F42" s="27" t="s">
        <v>218</v>
      </c>
      <c r="G42" s="27"/>
    </row>
    <row r="43" spans="1:7" s="4" customFormat="1" ht="12" x14ac:dyDescent="0.15">
      <c r="A43" s="10">
        <f t="shared" si="0"/>
        <v>2</v>
      </c>
      <c r="B43" s="9" t="s">
        <v>181</v>
      </c>
      <c r="C43" s="3" t="s">
        <v>179</v>
      </c>
      <c r="D43" s="7" t="s">
        <v>182</v>
      </c>
      <c r="E43" s="15" t="s">
        <v>1</v>
      </c>
      <c r="F43" s="27">
        <v>28</v>
      </c>
      <c r="G43" s="27"/>
    </row>
    <row r="44" spans="1:7" s="4" customFormat="1" ht="12" x14ac:dyDescent="0.15">
      <c r="A44" s="10">
        <f t="shared" si="0"/>
        <v>3</v>
      </c>
      <c r="B44" s="9" t="s">
        <v>183</v>
      </c>
      <c r="C44" s="14" t="s">
        <v>179</v>
      </c>
      <c r="D44" s="7" t="s">
        <v>108</v>
      </c>
      <c r="E44" s="15" t="s">
        <v>1</v>
      </c>
      <c r="F44" s="27">
        <v>29</v>
      </c>
      <c r="G44" s="27"/>
    </row>
    <row r="45" spans="1:7" s="4" customFormat="1" ht="12" x14ac:dyDescent="0.15">
      <c r="A45" s="10">
        <f t="shared" si="0"/>
        <v>4</v>
      </c>
      <c r="B45" s="9" t="s">
        <v>204</v>
      </c>
      <c r="C45" s="14" t="s">
        <v>179</v>
      </c>
      <c r="D45" s="7" t="s">
        <v>217</v>
      </c>
      <c r="E45" s="15" t="s">
        <v>1</v>
      </c>
      <c r="F45" s="27">
        <v>9</v>
      </c>
      <c r="G45" s="27"/>
    </row>
    <row r="46" spans="1:7" s="4" customFormat="1" ht="12" x14ac:dyDescent="0.15">
      <c r="A46" s="10">
        <f t="shared" si="0"/>
        <v>5</v>
      </c>
      <c r="B46" s="9" t="s">
        <v>184</v>
      </c>
      <c r="C46" s="14" t="s">
        <v>179</v>
      </c>
      <c r="D46" s="7" t="s">
        <v>185</v>
      </c>
      <c r="E46" s="15" t="s">
        <v>1</v>
      </c>
      <c r="F46" s="27">
        <v>4</v>
      </c>
      <c r="G46" s="27"/>
    </row>
    <row r="47" spans="1:7" s="4" customFormat="1" ht="12" x14ac:dyDescent="0.15">
      <c r="A47" s="10"/>
      <c r="B47" s="9"/>
      <c r="C47" s="14"/>
      <c r="D47" s="7"/>
      <c r="E47" s="15"/>
      <c r="F47" s="27"/>
      <c r="G47" s="27"/>
    </row>
    <row r="48" spans="1:7" s="4" customFormat="1" ht="12" x14ac:dyDescent="0.15">
      <c r="A48" s="10">
        <f t="shared" si="0"/>
        <v>1</v>
      </c>
      <c r="B48" s="9" t="s">
        <v>186</v>
      </c>
      <c r="C48" s="14" t="s">
        <v>187</v>
      </c>
      <c r="D48" s="7" t="s">
        <v>188</v>
      </c>
      <c r="E48" s="15" t="s">
        <v>1</v>
      </c>
      <c r="F48" s="27"/>
      <c r="G48" s="27"/>
    </row>
    <row r="49" spans="1:7" s="4" customFormat="1" ht="12" x14ac:dyDescent="0.15">
      <c r="A49" s="10">
        <f t="shared" si="0"/>
        <v>2</v>
      </c>
      <c r="B49" s="9" t="s">
        <v>189</v>
      </c>
      <c r="C49" s="14" t="s">
        <v>187</v>
      </c>
      <c r="D49" s="7" t="s">
        <v>180</v>
      </c>
      <c r="E49" s="15" t="s">
        <v>1</v>
      </c>
      <c r="F49" s="27"/>
      <c r="G49" s="27"/>
    </row>
    <row r="50" spans="1:7" s="4" customFormat="1" ht="12" x14ac:dyDescent="0.15">
      <c r="A50" s="10">
        <f t="shared" si="0"/>
        <v>3</v>
      </c>
      <c r="B50" s="9" t="s">
        <v>190</v>
      </c>
      <c r="C50" s="14" t="s">
        <v>187</v>
      </c>
      <c r="D50" s="7" t="s">
        <v>191</v>
      </c>
      <c r="E50" s="15" t="s">
        <v>0</v>
      </c>
      <c r="F50" s="27"/>
      <c r="G50" s="27"/>
    </row>
    <row r="51" spans="1:7" s="4" customFormat="1" ht="12" x14ac:dyDescent="0.15">
      <c r="A51" s="10">
        <f t="shared" si="0"/>
        <v>4</v>
      </c>
      <c r="B51" s="9" t="s">
        <v>192</v>
      </c>
      <c r="C51" s="14" t="s">
        <v>187</v>
      </c>
      <c r="D51" s="7" t="s">
        <v>193</v>
      </c>
      <c r="E51" s="15" t="s">
        <v>0</v>
      </c>
      <c r="F51" s="11"/>
      <c r="G51" s="11"/>
    </row>
    <row r="52" spans="1:7" s="4" customFormat="1" ht="12" x14ac:dyDescent="0.15">
      <c r="A52" s="10">
        <f t="shared" si="0"/>
        <v>5</v>
      </c>
      <c r="B52" s="9" t="s">
        <v>194</v>
      </c>
      <c r="C52" s="14" t="s">
        <v>187</v>
      </c>
      <c r="D52" s="7" t="s">
        <v>195</v>
      </c>
      <c r="E52" s="15" t="s">
        <v>0</v>
      </c>
      <c r="F52" s="11"/>
      <c r="G52" s="11"/>
    </row>
    <row r="53" spans="1:7" s="4" customFormat="1" ht="12" x14ac:dyDescent="0.15">
      <c r="A53" s="10">
        <f t="shared" si="0"/>
        <v>6</v>
      </c>
      <c r="B53" s="9" t="s">
        <v>194</v>
      </c>
      <c r="C53" s="14" t="s">
        <v>187</v>
      </c>
      <c r="D53" s="7" t="s">
        <v>208</v>
      </c>
      <c r="E53" s="15" t="s">
        <v>0</v>
      </c>
      <c r="F53" s="11"/>
      <c r="G53" s="11"/>
    </row>
    <row r="54" spans="1:7" x14ac:dyDescent="0.2">
      <c r="A54" s="10">
        <f t="shared" si="0"/>
        <v>7</v>
      </c>
      <c r="B54" s="9" t="s">
        <v>194</v>
      </c>
      <c r="C54" s="14" t="s">
        <v>187</v>
      </c>
      <c r="D54" s="7" t="s">
        <v>180</v>
      </c>
      <c r="E54" s="15" t="s">
        <v>0</v>
      </c>
      <c r="F54" s="11"/>
      <c r="G54" s="11"/>
    </row>
    <row r="55" spans="1:7" x14ac:dyDescent="0.2">
      <c r="A55" s="37"/>
      <c r="B55" s="38"/>
      <c r="C55" s="39"/>
      <c r="D55" s="38"/>
      <c r="E55" s="39"/>
      <c r="F55" s="38"/>
      <c r="G55" s="38"/>
    </row>
    <row r="56" spans="1:7" x14ac:dyDescent="0.2">
      <c r="A56" s="30"/>
      <c r="B56" s="12"/>
      <c r="C56" s="16"/>
      <c r="D56" s="12"/>
      <c r="E56" s="16"/>
      <c r="F56" s="25">
        <f>SUM(F4:F54)</f>
        <v>441</v>
      </c>
      <c r="G56" s="25">
        <f>SUM(G4:G54)</f>
        <v>0</v>
      </c>
    </row>
  </sheetData>
  <mergeCells count="1">
    <mergeCell ref="A1:G1"/>
  </mergeCells>
  <conditionalFormatting sqref="D25">
    <cfRule type="duplicateValues" dxfId="1" priority="16"/>
  </conditionalFormatting>
  <conditionalFormatting sqref="D13">
    <cfRule type="duplicateValues" dxfId="0" priority="7"/>
  </conditionalFormatting>
  <printOptions horizontalCentered="1"/>
  <pageMargins left="0" right="0" top="0.25" bottom="0" header="0" footer="0"/>
  <pageSetup paperSize="9" scale="5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Primarc Retail Store Pvt. Ltd</vt:lpstr>
      <vt:lpstr>Primarc Realty &amp; Pecan</vt:lpstr>
      <vt:lpstr>'Primarc Realty &amp; Pecan'!Print_Area</vt:lpstr>
      <vt:lpstr>'Primarc Retail Store Pvt. Ltd'!Print_Area</vt:lpstr>
      <vt:lpstr>'Primarc Realty &amp; Pecan'!Print_Titles</vt:lpstr>
      <vt:lpstr>'Primarc Retail Store Pvt. Ltd'!Print_Titles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2018-01-03T05:14:26Z</dcterms:modified>
</cp:coreProperties>
</file>