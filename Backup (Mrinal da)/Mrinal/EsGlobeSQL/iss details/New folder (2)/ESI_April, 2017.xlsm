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0" yWindow="0" windowWidth="20490" windowHeight="9045" tabRatio="606"/>
  </bookViews>
  <sheets>
    <sheet name="Register of wages" sheetId="4" r:id="rId1"/>
    <sheet name="ESI" sheetId="7" r:id="rId2"/>
  </sheets>
  <functionGroups builtInGroupCount="18"/>
  <externalReferences>
    <externalReference r:id="rId3"/>
    <externalReference r:id="rId4"/>
    <externalReference r:id="rId5"/>
  </externalReferences>
  <definedNames>
    <definedName name="_xlnm._FilterDatabase" localSheetId="1" hidden="1">ESI!$B$1:$H$83</definedName>
    <definedName name="_xlnm._FilterDatabase" localSheetId="0" hidden="1">'Register of wages'!$B$3:$I$85</definedName>
    <definedName name="_xlnm.Criteria" localSheetId="1">ESI!#REF!</definedName>
    <definedName name="_xlnm.Criteria" localSheetId="0">'Register of wages'!#REF!</definedName>
    <definedName name="list">[1]Rate!$A$4:$A$11</definedName>
    <definedName name="List1">'[2]Company List'!$B$3:$B$11</definedName>
    <definedName name="List2">'[3]Company List'!$B$3:$B$11</definedName>
    <definedName name="_xlnm.Print_Area" localSheetId="1">ESI!$D$1:$L$85</definedName>
    <definedName name="_xlnm.Print_Area" localSheetId="0">'Register of wages'!$D$1:$AF$87</definedName>
    <definedName name="_xlnm.Print_Titles" localSheetId="1">ESI!$1:$1</definedName>
    <definedName name="_xlnm.Print_Titles" localSheetId="0">'Register of wages'!$3:$3</definedName>
  </definedNames>
  <calcPr calcId="152511"/>
</workbook>
</file>

<file path=xl/calcChain.xml><?xml version="1.0" encoding="utf-8"?>
<calcChain xmlns="http://schemas.openxmlformats.org/spreadsheetml/2006/main">
  <c r="I85" i="7" l="1"/>
  <c r="H85" i="7"/>
  <c r="O21" i="4" l="1"/>
  <c r="J19" i="7" s="1"/>
  <c r="O12" i="4"/>
  <c r="J10" i="7" s="1"/>
  <c r="O54" i="4"/>
  <c r="J52" i="7" s="1"/>
  <c r="O65" i="4"/>
  <c r="J63" i="7" s="1"/>
  <c r="O16" i="4"/>
  <c r="J14" i="7" s="1"/>
  <c r="O4" i="4"/>
  <c r="J2" i="7" s="1"/>
  <c r="O79" i="4"/>
  <c r="J77" i="7" s="1"/>
  <c r="O20" i="4"/>
  <c r="J18" i="7" s="1"/>
  <c r="O67" i="4"/>
  <c r="J65" i="7" s="1"/>
  <c r="O73" i="4"/>
  <c r="J71" i="7" s="1"/>
  <c r="O53" i="4"/>
  <c r="J51" i="7" s="1"/>
  <c r="O82" i="4"/>
  <c r="J80" i="7" s="1"/>
  <c r="O22" i="4"/>
  <c r="J20" i="7" s="1"/>
  <c r="O15" i="4"/>
  <c r="J13" i="7" s="1"/>
  <c r="O50" i="4"/>
  <c r="J48" i="7" s="1"/>
  <c r="O13" i="4"/>
  <c r="J11" i="7" s="1"/>
  <c r="O6" i="4"/>
  <c r="J4" i="7" s="1"/>
  <c r="O4" i="7" s="1"/>
  <c r="O19" i="4"/>
  <c r="J17" i="7" s="1"/>
  <c r="O68" i="4"/>
  <c r="J66" i="7" s="1"/>
  <c r="O11" i="4"/>
  <c r="J9" i="7" s="1"/>
  <c r="O58" i="4"/>
  <c r="J56" i="7" s="1"/>
  <c r="O34" i="4"/>
  <c r="J32" i="7" s="1"/>
  <c r="O38" i="4"/>
  <c r="J36" i="7" s="1"/>
  <c r="O66" i="4"/>
  <c r="J64" i="7" s="1"/>
  <c r="O56" i="4"/>
  <c r="J54" i="7" s="1"/>
  <c r="O80" i="4"/>
  <c r="J78" i="7" s="1"/>
  <c r="O84" i="4"/>
  <c r="J82" i="7" s="1"/>
  <c r="O37" i="4"/>
  <c r="J35" i="7" s="1"/>
  <c r="O24" i="4"/>
  <c r="J22" i="7" s="1"/>
  <c r="O48" i="4"/>
  <c r="J46" i="7" s="1"/>
  <c r="O85" i="4"/>
  <c r="J83" i="7" s="1"/>
  <c r="O64" i="4"/>
  <c r="J62" i="7" s="1"/>
  <c r="O70" i="4"/>
  <c r="J68" i="7" s="1"/>
  <c r="O46" i="4"/>
  <c r="J44" i="7" s="1"/>
  <c r="O63" i="4"/>
  <c r="J61" i="7" s="1"/>
  <c r="O18" i="4"/>
  <c r="J16" i="7" s="1"/>
  <c r="O81" i="4"/>
  <c r="J79" i="7" s="1"/>
  <c r="O36" i="4"/>
  <c r="J34" i="7" s="1"/>
  <c r="O69" i="4"/>
  <c r="J67" i="7" s="1"/>
  <c r="O83" i="4"/>
  <c r="J81" i="7" s="1"/>
  <c r="O77" i="4"/>
  <c r="J75" i="7" s="1"/>
  <c r="O31" i="4"/>
  <c r="J29" i="7" s="1"/>
  <c r="O9" i="4"/>
  <c r="J7" i="7" s="1"/>
  <c r="O61" i="4"/>
  <c r="J59" i="7" s="1"/>
  <c r="O45" i="4"/>
  <c r="J43" i="7" s="1"/>
  <c r="O14" i="4"/>
  <c r="J12" i="7" s="1"/>
  <c r="O49" i="4"/>
  <c r="J47" i="7" s="1"/>
  <c r="O44" i="4"/>
  <c r="J42" i="7" s="1"/>
  <c r="O17" i="4"/>
  <c r="O8" i="4"/>
  <c r="O59" i="4"/>
  <c r="O25" i="4"/>
  <c r="J23" i="7" s="1"/>
  <c r="O29" i="4"/>
  <c r="O7" i="4"/>
  <c r="O43" i="4"/>
  <c r="O10" i="4"/>
  <c r="O26" i="4"/>
  <c r="O28" i="4"/>
  <c r="O5" i="4"/>
  <c r="O47" i="4"/>
  <c r="J45" i="7" s="1"/>
  <c r="O57" i="4"/>
  <c r="O51" i="4"/>
  <c r="O33" i="4"/>
  <c r="O78" i="4"/>
  <c r="O23" i="4"/>
  <c r="O74" i="4"/>
  <c r="O32" i="4"/>
  <c r="J30" i="7" s="1"/>
  <c r="O27" i="4"/>
  <c r="J25" i="7" s="1"/>
  <c r="O30" i="4"/>
  <c r="O41" i="4"/>
  <c r="J39" i="7" s="1"/>
  <c r="O55" i="4"/>
  <c r="O62" i="4"/>
  <c r="O42" i="4"/>
  <c r="O76" i="4"/>
  <c r="J74" i="7" s="1"/>
  <c r="O35" i="4"/>
  <c r="O52" i="4"/>
  <c r="O72" i="4"/>
  <c r="O71" i="4"/>
  <c r="O39" i="4"/>
  <c r="O75" i="4"/>
  <c r="O40" i="4"/>
  <c r="J38" i="7" s="1"/>
  <c r="O60" i="4"/>
  <c r="J58" i="7" s="1"/>
  <c r="AE87" i="4"/>
  <c r="AF87" i="4"/>
  <c r="AE94" i="4"/>
  <c r="J87" i="4"/>
  <c r="K87" i="4"/>
  <c r="L87" i="4"/>
  <c r="M87" i="4"/>
  <c r="N87" i="4"/>
  <c r="U87" i="4"/>
  <c r="V87" i="4"/>
  <c r="AA87" i="4"/>
  <c r="AB87" i="4"/>
  <c r="I87" i="4"/>
  <c r="AG40" i="4"/>
  <c r="S40" i="4"/>
  <c r="R40" i="4"/>
  <c r="Q40" i="4"/>
  <c r="P40" i="4"/>
  <c r="AJ40" i="4"/>
  <c r="AG75" i="4"/>
  <c r="S75" i="4"/>
  <c r="R75" i="4"/>
  <c r="Q75" i="4"/>
  <c r="P75" i="4"/>
  <c r="AG39" i="4"/>
  <c r="S39" i="4"/>
  <c r="R39" i="4"/>
  <c r="Q39" i="4"/>
  <c r="P39" i="4"/>
  <c r="AG71" i="4"/>
  <c r="S71" i="4"/>
  <c r="R71" i="4"/>
  <c r="Q71" i="4"/>
  <c r="P71" i="4"/>
  <c r="AG72" i="4"/>
  <c r="S72" i="4"/>
  <c r="R72" i="4"/>
  <c r="Q72" i="4"/>
  <c r="P72" i="4"/>
  <c r="AG52" i="4"/>
  <c r="S52" i="4"/>
  <c r="R52" i="4"/>
  <c r="Q52" i="4"/>
  <c r="P52" i="4"/>
  <c r="AH52" i="4" s="1"/>
  <c r="AG35" i="4"/>
  <c r="S35" i="4"/>
  <c r="R35" i="4"/>
  <c r="Q35" i="4"/>
  <c r="P35" i="4"/>
  <c r="AG76" i="4"/>
  <c r="S76" i="4"/>
  <c r="R76" i="4"/>
  <c r="Q76" i="4"/>
  <c r="P76" i="4"/>
  <c r="AG42" i="4"/>
  <c r="S42" i="4"/>
  <c r="R42" i="4"/>
  <c r="Q42" i="4"/>
  <c r="P42" i="4"/>
  <c r="AG62" i="4"/>
  <c r="S62" i="4"/>
  <c r="R62" i="4"/>
  <c r="Q62" i="4"/>
  <c r="P62" i="4"/>
  <c r="AG55" i="4"/>
  <c r="S55" i="4"/>
  <c r="R55" i="4"/>
  <c r="Q55" i="4"/>
  <c r="P55" i="4"/>
  <c r="AG41" i="4"/>
  <c r="S41" i="4"/>
  <c r="R41" i="4"/>
  <c r="Q41" i="4"/>
  <c r="P41" i="4"/>
  <c r="AJ41" i="4"/>
  <c r="AG30" i="4"/>
  <c r="S30" i="4"/>
  <c r="R30" i="4"/>
  <c r="Q30" i="4"/>
  <c r="P30" i="4"/>
  <c r="AG27" i="4"/>
  <c r="S27" i="4"/>
  <c r="R27" i="4"/>
  <c r="Q27" i="4"/>
  <c r="P27" i="4"/>
  <c r="AG32" i="4"/>
  <c r="S32" i="4"/>
  <c r="R32" i="4"/>
  <c r="Q32" i="4"/>
  <c r="P32" i="4"/>
  <c r="AG74" i="4"/>
  <c r="S74" i="4"/>
  <c r="R74" i="4"/>
  <c r="Q74" i="4"/>
  <c r="P74" i="4"/>
  <c r="AG23" i="4"/>
  <c r="S23" i="4"/>
  <c r="R23" i="4"/>
  <c r="Q23" i="4"/>
  <c r="P23" i="4"/>
  <c r="AH23" i="4" s="1"/>
  <c r="AG78" i="4"/>
  <c r="S78" i="4"/>
  <c r="R78" i="4"/>
  <c r="Q78" i="4"/>
  <c r="P78" i="4"/>
  <c r="AG33" i="4"/>
  <c r="S33" i="4"/>
  <c r="R33" i="4"/>
  <c r="Q33" i="4"/>
  <c r="P33" i="4"/>
  <c r="AG51" i="4"/>
  <c r="S51" i="4"/>
  <c r="R51" i="4"/>
  <c r="Q51" i="4"/>
  <c r="P51" i="4"/>
  <c r="AG57" i="4"/>
  <c r="S57" i="4"/>
  <c r="R57" i="4"/>
  <c r="Q57" i="4"/>
  <c r="P57" i="4"/>
  <c r="AG47" i="4"/>
  <c r="S47" i="4"/>
  <c r="R47" i="4"/>
  <c r="Q47" i="4"/>
  <c r="P47" i="4"/>
  <c r="AJ47" i="4"/>
  <c r="AG5" i="4"/>
  <c r="S5" i="4"/>
  <c r="R5" i="4"/>
  <c r="Q5" i="4"/>
  <c r="P5" i="4"/>
  <c r="AG28" i="4"/>
  <c r="S28" i="4"/>
  <c r="R28" i="4"/>
  <c r="Q28" i="4"/>
  <c r="P28" i="4"/>
  <c r="AG26" i="4"/>
  <c r="S26" i="4"/>
  <c r="R26" i="4"/>
  <c r="Q26" i="4"/>
  <c r="P26" i="4"/>
  <c r="AG10" i="4"/>
  <c r="S10" i="4"/>
  <c r="R10" i="4"/>
  <c r="Q10" i="4"/>
  <c r="P10" i="4"/>
  <c r="AG43" i="4"/>
  <c r="S43" i="4"/>
  <c r="R43" i="4"/>
  <c r="Q43" i="4"/>
  <c r="P43" i="4"/>
  <c r="AG7" i="4"/>
  <c r="S7" i="4"/>
  <c r="R7" i="4"/>
  <c r="Q7" i="4"/>
  <c r="P7" i="4"/>
  <c r="AG29" i="4"/>
  <c r="S29" i="4"/>
  <c r="R29" i="4"/>
  <c r="Q29" i="4"/>
  <c r="P29" i="4"/>
  <c r="AG25" i="4"/>
  <c r="S25" i="4"/>
  <c r="R25" i="4"/>
  <c r="Q25" i="4"/>
  <c r="P25" i="4"/>
  <c r="AJ25" i="4"/>
  <c r="AG59" i="4"/>
  <c r="S59" i="4"/>
  <c r="R59" i="4"/>
  <c r="Q59" i="4"/>
  <c r="P59" i="4"/>
  <c r="AG8" i="4"/>
  <c r="S8" i="4"/>
  <c r="R8" i="4"/>
  <c r="Q8" i="4"/>
  <c r="P8" i="4"/>
  <c r="AG17" i="4"/>
  <c r="S17" i="4"/>
  <c r="R17" i="4"/>
  <c r="Q17" i="4"/>
  <c r="P17" i="4"/>
  <c r="AG44" i="4"/>
  <c r="S44" i="4"/>
  <c r="R44" i="4"/>
  <c r="Q44" i="4"/>
  <c r="P44" i="4"/>
  <c r="AG49" i="4"/>
  <c r="S49" i="4"/>
  <c r="R49" i="4"/>
  <c r="Q49" i="4"/>
  <c r="P49" i="4"/>
  <c r="AG14" i="4"/>
  <c r="S14" i="4"/>
  <c r="R14" i="4"/>
  <c r="Q14" i="4"/>
  <c r="P14" i="4"/>
  <c r="AJ78" i="4" l="1"/>
  <c r="J76" i="7"/>
  <c r="AJ42" i="4"/>
  <c r="J40" i="7"/>
  <c r="AJ23" i="4"/>
  <c r="J21" i="7"/>
  <c r="AJ26" i="4"/>
  <c r="J24" i="7"/>
  <c r="AJ17" i="4"/>
  <c r="J15" i="7"/>
  <c r="M4" i="7"/>
  <c r="L4" i="7"/>
  <c r="AJ75" i="4"/>
  <c r="J73" i="7"/>
  <c r="AJ52" i="4"/>
  <c r="J50" i="7"/>
  <c r="AJ62" i="4"/>
  <c r="J60" i="7"/>
  <c r="AJ39" i="4"/>
  <c r="J37" i="7"/>
  <c r="AJ35" i="4"/>
  <c r="J33" i="7"/>
  <c r="AJ55" i="4"/>
  <c r="J53" i="7"/>
  <c r="AJ33" i="4"/>
  <c r="J31" i="7"/>
  <c r="AJ5" i="4"/>
  <c r="J3" i="7"/>
  <c r="O3" i="7" s="1"/>
  <c r="AJ43" i="4"/>
  <c r="J41" i="7"/>
  <c r="AJ59" i="4"/>
  <c r="J57" i="7"/>
  <c r="AJ72" i="4"/>
  <c r="J70" i="7"/>
  <c r="AJ30" i="4"/>
  <c r="J28" i="7"/>
  <c r="AJ57" i="4"/>
  <c r="J55" i="7"/>
  <c r="AJ29" i="4"/>
  <c r="J27" i="7"/>
  <c r="AJ10" i="4"/>
  <c r="J8" i="7"/>
  <c r="AJ71" i="4"/>
  <c r="J69" i="7"/>
  <c r="AJ74" i="4"/>
  <c r="Y74" i="4" s="1"/>
  <c r="J72" i="7"/>
  <c r="AJ51" i="4"/>
  <c r="J49" i="7"/>
  <c r="AJ28" i="4"/>
  <c r="J26" i="7"/>
  <c r="AJ7" i="4"/>
  <c r="J5" i="7"/>
  <c r="O5" i="7" s="1"/>
  <c r="M5" i="7" s="1"/>
  <c r="AJ8" i="4"/>
  <c r="J6" i="7"/>
  <c r="O6" i="7" s="1"/>
  <c r="O2" i="7"/>
  <c r="J85" i="7"/>
  <c r="AH14" i="4"/>
  <c r="X14" i="4" s="1"/>
  <c r="AH44" i="4"/>
  <c r="AH8" i="4"/>
  <c r="X8" i="4" s="1"/>
  <c r="AH29" i="4"/>
  <c r="AH43" i="4"/>
  <c r="AI43" i="4" s="1"/>
  <c r="AH26" i="4"/>
  <c r="AH5" i="4"/>
  <c r="AI5" i="4" s="1"/>
  <c r="AH47" i="4"/>
  <c r="AH51" i="4"/>
  <c r="AI51" i="4" s="1"/>
  <c r="AH78" i="4"/>
  <c r="AH74" i="4"/>
  <c r="X74" i="4" s="1"/>
  <c r="AH27" i="4"/>
  <c r="AH55" i="4"/>
  <c r="AI55" i="4" s="1"/>
  <c r="AH42" i="4"/>
  <c r="AH35" i="4"/>
  <c r="AH72" i="4"/>
  <c r="AH39" i="4"/>
  <c r="X39" i="4" s="1"/>
  <c r="AH49" i="4"/>
  <c r="X49" i="4" s="1"/>
  <c r="AH17" i="4"/>
  <c r="X17" i="4" s="1"/>
  <c r="AH59" i="4"/>
  <c r="AH25" i="4"/>
  <c r="AI25" i="4" s="1"/>
  <c r="AH7" i="4"/>
  <c r="AH10" i="4"/>
  <c r="AI10" i="4" s="1"/>
  <c r="AH28" i="4"/>
  <c r="AH57" i="4"/>
  <c r="AI57" i="4" s="1"/>
  <c r="AH33" i="4"/>
  <c r="AH32" i="4"/>
  <c r="X32" i="4" s="1"/>
  <c r="AH30" i="4"/>
  <c r="AH41" i="4"/>
  <c r="AI41" i="4" s="1"/>
  <c r="AH62" i="4"/>
  <c r="AH76" i="4"/>
  <c r="X76" i="4" s="1"/>
  <c r="AH71" i="4"/>
  <c r="AH75" i="4"/>
  <c r="X75" i="4" s="1"/>
  <c r="AH40" i="4"/>
  <c r="AI74" i="4"/>
  <c r="AJ49" i="4"/>
  <c r="T49" i="4"/>
  <c r="W49" i="4" s="1"/>
  <c r="K47" i="7" s="1"/>
  <c r="X44" i="4"/>
  <c r="AI44" i="4"/>
  <c r="AK17" i="4"/>
  <c r="Y17" i="4"/>
  <c r="AK8" i="4"/>
  <c r="Y8" i="4"/>
  <c r="AK59" i="4"/>
  <c r="Y59" i="4"/>
  <c r="AK25" i="4"/>
  <c r="Y25" i="4"/>
  <c r="AK29" i="4"/>
  <c r="Y29" i="4"/>
  <c r="AK7" i="4"/>
  <c r="Y7" i="4"/>
  <c r="AK43" i="4"/>
  <c r="Y43" i="4"/>
  <c r="AK10" i="4"/>
  <c r="Y10" i="4"/>
  <c r="AK26" i="4"/>
  <c r="Y26" i="4"/>
  <c r="AK28" i="4"/>
  <c r="Y28" i="4"/>
  <c r="AK5" i="4"/>
  <c r="Y5" i="4"/>
  <c r="AK47" i="4"/>
  <c r="Y47" i="4"/>
  <c r="AK57" i="4"/>
  <c r="Y57" i="4"/>
  <c r="AK51" i="4"/>
  <c r="Y51" i="4"/>
  <c r="AK33" i="4"/>
  <c r="Y33" i="4"/>
  <c r="AK78" i="4"/>
  <c r="Y78" i="4"/>
  <c r="AK23" i="4"/>
  <c r="Y23" i="4"/>
  <c r="AJ14" i="4"/>
  <c r="T14" i="4"/>
  <c r="W14" i="4" s="1"/>
  <c r="K12" i="7" s="1"/>
  <c r="AI49" i="4"/>
  <c r="AJ44" i="4"/>
  <c r="T44" i="4"/>
  <c r="W44" i="4" s="1"/>
  <c r="K42" i="7" s="1"/>
  <c r="AI17" i="4"/>
  <c r="AI8" i="4"/>
  <c r="AI59" i="4"/>
  <c r="X59" i="4"/>
  <c r="AI29" i="4"/>
  <c r="X29" i="4"/>
  <c r="AI7" i="4"/>
  <c r="X7" i="4"/>
  <c r="X43" i="4"/>
  <c r="X10" i="4"/>
  <c r="AI26" i="4"/>
  <c r="X26" i="4"/>
  <c r="AI28" i="4"/>
  <c r="X28" i="4"/>
  <c r="X5" i="4"/>
  <c r="AI47" i="4"/>
  <c r="X47" i="4"/>
  <c r="X57" i="4"/>
  <c r="AI33" i="4"/>
  <c r="X33" i="4"/>
  <c r="AI78" i="4"/>
  <c r="X78" i="4"/>
  <c r="AI23" i="4"/>
  <c r="X23" i="4"/>
  <c r="T17" i="4"/>
  <c r="W17" i="4" s="1"/>
  <c r="K15" i="7" s="1"/>
  <c r="T8" i="4"/>
  <c r="W8" i="4" s="1"/>
  <c r="K6" i="7" s="1"/>
  <c r="T59" i="4"/>
  <c r="W59" i="4" s="1"/>
  <c r="K57" i="7" s="1"/>
  <c r="T25" i="4"/>
  <c r="W25" i="4" s="1"/>
  <c r="K23" i="7" s="1"/>
  <c r="T29" i="4"/>
  <c r="W29" i="4" s="1"/>
  <c r="K27" i="7" s="1"/>
  <c r="T7" i="4"/>
  <c r="W7" i="4" s="1"/>
  <c r="K5" i="7" s="1"/>
  <c r="T43" i="4"/>
  <c r="W43" i="4" s="1"/>
  <c r="K41" i="7" s="1"/>
  <c r="T10" i="4"/>
  <c r="W10" i="4" s="1"/>
  <c r="K8" i="7" s="1"/>
  <c r="T26" i="4"/>
  <c r="W26" i="4" s="1"/>
  <c r="K24" i="7" s="1"/>
  <c r="T28" i="4"/>
  <c r="W28" i="4" s="1"/>
  <c r="K26" i="7" s="1"/>
  <c r="T5" i="4"/>
  <c r="W5" i="4" s="1"/>
  <c r="K3" i="7" s="1"/>
  <c r="T47" i="4"/>
  <c r="W47" i="4" s="1"/>
  <c r="K45" i="7" s="1"/>
  <c r="T57" i="4"/>
  <c r="W57" i="4" s="1"/>
  <c r="K55" i="7" s="1"/>
  <c r="T51" i="4"/>
  <c r="W51" i="4" s="1"/>
  <c r="K49" i="7" s="1"/>
  <c r="T33" i="4"/>
  <c r="W33" i="4" s="1"/>
  <c r="K31" i="7" s="1"/>
  <c r="T78" i="4"/>
  <c r="W78" i="4" s="1"/>
  <c r="K76" i="7" s="1"/>
  <c r="T23" i="4"/>
  <c r="W23" i="4" s="1"/>
  <c r="K21" i="7" s="1"/>
  <c r="T74" i="4"/>
  <c r="W74" i="4" s="1"/>
  <c r="K72" i="7" s="1"/>
  <c r="AK74" i="4"/>
  <c r="AJ32" i="4"/>
  <c r="T32" i="4"/>
  <c r="W32" i="4" s="1"/>
  <c r="K30" i="7" s="1"/>
  <c r="AI27" i="4"/>
  <c r="X27" i="4"/>
  <c r="AK30" i="4"/>
  <c r="Y30" i="4"/>
  <c r="AK41" i="4"/>
  <c r="Y41" i="4"/>
  <c r="AK55" i="4"/>
  <c r="Y55" i="4"/>
  <c r="AK62" i="4"/>
  <c r="Y62" i="4"/>
  <c r="AK42" i="4"/>
  <c r="Y42" i="4"/>
  <c r="AI32" i="4"/>
  <c r="AJ27" i="4"/>
  <c r="T27" i="4"/>
  <c r="W27" i="4" s="1"/>
  <c r="K25" i="7" s="1"/>
  <c r="AI30" i="4"/>
  <c r="X30" i="4"/>
  <c r="X41" i="4"/>
  <c r="AI62" i="4"/>
  <c r="X62" i="4"/>
  <c r="AI42" i="4"/>
  <c r="X42" i="4"/>
  <c r="T30" i="4"/>
  <c r="W30" i="4" s="1"/>
  <c r="K28" i="7" s="1"/>
  <c r="T41" i="4"/>
  <c r="W41" i="4" s="1"/>
  <c r="K39" i="7" s="1"/>
  <c r="T55" i="4"/>
  <c r="W55" i="4" s="1"/>
  <c r="K53" i="7" s="1"/>
  <c r="T62" i="4"/>
  <c r="W62" i="4" s="1"/>
  <c r="K60" i="7" s="1"/>
  <c r="T42" i="4"/>
  <c r="W42" i="4" s="1"/>
  <c r="K40" i="7" s="1"/>
  <c r="AJ76" i="4"/>
  <c r="T76" i="4"/>
  <c r="W76" i="4" s="1"/>
  <c r="K74" i="7" s="1"/>
  <c r="AK35" i="4"/>
  <c r="Y35" i="4"/>
  <c r="AK52" i="4"/>
  <c r="Y52" i="4"/>
  <c r="AK72" i="4"/>
  <c r="Y72" i="4"/>
  <c r="AK71" i="4"/>
  <c r="Y71" i="4"/>
  <c r="AK39" i="4"/>
  <c r="Y39" i="4"/>
  <c r="AK75" i="4"/>
  <c r="Y75" i="4"/>
  <c r="AK40" i="4"/>
  <c r="Y40" i="4"/>
  <c r="AI76" i="4"/>
  <c r="X35" i="4"/>
  <c r="AI35" i="4"/>
  <c r="X52" i="4"/>
  <c r="AI52" i="4"/>
  <c r="X72" i="4"/>
  <c r="AI72" i="4"/>
  <c r="X71" i="4"/>
  <c r="AI71" i="4"/>
  <c r="AI75" i="4"/>
  <c r="X40" i="4"/>
  <c r="AI40" i="4"/>
  <c r="T35" i="4"/>
  <c r="W35" i="4" s="1"/>
  <c r="K33" i="7" s="1"/>
  <c r="T52" i="4"/>
  <c r="W52" i="4" s="1"/>
  <c r="K50" i="7" s="1"/>
  <c r="T72" i="4"/>
  <c r="W72" i="4" s="1"/>
  <c r="K70" i="7" s="1"/>
  <c r="T71" i="4"/>
  <c r="W71" i="4" s="1"/>
  <c r="K69" i="7" s="1"/>
  <c r="T39" i="4"/>
  <c r="W39" i="4" s="1"/>
  <c r="K37" i="7" s="1"/>
  <c r="T75" i="4"/>
  <c r="W75" i="4" s="1"/>
  <c r="K73" i="7" s="1"/>
  <c r="T40" i="4"/>
  <c r="W40" i="4" s="1"/>
  <c r="K38" i="7" s="1"/>
  <c r="M3" i="7" l="1"/>
  <c r="L3" i="7"/>
  <c r="AI14" i="4"/>
  <c r="L5" i="7"/>
  <c r="L2" i="7"/>
  <c r="M2" i="7"/>
  <c r="AI39" i="4"/>
  <c r="X55" i="4"/>
  <c r="X51" i="4"/>
  <c r="X25" i="4"/>
  <c r="M6" i="7"/>
  <c r="L6" i="7"/>
  <c r="O7" i="7"/>
  <c r="Z40" i="4"/>
  <c r="AC40" i="4" s="1"/>
  <c r="AD40" i="4" s="1"/>
  <c r="Z39" i="4"/>
  <c r="Z72" i="4"/>
  <c r="AC72" i="4" s="1"/>
  <c r="AD72" i="4" s="1"/>
  <c r="Z35" i="4"/>
  <c r="Z41" i="4"/>
  <c r="Z23" i="4"/>
  <c r="AC23" i="4" s="1"/>
  <c r="AD23" i="4" s="1"/>
  <c r="Z75" i="4"/>
  <c r="AC75" i="4" s="1"/>
  <c r="AD75" i="4" s="1"/>
  <c r="Z71" i="4"/>
  <c r="Z52" i="4"/>
  <c r="AC52" i="4" s="1"/>
  <c r="AD52" i="4" s="1"/>
  <c r="Z42" i="4"/>
  <c r="Z55" i="4"/>
  <c r="AC55" i="4" s="1"/>
  <c r="AD55" i="4" s="1"/>
  <c r="Z30" i="4"/>
  <c r="AC30" i="4" s="1"/>
  <c r="AD30" i="4" s="1"/>
  <c r="Z74" i="4"/>
  <c r="AC74" i="4" s="1"/>
  <c r="AD74" i="4" s="1"/>
  <c r="Z78" i="4"/>
  <c r="Z51" i="4"/>
  <c r="AC51" i="4" s="1"/>
  <c r="AD51" i="4" s="1"/>
  <c r="Z47" i="4"/>
  <c r="Z28" i="4"/>
  <c r="Z10" i="4"/>
  <c r="Z7" i="4"/>
  <c r="AC7" i="4" s="1"/>
  <c r="AD7" i="4" s="1"/>
  <c r="Z25" i="4"/>
  <c r="Z8" i="4"/>
  <c r="AC8" i="4" s="1"/>
  <c r="AD8" i="4" s="1"/>
  <c r="Z62" i="4"/>
  <c r="Z27" i="4"/>
  <c r="Z33" i="4"/>
  <c r="Z57" i="4"/>
  <c r="AC57" i="4" s="1"/>
  <c r="AD57" i="4" s="1"/>
  <c r="Z5" i="4"/>
  <c r="Z26" i="4"/>
  <c r="AC26" i="4" s="1"/>
  <c r="AD26" i="4" s="1"/>
  <c r="Z43" i="4"/>
  <c r="Z29" i="4"/>
  <c r="AC29" i="4" s="1"/>
  <c r="AD29" i="4" s="1"/>
  <c r="Z59" i="4"/>
  <c r="AC59" i="4" s="1"/>
  <c r="AD59" i="4" s="1"/>
  <c r="Z17" i="4"/>
  <c r="AC17" i="4" s="1"/>
  <c r="AD17" i="4" s="1"/>
  <c r="Z49" i="4"/>
  <c r="AL75" i="4"/>
  <c r="AL71" i="4"/>
  <c r="AL52" i="4"/>
  <c r="Z76" i="4"/>
  <c r="AC42" i="4"/>
  <c r="AD42" i="4" s="1"/>
  <c r="AC62" i="4"/>
  <c r="AD62" i="4" s="1"/>
  <c r="AC41" i="4"/>
  <c r="AD41" i="4" s="1"/>
  <c r="AL62" i="4"/>
  <c r="AL41" i="4"/>
  <c r="Z32" i="4"/>
  <c r="AK44" i="4"/>
  <c r="AL44" i="4" s="1"/>
  <c r="Y44" i="4"/>
  <c r="Z14" i="4"/>
  <c r="AL78" i="4"/>
  <c r="AL51" i="4"/>
  <c r="AL47" i="4"/>
  <c r="AL28" i="4"/>
  <c r="AL10" i="4"/>
  <c r="AL7" i="4"/>
  <c r="AL25" i="4"/>
  <c r="AL8" i="4"/>
  <c r="AC39" i="4"/>
  <c r="AD39" i="4" s="1"/>
  <c r="AC71" i="4"/>
  <c r="AD71" i="4" s="1"/>
  <c r="AC35" i="4"/>
  <c r="AD35" i="4" s="1"/>
  <c r="AL40" i="4"/>
  <c r="AL39" i="4"/>
  <c r="AL72" i="4"/>
  <c r="AL35" i="4"/>
  <c r="AK76" i="4"/>
  <c r="AL76" i="4" s="1"/>
  <c r="Y76" i="4"/>
  <c r="AK27" i="4"/>
  <c r="AL27" i="4" s="1"/>
  <c r="Y27" i="4"/>
  <c r="AL42" i="4"/>
  <c r="AL55" i="4"/>
  <c r="AL30" i="4"/>
  <c r="AK32" i="4"/>
  <c r="AL32" i="4" s="1"/>
  <c r="Y32" i="4"/>
  <c r="AL74" i="4"/>
  <c r="AC78" i="4"/>
  <c r="AD78" i="4" s="1"/>
  <c r="AC33" i="4"/>
  <c r="AD33" i="4" s="1"/>
  <c r="AC47" i="4"/>
  <c r="AD47" i="4" s="1"/>
  <c r="AC5" i="4"/>
  <c r="AD5" i="4" s="1"/>
  <c r="AC28" i="4"/>
  <c r="AD28" i="4" s="1"/>
  <c r="AC10" i="4"/>
  <c r="AD10" i="4" s="1"/>
  <c r="AC43" i="4"/>
  <c r="AD43" i="4" s="1"/>
  <c r="AC25" i="4"/>
  <c r="AD25" i="4" s="1"/>
  <c r="Z44" i="4"/>
  <c r="AK14" i="4"/>
  <c r="AL14" i="4" s="1"/>
  <c r="Y14" i="4"/>
  <c r="AC14" i="4" s="1"/>
  <c r="AD14" i="4" s="1"/>
  <c r="AL23" i="4"/>
  <c r="AL33" i="4"/>
  <c r="AL57" i="4"/>
  <c r="AL5" i="4"/>
  <c r="AL26" i="4"/>
  <c r="AL43" i="4"/>
  <c r="AL29" i="4"/>
  <c r="AL59" i="4"/>
  <c r="AL17" i="4"/>
  <c r="AC44" i="4"/>
  <c r="AD44" i="4" s="1"/>
  <c r="AK49" i="4"/>
  <c r="AL49" i="4" s="1"/>
  <c r="Y49" i="4"/>
  <c r="AC49" i="4" s="1"/>
  <c r="AD49" i="4" s="1"/>
  <c r="AC27" i="4" l="1"/>
  <c r="AD27" i="4" s="1"/>
  <c r="O8" i="7"/>
  <c r="M7" i="7"/>
  <c r="L7" i="7"/>
  <c r="AC76" i="4"/>
  <c r="AD76" i="4" s="1"/>
  <c r="AC32" i="4"/>
  <c r="AD32" i="4" s="1"/>
  <c r="AG9" i="4"/>
  <c r="AC93" i="4"/>
  <c r="AC95" i="4" s="1"/>
  <c r="AD89" i="4"/>
  <c r="M8" i="7" l="1"/>
  <c r="L8" i="7"/>
  <c r="O9" i="7"/>
  <c r="T65" i="4"/>
  <c r="T16" i="4"/>
  <c r="T79" i="4"/>
  <c r="T20" i="4"/>
  <c r="T67" i="4"/>
  <c r="T73" i="4"/>
  <c r="T53" i="4"/>
  <c r="T22" i="4"/>
  <c r="T15" i="4"/>
  <c r="AG50" i="4"/>
  <c r="T13" i="4"/>
  <c r="AJ6" i="4"/>
  <c r="Y6" i="4" s="1"/>
  <c r="AJ19" i="4"/>
  <c r="Y19" i="4" s="1"/>
  <c r="T68" i="4"/>
  <c r="AJ11" i="4"/>
  <c r="Y11" i="4" s="1"/>
  <c r="T58" i="4"/>
  <c r="AJ34" i="4"/>
  <c r="Y34" i="4" s="1"/>
  <c r="T38" i="4"/>
  <c r="AJ66" i="4"/>
  <c r="Y66" i="4" s="1"/>
  <c r="T56" i="4"/>
  <c r="T84" i="4"/>
  <c r="AG37" i="4"/>
  <c r="T24" i="4"/>
  <c r="AJ48" i="4"/>
  <c r="Y48" i="4" s="1"/>
  <c r="T85" i="4"/>
  <c r="AJ64" i="4"/>
  <c r="T70" i="4"/>
  <c r="AJ46" i="4"/>
  <c r="T63" i="4"/>
  <c r="AG18" i="4"/>
  <c r="T81" i="4"/>
  <c r="T36" i="4"/>
  <c r="T69" i="4"/>
  <c r="AJ83" i="4"/>
  <c r="Y83" i="4" s="1"/>
  <c r="T77" i="4"/>
  <c r="AJ31" i="4"/>
  <c r="Y31" i="4" s="1"/>
  <c r="T9" i="4"/>
  <c r="AJ61" i="4"/>
  <c r="Y61" i="4" s="1"/>
  <c r="T45" i="4"/>
  <c r="S21" i="4"/>
  <c r="S12" i="4"/>
  <c r="S54" i="4"/>
  <c r="S65" i="4"/>
  <c r="S16" i="4"/>
  <c r="S4" i="4"/>
  <c r="S79" i="4"/>
  <c r="S20" i="4"/>
  <c r="S67" i="4"/>
  <c r="S73" i="4"/>
  <c r="S53" i="4"/>
  <c r="S82" i="4"/>
  <c r="S22" i="4"/>
  <c r="S15" i="4"/>
  <c r="S50" i="4"/>
  <c r="S13" i="4"/>
  <c r="S6" i="4"/>
  <c r="S19" i="4"/>
  <c r="S68" i="4"/>
  <c r="S11" i="4"/>
  <c r="S58" i="4"/>
  <c r="S34" i="4"/>
  <c r="S38" i="4"/>
  <c r="S66" i="4"/>
  <c r="S56" i="4"/>
  <c r="S80" i="4"/>
  <c r="S84" i="4"/>
  <c r="S37" i="4"/>
  <c r="S24" i="4"/>
  <c r="S48" i="4"/>
  <c r="S85" i="4"/>
  <c r="S64" i="4"/>
  <c r="S70" i="4"/>
  <c r="S46" i="4"/>
  <c r="S63" i="4"/>
  <c r="S18" i="4"/>
  <c r="S81" i="4"/>
  <c r="S36" i="4"/>
  <c r="S69" i="4"/>
  <c r="S83" i="4"/>
  <c r="S77" i="4"/>
  <c r="S31" i="4"/>
  <c r="S9" i="4"/>
  <c r="S61" i="4"/>
  <c r="S45" i="4"/>
  <c r="S60" i="4"/>
  <c r="P19" i="4"/>
  <c r="P21" i="4"/>
  <c r="Q21" i="4"/>
  <c r="R21" i="4"/>
  <c r="P12" i="4"/>
  <c r="Q12" i="4"/>
  <c r="R12" i="4"/>
  <c r="P54" i="4"/>
  <c r="Q54" i="4"/>
  <c r="R54" i="4"/>
  <c r="P65" i="4"/>
  <c r="Q65" i="4"/>
  <c r="R65" i="4"/>
  <c r="P16" i="4"/>
  <c r="Q16" i="4"/>
  <c r="R16" i="4"/>
  <c r="P4" i="4"/>
  <c r="Q4" i="4"/>
  <c r="R4" i="4"/>
  <c r="P79" i="4"/>
  <c r="Q79" i="4"/>
  <c r="R79" i="4"/>
  <c r="P20" i="4"/>
  <c r="Q20" i="4"/>
  <c r="R20" i="4"/>
  <c r="P67" i="4"/>
  <c r="Q67" i="4"/>
  <c r="R67" i="4"/>
  <c r="P73" i="4"/>
  <c r="Q73" i="4"/>
  <c r="R73" i="4"/>
  <c r="P53" i="4"/>
  <c r="Q53" i="4"/>
  <c r="R53" i="4"/>
  <c r="P82" i="4"/>
  <c r="Q82" i="4"/>
  <c r="R82" i="4"/>
  <c r="P22" i="4"/>
  <c r="Q22" i="4"/>
  <c r="R22" i="4"/>
  <c r="P15" i="4"/>
  <c r="Q15" i="4"/>
  <c r="R15" i="4"/>
  <c r="P50" i="4"/>
  <c r="Q50" i="4"/>
  <c r="R50" i="4"/>
  <c r="P13" i="4"/>
  <c r="Q13" i="4"/>
  <c r="R13" i="4"/>
  <c r="P6" i="4"/>
  <c r="Q6" i="4"/>
  <c r="R6" i="4"/>
  <c r="Q19" i="4"/>
  <c r="R19" i="4"/>
  <c r="P68" i="4"/>
  <c r="AH68" i="4" s="1"/>
  <c r="X68" i="4" s="1"/>
  <c r="Q68" i="4"/>
  <c r="R68" i="4"/>
  <c r="P11" i="4"/>
  <c r="Q11" i="4"/>
  <c r="R11" i="4"/>
  <c r="P58" i="4"/>
  <c r="Q58" i="4"/>
  <c r="R58" i="4"/>
  <c r="P34" i="4"/>
  <c r="Q34" i="4"/>
  <c r="R34" i="4"/>
  <c r="P38" i="4"/>
  <c r="Q38" i="4"/>
  <c r="R38" i="4"/>
  <c r="P66" i="4"/>
  <c r="Q66" i="4"/>
  <c r="R66" i="4"/>
  <c r="P56" i="4"/>
  <c r="Q56" i="4"/>
  <c r="R56" i="4"/>
  <c r="P80" i="4"/>
  <c r="Q80" i="4"/>
  <c r="R80" i="4"/>
  <c r="AJ80" i="4"/>
  <c r="Y80" i="4" s="1"/>
  <c r="P84" i="4"/>
  <c r="Q84" i="4"/>
  <c r="R84" i="4"/>
  <c r="P37" i="4"/>
  <c r="Q37" i="4"/>
  <c r="R37" i="4"/>
  <c r="P24" i="4"/>
  <c r="Q24" i="4"/>
  <c r="R24" i="4"/>
  <c r="P48" i="4"/>
  <c r="Q48" i="4"/>
  <c r="R48" i="4"/>
  <c r="P85" i="4"/>
  <c r="Q85" i="4"/>
  <c r="R85" i="4"/>
  <c r="P64" i="4"/>
  <c r="Q64" i="4"/>
  <c r="R64" i="4"/>
  <c r="P70" i="4"/>
  <c r="Q70" i="4"/>
  <c r="R70" i="4"/>
  <c r="P46" i="4"/>
  <c r="AH46" i="4" s="1"/>
  <c r="AI46" i="4" s="1"/>
  <c r="Q46" i="4"/>
  <c r="R46" i="4"/>
  <c r="P63" i="4"/>
  <c r="Q63" i="4"/>
  <c r="R63" i="4"/>
  <c r="P18" i="4"/>
  <c r="Q18" i="4"/>
  <c r="R18" i="4"/>
  <c r="P81" i="4"/>
  <c r="Q81" i="4"/>
  <c r="R81" i="4"/>
  <c r="P36" i="4"/>
  <c r="Q36" i="4"/>
  <c r="R36" i="4"/>
  <c r="P69" i="4"/>
  <c r="Q69" i="4"/>
  <c r="R69" i="4"/>
  <c r="P83" i="4"/>
  <c r="Q83" i="4"/>
  <c r="R83" i="4"/>
  <c r="P77" i="4"/>
  <c r="Q77" i="4"/>
  <c r="R77" i="4"/>
  <c r="P31" i="4"/>
  <c r="Q31" i="4"/>
  <c r="R31" i="4"/>
  <c r="P9" i="4"/>
  <c r="Q9" i="4"/>
  <c r="R9" i="4"/>
  <c r="P61" i="4"/>
  <c r="Q61" i="4"/>
  <c r="R61" i="4"/>
  <c r="P45" i="4"/>
  <c r="Q45" i="4"/>
  <c r="R45" i="4"/>
  <c r="Q60" i="4"/>
  <c r="R60" i="4"/>
  <c r="P60" i="4"/>
  <c r="L9" i="7" l="1"/>
  <c r="M9" i="7"/>
  <c r="O10" i="7"/>
  <c r="AH61" i="4"/>
  <c r="X61" i="4" s="1"/>
  <c r="AH36" i="4"/>
  <c r="X36" i="4" s="1"/>
  <c r="AH18" i="4"/>
  <c r="X18" i="4" s="1"/>
  <c r="AH64" i="4"/>
  <c r="AI64" i="4" s="1"/>
  <c r="AH48" i="4"/>
  <c r="X48" i="4" s="1"/>
  <c r="AH37" i="4"/>
  <c r="X37" i="4" s="1"/>
  <c r="AH56" i="4"/>
  <c r="X56" i="4" s="1"/>
  <c r="AH38" i="4"/>
  <c r="X38" i="4" s="1"/>
  <c r="AH58" i="4"/>
  <c r="X58" i="4" s="1"/>
  <c r="AH13" i="4"/>
  <c r="X13" i="4" s="1"/>
  <c r="AH15" i="4"/>
  <c r="AI15" i="4" s="1"/>
  <c r="AH82" i="4"/>
  <c r="AI82" i="4" s="1"/>
  <c r="AH73" i="4"/>
  <c r="AI73" i="4" s="1"/>
  <c r="AH20" i="4"/>
  <c r="AI20" i="4" s="1"/>
  <c r="AH4" i="4"/>
  <c r="AH65" i="4"/>
  <c r="AI65" i="4" s="1"/>
  <c r="AH12" i="4"/>
  <c r="AI12" i="4" s="1"/>
  <c r="AH19" i="4"/>
  <c r="X19" i="4" s="1"/>
  <c r="AH60" i="4"/>
  <c r="AH31" i="4"/>
  <c r="X31" i="4" s="1"/>
  <c r="AH83" i="4"/>
  <c r="X83" i="4" s="1"/>
  <c r="AH45" i="4"/>
  <c r="X45" i="4" s="1"/>
  <c r="AH77" i="4"/>
  <c r="X77" i="4" s="1"/>
  <c r="AH69" i="4"/>
  <c r="X69" i="4" s="1"/>
  <c r="AH81" i="4"/>
  <c r="X81" i="4" s="1"/>
  <c r="AH70" i="4"/>
  <c r="AI70" i="4" s="1"/>
  <c r="AH85" i="4"/>
  <c r="X85" i="4" s="1"/>
  <c r="AH80" i="4"/>
  <c r="X80" i="4" s="1"/>
  <c r="AH66" i="4"/>
  <c r="X66" i="4" s="1"/>
  <c r="AH34" i="4"/>
  <c r="X34" i="4" s="1"/>
  <c r="AH11" i="4"/>
  <c r="X11" i="4" s="1"/>
  <c r="AH6" i="4"/>
  <c r="X6" i="4" s="1"/>
  <c r="AH50" i="4"/>
  <c r="X50" i="4" s="1"/>
  <c r="AH22" i="4"/>
  <c r="AI22" i="4" s="1"/>
  <c r="AH67" i="4"/>
  <c r="AI67" i="4" s="1"/>
  <c r="AH79" i="4"/>
  <c r="AI79" i="4" s="1"/>
  <c r="AH16" i="4"/>
  <c r="AI16" i="4" s="1"/>
  <c r="AH54" i="4"/>
  <c r="AI54" i="4" s="1"/>
  <c r="AH21" i="4"/>
  <c r="AI21" i="4" s="1"/>
  <c r="AI4" i="4"/>
  <c r="R87" i="4"/>
  <c r="S87" i="4"/>
  <c r="O87" i="4"/>
  <c r="P87" i="4"/>
  <c r="Q87" i="4"/>
  <c r="AJ73" i="4"/>
  <c r="Y73" i="4" s="1"/>
  <c r="AG73" i="4"/>
  <c r="AJ65" i="4"/>
  <c r="Y65" i="4" s="1"/>
  <c r="AG65" i="4"/>
  <c r="AG85" i="4"/>
  <c r="AJ24" i="4"/>
  <c r="Y24" i="4" s="1"/>
  <c r="AG84" i="4"/>
  <c r="AJ56" i="4"/>
  <c r="Y56" i="4" s="1"/>
  <c r="AG56" i="4"/>
  <c r="AJ38" i="4"/>
  <c r="Y38" i="4" s="1"/>
  <c r="AG68" i="4"/>
  <c r="AJ36" i="4"/>
  <c r="Y36" i="4" s="1"/>
  <c r="AJ15" i="4"/>
  <c r="Y15" i="4" s="1"/>
  <c r="AG15" i="4"/>
  <c r="W16" i="4"/>
  <c r="K14" i="7" s="1"/>
  <c r="AJ63" i="4"/>
  <c r="Y63" i="4" s="1"/>
  <c r="AJ45" i="4"/>
  <c r="Y45" i="4" s="1"/>
  <c r="AJ53" i="4"/>
  <c r="Y53" i="4" s="1"/>
  <c r="AJ13" i="4"/>
  <c r="Y13" i="4" s="1"/>
  <c r="AG13" i="4"/>
  <c r="AJ22" i="4"/>
  <c r="Y22" i="4" s="1"/>
  <c r="AG67" i="4"/>
  <c r="AJ20" i="4"/>
  <c r="Y20" i="4" s="1"/>
  <c r="AG79" i="4"/>
  <c r="AJ16" i="4"/>
  <c r="Y16" i="4" s="1"/>
  <c r="AG45" i="4"/>
  <c r="AJ9" i="4"/>
  <c r="AK9" i="4" s="1"/>
  <c r="AJ77" i="4"/>
  <c r="Y77" i="4" s="1"/>
  <c r="AG77" i="4"/>
  <c r="AJ69" i="4"/>
  <c r="Y69" i="4" s="1"/>
  <c r="AJ81" i="4"/>
  <c r="Y81" i="4" s="1"/>
  <c r="AG63" i="4"/>
  <c r="AJ70" i="4"/>
  <c r="AK70" i="4" s="1"/>
  <c r="AG70" i="4"/>
  <c r="AJ85" i="4"/>
  <c r="Y85" i="4" s="1"/>
  <c r="AG24" i="4"/>
  <c r="AJ84" i="4"/>
  <c r="Y84" i="4" s="1"/>
  <c r="AG38" i="4"/>
  <c r="AJ58" i="4"/>
  <c r="Y58" i="4" s="1"/>
  <c r="AG58" i="4"/>
  <c r="AJ68" i="4"/>
  <c r="Y68" i="4" s="1"/>
  <c r="AG22" i="4"/>
  <c r="AG53" i="4"/>
  <c r="AJ67" i="4"/>
  <c r="Y67" i="4" s="1"/>
  <c r="AG20" i="4"/>
  <c r="AJ79" i="4"/>
  <c r="Y79" i="4" s="1"/>
  <c r="AG16" i="4"/>
  <c r="W81" i="4"/>
  <c r="K79" i="7" s="1"/>
  <c r="W38" i="4"/>
  <c r="K36" i="7" s="1"/>
  <c r="AH9" i="4"/>
  <c r="AI9" i="4" s="1"/>
  <c r="W36" i="4"/>
  <c r="K34" i="7" s="1"/>
  <c r="W63" i="4"/>
  <c r="K61" i="7" s="1"/>
  <c r="W53" i="4"/>
  <c r="K51" i="7" s="1"/>
  <c r="W24" i="4"/>
  <c r="K22" i="7" s="1"/>
  <c r="W56" i="4"/>
  <c r="K54" i="7" s="1"/>
  <c r="AH53" i="4"/>
  <c r="AI53" i="4" s="1"/>
  <c r="W77" i="4"/>
  <c r="K75" i="7" s="1"/>
  <c r="AH63" i="4"/>
  <c r="X63" i="4" s="1"/>
  <c r="W84" i="4"/>
  <c r="K82" i="7" s="1"/>
  <c r="AG60" i="4"/>
  <c r="T60" i="4"/>
  <c r="AG54" i="4"/>
  <c r="T54" i="4"/>
  <c r="W54" i="4" s="1"/>
  <c r="K52" i="7" s="1"/>
  <c r="AG21" i="4"/>
  <c r="T21" i="4"/>
  <c r="W21" i="4" s="1"/>
  <c r="K19" i="7" s="1"/>
  <c r="AG12" i="4"/>
  <c r="T12" i="4"/>
  <c r="W12" i="4" s="1"/>
  <c r="K10" i="7" s="1"/>
  <c r="W65" i="4"/>
  <c r="K63" i="7" s="1"/>
  <c r="AG61" i="4"/>
  <c r="T61" i="4"/>
  <c r="W61" i="4" s="1"/>
  <c r="K59" i="7" s="1"/>
  <c r="AG31" i="4"/>
  <c r="T31" i="4"/>
  <c r="W31" i="4" s="1"/>
  <c r="K29" i="7" s="1"/>
  <c r="AG83" i="4"/>
  <c r="T83" i="4"/>
  <c r="W83" i="4" s="1"/>
  <c r="K81" i="7" s="1"/>
  <c r="AJ18" i="4"/>
  <c r="Y18" i="4" s="1"/>
  <c r="T18" i="4"/>
  <c r="W18" i="4" s="1"/>
  <c r="K16" i="7" s="1"/>
  <c r="AG46" i="4"/>
  <c r="T46" i="4"/>
  <c r="W46" i="4" s="1"/>
  <c r="AG64" i="4"/>
  <c r="T64" i="4"/>
  <c r="W64" i="4" s="1"/>
  <c r="K62" i="7" s="1"/>
  <c r="AG48" i="4"/>
  <c r="T48" i="4"/>
  <c r="W48" i="4" s="1"/>
  <c r="K46" i="7" s="1"/>
  <c r="AJ37" i="4"/>
  <c r="Y37" i="4" s="1"/>
  <c r="T37" i="4"/>
  <c r="W37" i="4" s="1"/>
  <c r="K35" i="7" s="1"/>
  <c r="AG80" i="4"/>
  <c r="T80" i="4"/>
  <c r="W80" i="4" s="1"/>
  <c r="K78" i="7" s="1"/>
  <c r="AG66" i="4"/>
  <c r="T66" i="4"/>
  <c r="W66" i="4" s="1"/>
  <c r="K64" i="7" s="1"/>
  <c r="AG34" i="4"/>
  <c r="T34" i="4"/>
  <c r="W34" i="4" s="1"/>
  <c r="K32" i="7" s="1"/>
  <c r="AG11" i="4"/>
  <c r="T11" i="4"/>
  <c r="W11" i="4" s="1"/>
  <c r="K9" i="7" s="1"/>
  <c r="AG19" i="4"/>
  <c r="T19" i="4"/>
  <c r="W19" i="4" s="1"/>
  <c r="K17" i="7" s="1"/>
  <c r="AG6" i="4"/>
  <c r="T6" i="4"/>
  <c r="W6" i="4" s="1"/>
  <c r="K4" i="7" s="1"/>
  <c r="AJ50" i="4"/>
  <c r="Y50" i="4" s="1"/>
  <c r="T50" i="4"/>
  <c r="W50" i="4" s="1"/>
  <c r="K48" i="7" s="1"/>
  <c r="AG82" i="4"/>
  <c r="T82" i="4"/>
  <c r="W82" i="4" s="1"/>
  <c r="K80" i="7" s="1"/>
  <c r="AG4" i="4"/>
  <c r="T4" i="4"/>
  <c r="W4" i="4" s="1"/>
  <c r="K2" i="7" s="1"/>
  <c r="W45" i="4"/>
  <c r="K43" i="7" s="1"/>
  <c r="W9" i="4"/>
  <c r="K7" i="7" s="1"/>
  <c r="W69" i="4"/>
  <c r="K67" i="7" s="1"/>
  <c r="W70" i="4"/>
  <c r="K68" i="7" s="1"/>
  <c r="W85" i="4"/>
  <c r="K83" i="7" s="1"/>
  <c r="AH24" i="4"/>
  <c r="X24" i="4" s="1"/>
  <c r="AH84" i="4"/>
  <c r="X84" i="4" s="1"/>
  <c r="W58" i="4"/>
  <c r="K56" i="7" s="1"/>
  <c r="W68" i="4"/>
  <c r="W13" i="4"/>
  <c r="K11" i="7" s="1"/>
  <c r="W15" i="4"/>
  <c r="K13" i="7" s="1"/>
  <c r="W22" i="4"/>
  <c r="K20" i="7" s="1"/>
  <c r="W73" i="4"/>
  <c r="K71" i="7" s="1"/>
  <c r="W67" i="4"/>
  <c r="K65" i="7" s="1"/>
  <c r="W20" i="4"/>
  <c r="K18" i="7" s="1"/>
  <c r="W79" i="4"/>
  <c r="K77" i="7" s="1"/>
  <c r="AJ82" i="4"/>
  <c r="Y82" i="4" s="1"/>
  <c r="AJ4" i="4"/>
  <c r="Y4" i="4" s="1"/>
  <c r="AJ54" i="4"/>
  <c r="Y54" i="4" s="1"/>
  <c r="AJ21" i="4"/>
  <c r="Y21" i="4" s="1"/>
  <c r="AJ12" i="4"/>
  <c r="Y12" i="4" s="1"/>
  <c r="AI45" i="4"/>
  <c r="AK61" i="4"/>
  <c r="AK31" i="4"/>
  <c r="AI31" i="4"/>
  <c r="AI77" i="4"/>
  <c r="AK83" i="4"/>
  <c r="AI83" i="4"/>
  <c r="AI69" i="4"/>
  <c r="AI36" i="4"/>
  <c r="AI18" i="4"/>
  <c r="AI63" i="4"/>
  <c r="Y46" i="4"/>
  <c r="AK46" i="4"/>
  <c r="Y64" i="4"/>
  <c r="AK64" i="4"/>
  <c r="X46" i="4"/>
  <c r="X70" i="4"/>
  <c r="X64" i="4"/>
  <c r="AI85" i="4"/>
  <c r="AK48" i="4"/>
  <c r="AK24" i="4"/>
  <c r="AI37" i="4"/>
  <c r="AK80" i="4"/>
  <c r="AI80" i="4"/>
  <c r="AK56" i="4"/>
  <c r="AI56" i="4"/>
  <c r="AK66" i="4"/>
  <c r="AK38" i="4"/>
  <c r="AI38" i="4"/>
  <c r="AK34" i="4"/>
  <c r="AI34" i="4"/>
  <c r="AI58" i="4"/>
  <c r="AK11" i="4"/>
  <c r="AI11" i="4"/>
  <c r="AI68" i="4"/>
  <c r="AK19" i="4"/>
  <c r="AI19" i="4"/>
  <c r="AK6" i="4"/>
  <c r="AI6" i="4"/>
  <c r="AI13" i="4"/>
  <c r="X15" i="4"/>
  <c r="X22" i="4"/>
  <c r="X82" i="4"/>
  <c r="X67" i="4"/>
  <c r="X20" i="4"/>
  <c r="X79" i="4"/>
  <c r="X4" i="4"/>
  <c r="X65" i="4"/>
  <c r="X54" i="4"/>
  <c r="X21" i="4"/>
  <c r="AK73" i="4"/>
  <c r="AK65" i="4"/>
  <c r="AL65" i="4" s="1"/>
  <c r="AJ60" i="4"/>
  <c r="Z68" i="4" l="1"/>
  <c r="K66" i="7"/>
  <c r="Z46" i="4"/>
  <c r="AC46" i="4" s="1"/>
  <c r="AD46" i="4" s="1"/>
  <c r="K44" i="7"/>
  <c r="AI66" i="4"/>
  <c r="AI48" i="4"/>
  <c r="AL48" i="4" s="1"/>
  <c r="AI81" i="4"/>
  <c r="AI61" i="4"/>
  <c r="X16" i="4"/>
  <c r="X12" i="4"/>
  <c r="X73" i="4"/>
  <c r="AI50" i="4"/>
  <c r="AD90" i="4"/>
  <c r="M10" i="7"/>
  <c r="L10" i="7"/>
  <c r="O11" i="7"/>
  <c r="AL6" i="4"/>
  <c r="AL19" i="4"/>
  <c r="AL34" i="4"/>
  <c r="AL38" i="4"/>
  <c r="AL66" i="4"/>
  <c r="AL56" i="4"/>
  <c r="AL80" i="4"/>
  <c r="AL31" i="4"/>
  <c r="Z79" i="4"/>
  <c r="Z67" i="4"/>
  <c r="Z22" i="4"/>
  <c r="Z13" i="4"/>
  <c r="Z58" i="4"/>
  <c r="Z70" i="4"/>
  <c r="Z69" i="4"/>
  <c r="Z45" i="4"/>
  <c r="Z12" i="4"/>
  <c r="Z21" i="4"/>
  <c r="AC21" i="4" s="1"/>
  <c r="AD21" i="4" s="1"/>
  <c r="Z54" i="4"/>
  <c r="Z84" i="4"/>
  <c r="Z77" i="4"/>
  <c r="Z56" i="4"/>
  <c r="AC56" i="4" s="1"/>
  <c r="AD56" i="4" s="1"/>
  <c r="Z53" i="4"/>
  <c r="Z36" i="4"/>
  <c r="Z38" i="4"/>
  <c r="AC38" i="4" s="1"/>
  <c r="AD38" i="4" s="1"/>
  <c r="Z16" i="4"/>
  <c r="Z20" i="4"/>
  <c r="Z73" i="4"/>
  <c r="Z15" i="4"/>
  <c r="Z85" i="4"/>
  <c r="Z18" i="4"/>
  <c r="Z4" i="4"/>
  <c r="Z82" i="4"/>
  <c r="Z50" i="4"/>
  <c r="AC50" i="4" s="1"/>
  <c r="AD50" i="4" s="1"/>
  <c r="Z6" i="4"/>
  <c r="AC6" i="4" s="1"/>
  <c r="AD6" i="4" s="1"/>
  <c r="Z19" i="4"/>
  <c r="AC19" i="4" s="1"/>
  <c r="AD19" i="4" s="1"/>
  <c r="Z11" i="4"/>
  <c r="AC11" i="4" s="1"/>
  <c r="Z34" i="4"/>
  <c r="AC34" i="4" s="1"/>
  <c r="AD34" i="4" s="1"/>
  <c r="Z80" i="4"/>
  <c r="AC80" i="4" s="1"/>
  <c r="AD80" i="4" s="1"/>
  <c r="Z37" i="4"/>
  <c r="Z48" i="4"/>
  <c r="AC48" i="4" s="1"/>
  <c r="AD48" i="4" s="1"/>
  <c r="Z64" i="4"/>
  <c r="AC64" i="4" s="1"/>
  <c r="AD64" i="4" s="1"/>
  <c r="Z31" i="4"/>
  <c r="AC31" i="4" s="1"/>
  <c r="AD31" i="4" s="1"/>
  <c r="Z61" i="4"/>
  <c r="AC61" i="4" s="1"/>
  <c r="AD61" i="4" s="1"/>
  <c r="Z65" i="4"/>
  <c r="Z24" i="4"/>
  <c r="AC24" i="4" s="1"/>
  <c r="AD24" i="4" s="1"/>
  <c r="Z63" i="4"/>
  <c r="Z81" i="4"/>
  <c r="AD92" i="4"/>
  <c r="AH87" i="4"/>
  <c r="AH89" i="4" s="1"/>
  <c r="AH90" i="4" s="1"/>
  <c r="AJ87" i="4"/>
  <c r="W60" i="4"/>
  <c r="K58" i="7" s="1"/>
  <c r="K85" i="7" s="1"/>
  <c r="T87" i="4"/>
  <c r="AI60" i="4"/>
  <c r="AG87" i="4"/>
  <c r="AL64" i="4"/>
  <c r="AL46" i="4"/>
  <c r="AL73" i="4"/>
  <c r="AL11" i="4"/>
  <c r="AL83" i="4"/>
  <c r="AL70" i="4"/>
  <c r="AL9" i="4"/>
  <c r="AL61" i="4"/>
  <c r="AK63" i="4"/>
  <c r="AL63" i="4" s="1"/>
  <c r="AK36" i="4"/>
  <c r="AL36" i="4" s="1"/>
  <c r="AC36" i="4"/>
  <c r="AD36" i="4" s="1"/>
  <c r="AK20" i="4"/>
  <c r="AL20" i="4" s="1"/>
  <c r="AK15" i="4"/>
  <c r="AL15" i="4" s="1"/>
  <c r="X60" i="4"/>
  <c r="AK16" i="4"/>
  <c r="AL16" i="4" s="1"/>
  <c r="AK50" i="4"/>
  <c r="AL50" i="4" s="1"/>
  <c r="AK84" i="4"/>
  <c r="AK37" i="4"/>
  <c r="AL37" i="4" s="1"/>
  <c r="Y70" i="4"/>
  <c r="AC70" i="4" s="1"/>
  <c r="AD70" i="4" s="1"/>
  <c r="AK18" i="4"/>
  <c r="AL18" i="4" s="1"/>
  <c r="AK81" i="4"/>
  <c r="AC68" i="4"/>
  <c r="AD68" i="4" s="1"/>
  <c r="AC85" i="4"/>
  <c r="AD85" i="4" s="1"/>
  <c r="Y9" i="4"/>
  <c r="AC81" i="4"/>
  <c r="AD81" i="4" s="1"/>
  <c r="AC67" i="4"/>
  <c r="AD67" i="4" s="1"/>
  <c r="AC15" i="4"/>
  <c r="AD15" i="4" s="1"/>
  <c r="AK79" i="4"/>
  <c r="AL79" i="4" s="1"/>
  <c r="AK67" i="4"/>
  <c r="AL67" i="4" s="1"/>
  <c r="AC16" i="4"/>
  <c r="AD16" i="4" s="1"/>
  <c r="AK68" i="4"/>
  <c r="AL68" i="4" s="1"/>
  <c r="AK58" i="4"/>
  <c r="AK85" i="4"/>
  <c r="AL85" i="4" s="1"/>
  <c r="AK45" i="4"/>
  <c r="AL45" i="4" s="1"/>
  <c r="AC58" i="4"/>
  <c r="AD58" i="4" s="1"/>
  <c r="AC63" i="4"/>
  <c r="AD63" i="4" s="1"/>
  <c r="AK21" i="4"/>
  <c r="AL21" i="4" s="1"/>
  <c r="AK12" i="4"/>
  <c r="AL12" i="4" s="1"/>
  <c r="AI84" i="4"/>
  <c r="AK82" i="4"/>
  <c r="AL82" i="4" s="1"/>
  <c r="AC77" i="4"/>
  <c r="AD77" i="4" s="1"/>
  <c r="AK54" i="4"/>
  <c r="AL54" i="4" s="1"/>
  <c r="AK53" i="4"/>
  <c r="AL53" i="4" s="1"/>
  <c r="AK22" i="4"/>
  <c r="AL22" i="4" s="1"/>
  <c r="AC65" i="4"/>
  <c r="AD65" i="4" s="1"/>
  <c r="AC4" i="4"/>
  <c r="AD4" i="4" s="1"/>
  <c r="AC22" i="4"/>
  <c r="AD22" i="4" s="1"/>
  <c r="AK13" i="4"/>
  <c r="AL13" i="4" s="1"/>
  <c r="AK69" i="4"/>
  <c r="AL69" i="4" s="1"/>
  <c r="AK77" i="4"/>
  <c r="AL77" i="4" s="1"/>
  <c r="AC13" i="4"/>
  <c r="AD13" i="4" s="1"/>
  <c r="AC69" i="4"/>
  <c r="AD69" i="4" s="1"/>
  <c r="AK4" i="4"/>
  <c r="AL4" i="4" s="1"/>
  <c r="AC82" i="4"/>
  <c r="AD82" i="4" s="1"/>
  <c r="AC45" i="4"/>
  <c r="AD45" i="4" s="1"/>
  <c r="AC73" i="4"/>
  <c r="AD73" i="4" s="1"/>
  <c r="AC84" i="4"/>
  <c r="AD84" i="4" s="1"/>
  <c r="X9" i="4"/>
  <c r="Z9" i="4"/>
  <c r="AC37" i="4"/>
  <c r="AD37" i="4" s="1"/>
  <c r="AC18" i="4"/>
  <c r="AD18" i="4" s="1"/>
  <c r="AC54" i="4"/>
  <c r="AD54" i="4" s="1"/>
  <c r="AC12" i="4"/>
  <c r="AD12" i="4" s="1"/>
  <c r="AC79" i="4"/>
  <c r="AD79" i="4" s="1"/>
  <c r="AC20" i="4"/>
  <c r="AD20" i="4" s="1"/>
  <c r="X53" i="4"/>
  <c r="AC53" i="4" s="1"/>
  <c r="AD53" i="4" s="1"/>
  <c r="AI24" i="4"/>
  <c r="AD11" i="4"/>
  <c r="Z66" i="4"/>
  <c r="AC66" i="4" s="1"/>
  <c r="AD66" i="4" s="1"/>
  <c r="Z83" i="4"/>
  <c r="AC83" i="4" s="1"/>
  <c r="AD83" i="4" s="1"/>
  <c r="Z60" i="4"/>
  <c r="AK60" i="4"/>
  <c r="Y60" i="4"/>
  <c r="Y87" i="4" s="1"/>
  <c r="AL81" i="4" l="1"/>
  <c r="M11" i="7"/>
  <c r="L11" i="7"/>
  <c r="O12" i="7"/>
  <c r="W87" i="4"/>
  <c r="Z87" i="4"/>
  <c r="AL60" i="4"/>
  <c r="AK87" i="4"/>
  <c r="X87" i="4"/>
  <c r="AI87" i="4"/>
  <c r="AD91" i="4"/>
  <c r="AD93" i="4" s="1"/>
  <c r="AE93" i="4" s="1"/>
  <c r="AL24" i="4"/>
  <c r="AL58" i="4"/>
  <c r="AL84" i="4"/>
  <c r="AC9" i="4"/>
  <c r="AC60" i="4"/>
  <c r="M12" i="7" l="1"/>
  <c r="L12" i="7"/>
  <c r="O13" i="7"/>
  <c r="AD60" i="4"/>
  <c r="AC87" i="4"/>
  <c r="AL87" i="4"/>
  <c r="AD95" i="4"/>
  <c r="AE95" i="4" s="1"/>
  <c r="AD9" i="4"/>
  <c r="L13" i="7" l="1"/>
  <c r="M13" i="7"/>
  <c r="O14" i="7"/>
  <c r="AD87" i="4"/>
  <c r="M14" i="7" l="1"/>
  <c r="L14" i="7"/>
  <c r="O15" i="7"/>
  <c r="O16" i="7" l="1"/>
  <c r="M15" i="7"/>
  <c r="L15" i="7"/>
  <c r="M16" i="7" l="1"/>
  <c r="L16" i="7"/>
  <c r="O17" i="7"/>
  <c r="O18" i="7" l="1"/>
  <c r="M17" i="7"/>
  <c r="L17" i="7"/>
  <c r="L18" i="7" l="1"/>
  <c r="M18" i="7"/>
  <c r="O19" i="7"/>
  <c r="M19" i="7" l="1"/>
  <c r="L19" i="7"/>
  <c r="O20" i="7"/>
  <c r="M20" i="7" l="1"/>
  <c r="L20" i="7"/>
  <c r="O21" i="7"/>
  <c r="L21" i="7" l="1"/>
  <c r="M21" i="7"/>
  <c r="O22" i="7"/>
  <c r="O23" i="7" l="1"/>
  <c r="L22" i="7"/>
  <c r="M22" i="7"/>
  <c r="O24" i="7" l="1"/>
  <c r="M23" i="7"/>
  <c r="L23" i="7"/>
  <c r="O25" i="7" l="1"/>
  <c r="L24" i="7"/>
  <c r="M24" i="7"/>
  <c r="O26" i="7" l="1"/>
  <c r="M25" i="7"/>
  <c r="L25" i="7"/>
  <c r="O27" i="7" l="1"/>
  <c r="L26" i="7"/>
  <c r="M26" i="7"/>
  <c r="O28" i="7" l="1"/>
  <c r="M27" i="7"/>
  <c r="L27" i="7"/>
  <c r="L28" i="7" l="1"/>
  <c r="M28" i="7"/>
  <c r="O29" i="7"/>
  <c r="L29" i="7" l="1"/>
  <c r="M29" i="7"/>
  <c r="O30" i="7"/>
  <c r="M30" i="7" l="1"/>
  <c r="L30" i="7"/>
  <c r="O31" i="7"/>
  <c r="O32" i="7" l="1"/>
  <c r="L31" i="7"/>
  <c r="M31" i="7"/>
  <c r="L32" i="7" l="1"/>
  <c r="M32" i="7"/>
  <c r="O33" i="7"/>
  <c r="O34" i="7" l="1"/>
  <c r="M33" i="7"/>
  <c r="L33" i="7"/>
  <c r="L34" i="7" l="1"/>
  <c r="M34" i="7"/>
  <c r="O35" i="7"/>
  <c r="O36" i="7" l="1"/>
  <c r="M35" i="7"/>
  <c r="L35" i="7"/>
  <c r="L36" i="7" l="1"/>
  <c r="M36" i="7"/>
  <c r="O37" i="7"/>
  <c r="M37" i="7" l="1"/>
  <c r="L37" i="7"/>
  <c r="O38" i="7"/>
  <c r="O39" i="7" l="1"/>
  <c r="L38" i="7"/>
  <c r="M38" i="7"/>
  <c r="M39" i="7" l="1"/>
  <c r="L39" i="7"/>
  <c r="O40" i="7"/>
  <c r="O41" i="7" l="1"/>
  <c r="M40" i="7"/>
  <c r="L40" i="7"/>
  <c r="M41" i="7" l="1"/>
  <c r="L41" i="7"/>
  <c r="O42" i="7"/>
  <c r="O43" i="7" l="1"/>
  <c r="L42" i="7"/>
  <c r="M42" i="7"/>
  <c r="M43" i="7" l="1"/>
  <c r="L43" i="7"/>
  <c r="O44" i="7"/>
  <c r="O45" i="7" l="1"/>
  <c r="M44" i="7"/>
  <c r="L44" i="7"/>
  <c r="M45" i="7" l="1"/>
  <c r="L45" i="7"/>
  <c r="O46" i="7"/>
  <c r="O47" i="7" l="1"/>
  <c r="M46" i="7"/>
  <c r="L46" i="7"/>
  <c r="M47" i="7" l="1"/>
  <c r="L47" i="7"/>
  <c r="O48" i="7"/>
  <c r="M48" i="7" l="1"/>
  <c r="L48" i="7"/>
  <c r="O49" i="7"/>
  <c r="O50" i="7" l="1"/>
  <c r="M49" i="7"/>
  <c r="L49" i="7"/>
  <c r="L50" i="7" l="1"/>
  <c r="M50" i="7"/>
  <c r="O51" i="7"/>
  <c r="O52" i="7" l="1"/>
  <c r="M51" i="7"/>
  <c r="L51" i="7"/>
  <c r="M52" i="7" l="1"/>
  <c r="L52" i="7"/>
  <c r="O53" i="7"/>
  <c r="M53" i="7" l="1"/>
  <c r="L53" i="7"/>
  <c r="O54" i="7"/>
  <c r="O55" i="7" l="1"/>
  <c r="M54" i="7"/>
  <c r="L54" i="7"/>
  <c r="M55" i="7" l="1"/>
  <c r="L55" i="7"/>
  <c r="O56" i="7"/>
  <c r="O57" i="7" l="1"/>
  <c r="L56" i="7"/>
  <c r="M56" i="7"/>
  <c r="O58" i="7" l="1"/>
  <c r="M57" i="7"/>
  <c r="L57" i="7"/>
  <c r="M58" i="7" l="1"/>
  <c r="L58" i="7"/>
  <c r="O59" i="7"/>
  <c r="O60" i="7" l="1"/>
  <c r="M59" i="7"/>
  <c r="L59" i="7"/>
  <c r="M60" i="7" l="1"/>
  <c r="L60" i="7"/>
  <c r="O61" i="7"/>
  <c r="O62" i="7" l="1"/>
  <c r="M61" i="7"/>
  <c r="L61" i="7"/>
  <c r="M62" i="7" l="1"/>
  <c r="L62" i="7"/>
  <c r="O63" i="7"/>
  <c r="O64" i="7" l="1"/>
  <c r="M63" i="7"/>
  <c r="L63" i="7"/>
  <c r="M64" i="7" l="1"/>
  <c r="L64" i="7"/>
  <c r="O65" i="7"/>
  <c r="O66" i="7" l="1"/>
  <c r="M65" i="7"/>
  <c r="L65" i="7"/>
  <c r="M66" i="7" l="1"/>
  <c r="L66" i="7"/>
  <c r="O67" i="7"/>
  <c r="O68" i="7" l="1"/>
  <c r="M67" i="7"/>
  <c r="L67" i="7"/>
  <c r="M68" i="7" l="1"/>
  <c r="L68" i="7"/>
  <c r="O69" i="7"/>
  <c r="O70" i="7" l="1"/>
  <c r="L69" i="7"/>
  <c r="M69" i="7"/>
  <c r="L70" i="7" l="1"/>
  <c r="M70" i="7"/>
  <c r="O71" i="7"/>
  <c r="O72" i="7" l="1"/>
  <c r="M71" i="7"/>
  <c r="L71" i="7"/>
  <c r="L72" i="7" l="1"/>
  <c r="M72" i="7"/>
  <c r="O73" i="7"/>
  <c r="O74" i="7" l="1"/>
  <c r="L73" i="7"/>
  <c r="M73" i="7"/>
  <c r="M74" i="7" l="1"/>
  <c r="L74" i="7"/>
  <c r="O75" i="7"/>
  <c r="O76" i="7" l="1"/>
  <c r="L75" i="7"/>
  <c r="M75" i="7"/>
  <c r="O77" i="7" l="1"/>
  <c r="L76" i="7"/>
  <c r="M76" i="7"/>
  <c r="O78" i="7" l="1"/>
  <c r="L77" i="7"/>
  <c r="M77" i="7"/>
  <c r="L78" i="7" l="1"/>
  <c r="M78" i="7"/>
  <c r="O79" i="7"/>
  <c r="O80" i="7" l="1"/>
  <c r="M79" i="7"/>
  <c r="L79" i="7"/>
  <c r="M80" i="7" l="1"/>
  <c r="L80" i="7"/>
  <c r="O81" i="7"/>
  <c r="O83" i="7" l="1"/>
  <c r="O82" i="7"/>
  <c r="M81" i="7"/>
  <c r="L81" i="7"/>
  <c r="O85" i="7" l="1"/>
  <c r="M82" i="7"/>
  <c r="L82" i="7"/>
  <c r="M83" i="7"/>
  <c r="M85" i="7" s="1"/>
  <c r="L83" i="7"/>
  <c r="L85" i="7" s="1"/>
</calcChain>
</file>

<file path=xl/sharedStrings.xml><?xml version="1.0" encoding="utf-8"?>
<sst xmlns="http://schemas.openxmlformats.org/spreadsheetml/2006/main" count="875" uniqueCount="321">
  <si>
    <t>Total</t>
  </si>
  <si>
    <t>Overtime</t>
  </si>
  <si>
    <t>Housekeeping</t>
  </si>
  <si>
    <t>Security Guard</t>
  </si>
  <si>
    <t>Godown</t>
  </si>
  <si>
    <t>PC Office</t>
  </si>
  <si>
    <t>RS-Hiland Park</t>
  </si>
  <si>
    <t>RS-Forum Mall</t>
  </si>
  <si>
    <t>Shyagugst St.</t>
  </si>
  <si>
    <t>RS-Quest Mall</t>
  </si>
  <si>
    <t>RS-Jossar Road</t>
  </si>
  <si>
    <t>RS-N L Lane</t>
  </si>
  <si>
    <t>Essence-Kakurgachi</t>
  </si>
  <si>
    <t>Essence-Avani Mall</t>
  </si>
  <si>
    <t>RS-J.B. St.</t>
  </si>
  <si>
    <t>RS-Krishnanagar</t>
  </si>
  <si>
    <t>PF-Krishnanagar</t>
  </si>
  <si>
    <t>RS-Bhelupur-UP</t>
  </si>
  <si>
    <t>RS-Sundarpur-UP</t>
  </si>
  <si>
    <t>RS-Balasore</t>
  </si>
  <si>
    <t>RS-Cuttac</t>
  </si>
  <si>
    <t>RS-Giridih</t>
  </si>
  <si>
    <t>RS-Agartala</t>
  </si>
  <si>
    <t>S. Pansari Shop</t>
  </si>
  <si>
    <t>Primarc Sukriti</t>
  </si>
  <si>
    <t>Sl. No.</t>
  </si>
  <si>
    <t>Name of Workman</t>
  </si>
  <si>
    <t>Serial No. in the register of workman</t>
  </si>
  <si>
    <t>Designation/ nature of work done</t>
  </si>
  <si>
    <t>Units of work done</t>
  </si>
  <si>
    <t>Basic Wages</t>
  </si>
  <si>
    <t>Dearness allowances</t>
  </si>
  <si>
    <t>House Rent Allowance</t>
  </si>
  <si>
    <t>Other cash payment (Nature of payment to be indicated)</t>
  </si>
  <si>
    <t>Provident Fund</t>
  </si>
  <si>
    <t>Professional Tax</t>
  </si>
  <si>
    <t xml:space="preserve">ESI </t>
  </si>
  <si>
    <t>Advance Adjustment</t>
  </si>
  <si>
    <t>Miscellaneous Deduction</t>
  </si>
  <si>
    <t>Deductions</t>
  </si>
  <si>
    <t>Total Deduction</t>
  </si>
  <si>
    <t>Net Amount Paid</t>
  </si>
  <si>
    <t>Signature/ Thumb impression of workman</t>
  </si>
  <si>
    <t>Initial of contractors or his representative</t>
  </si>
  <si>
    <t>Other Allowances</t>
  </si>
  <si>
    <t>Scale</t>
  </si>
  <si>
    <t>Santanu Mitra</t>
  </si>
  <si>
    <t>Dipu Shaw</t>
  </si>
  <si>
    <t>Arun Nath</t>
  </si>
  <si>
    <t>Samir Saha</t>
  </si>
  <si>
    <t>Amarjit Dey</t>
  </si>
  <si>
    <t>No. of days Worked</t>
  </si>
  <si>
    <t>Days in the Month</t>
  </si>
  <si>
    <t>PF Wages</t>
  </si>
  <si>
    <t>Employer's PF Contribution</t>
  </si>
  <si>
    <t>ESI Wages</t>
  </si>
  <si>
    <t>Employer's ESI Contribution</t>
  </si>
  <si>
    <t>Wages Paid</t>
  </si>
  <si>
    <t>Bonus</t>
  </si>
  <si>
    <t>ID Card No.</t>
  </si>
  <si>
    <t>Site Code</t>
  </si>
  <si>
    <t>PRS/Godown/HK/001</t>
  </si>
  <si>
    <t>PRS/Godown/HK/002</t>
  </si>
  <si>
    <t>PRS/Godown/HK/003</t>
  </si>
  <si>
    <t>PRS/Godown/HK/004</t>
  </si>
  <si>
    <t>PRS/Godown/SG/001</t>
  </si>
  <si>
    <t>PRS/Office/HK/001</t>
  </si>
  <si>
    <t>Bijendra Mallick</t>
  </si>
  <si>
    <t>PRS/Office/HK/002</t>
  </si>
  <si>
    <t>Ajay Biswas</t>
  </si>
  <si>
    <t>PRS/Office/HK/003</t>
  </si>
  <si>
    <t>Tapan Debnath</t>
  </si>
  <si>
    <t>PRS/RS-Hiland Park/HK/001</t>
  </si>
  <si>
    <t>Dipankar Naskar</t>
  </si>
  <si>
    <t>PRS/RS-Hiland Park/HK/003</t>
  </si>
  <si>
    <t>PRS/RS-Forum Mall/HK/001</t>
  </si>
  <si>
    <t>Sudip Ghosh</t>
  </si>
  <si>
    <t>PRS/Shyagugst St./HK/001</t>
  </si>
  <si>
    <t>PRS/Shyagugst St./HK/002</t>
  </si>
  <si>
    <t>Tushar Dutta</t>
  </si>
  <si>
    <t>PRS/Shyagugst St./HK/003</t>
  </si>
  <si>
    <t>Golak Das</t>
  </si>
  <si>
    <t>PRS/RS-Quest Mall/HK/001</t>
  </si>
  <si>
    <t>Bhaskar Naskar</t>
  </si>
  <si>
    <t>PRS/RS-Jossar Road/SG/001</t>
  </si>
  <si>
    <t>PRS/RS-N L Lane/HK/001</t>
  </si>
  <si>
    <t>Avinandan Pal</t>
  </si>
  <si>
    <t>PRS/Essence-Kakurgachi/HK/001</t>
  </si>
  <si>
    <t>PRS/Essence-Kakurgachi/HK/003</t>
  </si>
  <si>
    <t>Dipak Debnath</t>
  </si>
  <si>
    <t>PRS/Essence-Avani Mall/HK/001</t>
  </si>
  <si>
    <t>PRS/RS-J.B. St./HK/001</t>
  </si>
  <si>
    <t>PRS/Burdwan - 1/HK/001</t>
  </si>
  <si>
    <t>Sanjib Gharui</t>
  </si>
  <si>
    <t>PRS/Burdwan - 1/SG/001</t>
  </si>
  <si>
    <t>PRS/Burdwan - 2/HK/001</t>
  </si>
  <si>
    <t>Parikshit Biswas</t>
  </si>
  <si>
    <t>PRS/Burdwan - 2/SG/001</t>
  </si>
  <si>
    <t>PRS/RS-Krishnanagar/SG/001</t>
  </si>
  <si>
    <t>Sandip Sarkar</t>
  </si>
  <si>
    <t>PRS/PF-Krishnanagar/HK/001</t>
  </si>
  <si>
    <t>Tarak Karmakar</t>
  </si>
  <si>
    <t>PRS/RS-Bhelupur-UP/HK/001</t>
  </si>
  <si>
    <t>PRS/RS-Bhelupur-UP/HK/002</t>
  </si>
  <si>
    <t>Nijamuddin</t>
  </si>
  <si>
    <t>PRS/RS-Bhelupur-UP/HK/003</t>
  </si>
  <si>
    <t>Hadish</t>
  </si>
  <si>
    <t>PRS/RS-Bhelupur-UP/HK/004</t>
  </si>
  <si>
    <t>PRS/RS-Bhelupur-UP/SG/001</t>
  </si>
  <si>
    <t>PRS/RS-Sundarpur-UP/HK/001</t>
  </si>
  <si>
    <t>Satyam Mishra</t>
  </si>
  <si>
    <t>PRS/RS-Sundarpur-UP/HK/002</t>
  </si>
  <si>
    <t>Sonu Seth</t>
  </si>
  <si>
    <t>PRS/RS-Sundarpur-UP/HK/003</t>
  </si>
  <si>
    <t>PRS/Balasore/HK/001</t>
  </si>
  <si>
    <t>PRS/Balasore/SG/001</t>
  </si>
  <si>
    <t>Debesh Das</t>
  </si>
  <si>
    <t>PRS/Cuttac/HK/001</t>
  </si>
  <si>
    <t>Tarunakant Singh</t>
  </si>
  <si>
    <t>PRS/Cuttac/HK/002</t>
  </si>
  <si>
    <t>PRS/Cuttac/SG/001</t>
  </si>
  <si>
    <t>SK Siraz</t>
  </si>
  <si>
    <t>PRS/Giridih/HK/001</t>
  </si>
  <si>
    <t>Uday Kumar Ram</t>
  </si>
  <si>
    <t>PRS/Agartala/HK/001</t>
  </si>
  <si>
    <t>Sunny Das</t>
  </si>
  <si>
    <t>PRS/Agartala/SG/01</t>
  </si>
  <si>
    <t>PRS/SP/SG/001</t>
  </si>
  <si>
    <t>PRS/Sukriti/SG/001</t>
  </si>
  <si>
    <t>Santosh Thakur</t>
  </si>
  <si>
    <t>PRS/Sukriti/SG/002</t>
  </si>
  <si>
    <t>Conveyance Allowance</t>
  </si>
  <si>
    <t>Burdwan - 2</t>
  </si>
  <si>
    <t>Daily rate of wages/ piece rate</t>
  </si>
  <si>
    <t>Amount of wages earned</t>
  </si>
  <si>
    <t>Burdwan - 1</t>
  </si>
  <si>
    <t>Housekeeping (2)</t>
  </si>
  <si>
    <t>Shibratan Yadav</t>
  </si>
  <si>
    <t>Primarc HO/HK/001</t>
  </si>
  <si>
    <t>Primarc HO</t>
  </si>
  <si>
    <t>Bablu Mitra</t>
  </si>
  <si>
    <t>Primarc HO/HK/002</t>
  </si>
  <si>
    <t>Ranjit Mondal</t>
  </si>
  <si>
    <t>Primarc HO/HK/003</t>
  </si>
  <si>
    <t>Pulak Guha</t>
  </si>
  <si>
    <t>Primarc HO/HK/004</t>
  </si>
  <si>
    <t>Primarc HO/HK/005</t>
  </si>
  <si>
    <t>Primarc HO/HK/006</t>
  </si>
  <si>
    <t>Sanjit Mondal</t>
  </si>
  <si>
    <t>Primarc HO/HK/007</t>
  </si>
  <si>
    <t>Haru Das</t>
  </si>
  <si>
    <t>Primarc HO/HK/008</t>
  </si>
  <si>
    <t>Primarc HO/HK/009</t>
  </si>
  <si>
    <t>Amit Gayan</t>
  </si>
  <si>
    <t>Primarc HO/HK/010</t>
  </si>
  <si>
    <t>Housekeeping - Reliver</t>
  </si>
  <si>
    <t>Primarc HO/HK (S)/001</t>
  </si>
  <si>
    <t>Housekeeping - Semi Skilled</t>
  </si>
  <si>
    <t>Primarc HO/ Recept/ 001</t>
  </si>
  <si>
    <t>Receptionist</t>
  </si>
  <si>
    <t>Primarc HO/ Elec/001</t>
  </si>
  <si>
    <t>Electrician</t>
  </si>
  <si>
    <t>Lovelock/SG/003</t>
  </si>
  <si>
    <t>Security Officer</t>
  </si>
  <si>
    <t>Gangetica/SG/001</t>
  </si>
  <si>
    <t>Gangetica</t>
  </si>
  <si>
    <t>Rakesh Mukherjee</t>
  </si>
  <si>
    <t>Gangetica/SG/002</t>
  </si>
  <si>
    <t>Gangetica/SG/003</t>
  </si>
  <si>
    <t>Gangetica/SG/004</t>
  </si>
  <si>
    <t>Mintu Das</t>
  </si>
  <si>
    <t>Gangetica/SG/005</t>
  </si>
  <si>
    <t>Gangetica/SG/006</t>
  </si>
  <si>
    <t>Gupinath Dey</t>
  </si>
  <si>
    <t>Security Guard - Reliver</t>
  </si>
  <si>
    <t>Gangetica/HK/001</t>
  </si>
  <si>
    <t>Sukumar Debnath</t>
  </si>
  <si>
    <t>Aura/SG/001</t>
  </si>
  <si>
    <t>Aura</t>
  </si>
  <si>
    <t>Aura/SG/002</t>
  </si>
  <si>
    <t>Kalipada Nandi</t>
  </si>
  <si>
    <t>Aura/SG/003</t>
  </si>
  <si>
    <t>Aura/SG/004</t>
  </si>
  <si>
    <t>Prabin Kumar Mishra</t>
  </si>
  <si>
    <t>Aura/SG/005</t>
  </si>
  <si>
    <t>Aura/HK/001</t>
  </si>
  <si>
    <t>Santu Hela</t>
  </si>
  <si>
    <t>Aura/HK/002</t>
  </si>
  <si>
    <t>Pratap Duley</t>
  </si>
  <si>
    <t>Allure/SG/001</t>
  </si>
  <si>
    <t>Allura</t>
  </si>
  <si>
    <t>Sumanta Dutta</t>
  </si>
  <si>
    <t>Allure/SG/004</t>
  </si>
  <si>
    <t>Monotosh Nandy</t>
  </si>
  <si>
    <t>Allure/SG/005</t>
  </si>
  <si>
    <t>Saifuddin Mondal</t>
  </si>
  <si>
    <t>Pecan</t>
  </si>
  <si>
    <t>Pecan/SG/002</t>
  </si>
  <si>
    <t>Pecan/HK/001</t>
  </si>
  <si>
    <t>Srimanta Naskar</t>
  </si>
  <si>
    <t>Pecan/HK/002</t>
  </si>
  <si>
    <t>Paritosh Shikari</t>
  </si>
  <si>
    <t>Pecan/HK/003</t>
  </si>
  <si>
    <t>Suman Shikari</t>
  </si>
  <si>
    <t>Pecan/HK/004</t>
  </si>
  <si>
    <t>Partha Naskar</t>
  </si>
  <si>
    <t>7, Love Lock Street,</t>
  </si>
  <si>
    <t>UAN</t>
  </si>
  <si>
    <t>100025852568</t>
  </si>
  <si>
    <t>100897487587</t>
  </si>
  <si>
    <t>100477673569</t>
  </si>
  <si>
    <t>100897567516</t>
  </si>
  <si>
    <t>100080663428</t>
  </si>
  <si>
    <t>101052995478</t>
  </si>
  <si>
    <t>100089880498</t>
  </si>
  <si>
    <t>100760007833</t>
  </si>
  <si>
    <t>101070702116</t>
  </si>
  <si>
    <t>100884224071</t>
  </si>
  <si>
    <t>100477634374</t>
  </si>
  <si>
    <t>100759529833</t>
  </si>
  <si>
    <t>100114187619</t>
  </si>
  <si>
    <t>100948442061</t>
  </si>
  <si>
    <t>100948425793</t>
  </si>
  <si>
    <t>100872794526</t>
  </si>
  <si>
    <t>100140159994</t>
  </si>
  <si>
    <t>100140377372</t>
  </si>
  <si>
    <t>100888665663</t>
  </si>
  <si>
    <t>101052995484</t>
  </si>
  <si>
    <t>100901303226</t>
  </si>
  <si>
    <t>100901946323</t>
  </si>
  <si>
    <t>100759938695</t>
  </si>
  <si>
    <t>100902300430</t>
  </si>
  <si>
    <t>100903036152</t>
  </si>
  <si>
    <t>100759379868</t>
  </si>
  <si>
    <t>101020417852</t>
  </si>
  <si>
    <t>100478330632</t>
  </si>
  <si>
    <t>100760454786</t>
  </si>
  <si>
    <t>100948443229</t>
  </si>
  <si>
    <t>100760173537</t>
  </si>
  <si>
    <t>101020417834</t>
  </si>
  <si>
    <t>101053002943</t>
  </si>
  <si>
    <t>100950602928</t>
  </si>
  <si>
    <t>101052995523</t>
  </si>
  <si>
    <t>100761115926</t>
  </si>
  <si>
    <t>100877573700</t>
  </si>
  <si>
    <t>100760113262</t>
  </si>
  <si>
    <t>101020417875</t>
  </si>
  <si>
    <t>100906272882</t>
  </si>
  <si>
    <t>100760112368</t>
  </si>
  <si>
    <t>100760550924</t>
  </si>
  <si>
    <t>100289300194</t>
  </si>
  <si>
    <t>101052995508</t>
  </si>
  <si>
    <t>100761230344</t>
  </si>
  <si>
    <t>101020417810</t>
  </si>
  <si>
    <t>100477860829</t>
  </si>
  <si>
    <t>100027812431</t>
  </si>
  <si>
    <t>101020417881</t>
  </si>
  <si>
    <t>100879598427</t>
  </si>
  <si>
    <t>100759313859</t>
  </si>
  <si>
    <t>100761054006</t>
  </si>
  <si>
    <t>100949392302</t>
  </si>
  <si>
    <t>100334934328</t>
  </si>
  <si>
    <t>100478039997</t>
  </si>
  <si>
    <t>100759924397</t>
  </si>
  <si>
    <t>100060010883</t>
  </si>
  <si>
    <t>100760912852</t>
  </si>
  <si>
    <t>100760754344</t>
  </si>
  <si>
    <t>100760830075</t>
  </si>
  <si>
    <t>101052995510</t>
  </si>
  <si>
    <t>100946715958</t>
  </si>
  <si>
    <t>100880572414</t>
  </si>
  <si>
    <t>101052995497</t>
  </si>
  <si>
    <t>100949959532</t>
  </si>
  <si>
    <t>100477971770</t>
  </si>
  <si>
    <t>100977149392</t>
  </si>
  <si>
    <t>100880883340</t>
  </si>
  <si>
    <t>101020417899</t>
  </si>
  <si>
    <t>100885363998</t>
  </si>
  <si>
    <t>100947518745</t>
  </si>
  <si>
    <t>100977149371</t>
  </si>
  <si>
    <t>100389038762</t>
  </si>
  <si>
    <t>101020417823</t>
  </si>
  <si>
    <t>100911045450</t>
  </si>
  <si>
    <t>100760611520</t>
  </si>
  <si>
    <t>100886341349</t>
  </si>
  <si>
    <t>101053002936</t>
  </si>
  <si>
    <t>100478985379</t>
  </si>
  <si>
    <t>Amit Mallick</t>
  </si>
  <si>
    <t>Amal Paul</t>
  </si>
  <si>
    <t>Arindam Bhattacharyya</t>
  </si>
  <si>
    <t>Arun Kumar Singh</t>
  </si>
  <si>
    <t>Debashish Ghosh</t>
  </si>
  <si>
    <t>Josephin Paul</t>
  </si>
  <si>
    <t>Kamal Uddin Khan</t>
  </si>
  <si>
    <t>Lalu Oraon</t>
  </si>
  <si>
    <t>Laxminarayan Kisku</t>
  </si>
  <si>
    <t>Manas Kumar Singha</t>
  </si>
  <si>
    <t>Manoranjan Bhowmik</t>
  </si>
  <si>
    <t>Arpan Basu</t>
  </si>
  <si>
    <t>Manoj Kumar Podder</t>
  </si>
  <si>
    <t>Pramod Kumar Padhi</t>
  </si>
  <si>
    <t>Prasanto Chowdhury</t>
  </si>
  <si>
    <t>Rabiul Sardar</t>
  </si>
  <si>
    <t>Ranjeet Kumar Sahani</t>
  </si>
  <si>
    <t>Rabi Sikder</t>
  </si>
  <si>
    <t>Rabin Sen</t>
  </si>
  <si>
    <t>Sakti Sadhan Dey</t>
  </si>
  <si>
    <t>Samiran Malik</t>
  </si>
  <si>
    <t>Sanjay Kumar Ghosh</t>
  </si>
  <si>
    <t>Satrughan Das</t>
  </si>
  <si>
    <t>Sk Sazzad Hossan</t>
  </si>
  <si>
    <t>Shambhu Majumder</t>
  </si>
  <si>
    <t>Sankar Sardar</t>
  </si>
  <si>
    <t>Subhas Chandra Sardar</t>
  </si>
  <si>
    <t>Swapan Kumar Das</t>
  </si>
  <si>
    <t>Vicky Sahani</t>
  </si>
  <si>
    <t>Vijoy Bajaj</t>
  </si>
  <si>
    <t>Raju Kumar Rathod</t>
  </si>
  <si>
    <t>101092117341</t>
  </si>
  <si>
    <t>101092117325</t>
  </si>
  <si>
    <t>101092117339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</si>
</sst>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_);_(* \(#,##0\);_(* &quot;-&quot;_);_(@_)"/>
    <numFmt numFmtId="165" formatCode="_(* #,##0.00_);_(* \(#,##0.00\);_(* &quot;-&quot;??_);_(@_)"/>
    <numFmt numFmtId="166" formatCode="_ * #,##0.00_ ;_ * \-#,##0.00_ ;_ * &quot;-&quot;??_ ;_ @_ "/>
    <numFmt numFmtId="167" formatCode="_ * #,##0_ ;_ * \-#,##0_ ;_ * &quot;-&quot;_ ;_ @_ "/>
    <numFmt numFmtId="168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8"/>
      <name val="Verdana"/>
      <family val="2"/>
    </font>
    <font>
      <sz val="8"/>
      <color theme="1"/>
      <name val="Verdana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165" fontId="1" fillId="0" borderId="0" applyFont="0" applyFill="0" applyBorder="0" applyAlignment="0" applyProtection="0"/>
    <xf numFmtId="0" fontId="2" fillId="0" borderId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3" fillId="0" borderId="0"/>
    <xf numFmtId="166" fontId="1" fillId="0" borderId="0" applyFont="0" applyFill="0" applyBorder="0" applyAlignment="0" applyProtection="0"/>
  </cellStyleXfs>
  <cellXfs count="55">
    <xf numFmtId="0" fontId="0" fillId="0" borderId="0" xfId="0"/>
    <xf numFmtId="0" fontId="3" fillId="2" borderId="0" xfId="2" applyFont="1" applyFill="1"/>
    <xf numFmtId="1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 wrapText="1"/>
    </xf>
    <xf numFmtId="0" fontId="8" fillId="2" borderId="0" xfId="2" applyFont="1" applyFill="1"/>
    <xf numFmtId="0" fontId="9" fillId="2" borderId="0" xfId="2" applyFont="1" applyFill="1" applyAlignment="1">
      <alignment horizontal="center" vertical="center"/>
    </xf>
    <xf numFmtId="0" fontId="10" fillId="2" borderId="0" xfId="2" applyFont="1" applyFill="1"/>
    <xf numFmtId="0" fontId="10" fillId="2" borderId="1" xfId="2" applyFont="1" applyFill="1" applyBorder="1" applyAlignment="1">
      <alignment vertical="center" wrapText="1"/>
    </xf>
    <xf numFmtId="0" fontId="5" fillId="2" borderId="0" xfId="2" applyFont="1" applyFill="1"/>
    <xf numFmtId="0" fontId="4" fillId="2" borderId="0" xfId="2" applyFont="1" applyFill="1"/>
    <xf numFmtId="167" fontId="10" fillId="2" borderId="1" xfId="4" applyNumberFormat="1" applyFont="1" applyFill="1" applyBorder="1" applyAlignment="1">
      <alignment horizontal="center" vertical="center"/>
    </xf>
    <xf numFmtId="167" fontId="10" fillId="0" borderId="1" xfId="4" applyNumberFormat="1" applyFont="1" applyFill="1" applyBorder="1" applyAlignment="1">
      <alignment horizontal="center" vertical="center"/>
    </xf>
    <xf numFmtId="167" fontId="11" fillId="2" borderId="1" xfId="0" applyNumberFormat="1" applyFont="1" applyFill="1" applyBorder="1" applyAlignment="1">
      <alignment vertical="center"/>
    </xf>
    <xf numFmtId="167" fontId="11" fillId="2" borderId="1" xfId="0" applyNumberFormat="1" applyFont="1" applyFill="1" applyBorder="1" applyAlignment="1">
      <alignment horizontal="center" vertical="center"/>
    </xf>
    <xf numFmtId="167" fontId="12" fillId="5" borderId="1" xfId="0" applyNumberFormat="1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left" vertical="center"/>
    </xf>
    <xf numFmtId="0" fontId="10" fillId="2" borderId="1" xfId="2" applyFont="1" applyFill="1" applyBorder="1" applyAlignment="1">
      <alignment horizontal="center" vertical="center" wrapText="1"/>
    </xf>
    <xf numFmtId="0" fontId="10" fillId="3" borderId="1" xfId="2" applyFont="1" applyFill="1" applyBorder="1" applyAlignment="1">
      <alignment vertical="center" wrapText="1"/>
    </xf>
    <xf numFmtId="0" fontId="3" fillId="2" borderId="0" xfId="2" applyFont="1" applyFill="1" applyAlignment="1">
      <alignment horizontal="left" vertical="center"/>
    </xf>
    <xf numFmtId="0" fontId="8" fillId="2" borderId="0" xfId="2" applyFont="1" applyFill="1" applyAlignment="1">
      <alignment horizontal="left" vertical="center"/>
    </xf>
    <xf numFmtId="0" fontId="11" fillId="2" borderId="1" xfId="0" applyFont="1" applyFill="1" applyBorder="1" applyAlignment="1">
      <alignment horizontal="left" vertical="center" wrapText="1"/>
    </xf>
    <xf numFmtId="0" fontId="10" fillId="2" borderId="1" xfId="2" applyFont="1" applyFill="1" applyBorder="1" applyAlignment="1">
      <alignment horizontal="left" vertical="center" wrapText="1"/>
    </xf>
    <xf numFmtId="0" fontId="10" fillId="3" borderId="1" xfId="2" applyFont="1" applyFill="1" applyBorder="1" applyAlignment="1">
      <alignment horizontal="left" vertical="center" wrapText="1"/>
    </xf>
    <xf numFmtId="0" fontId="8" fillId="2" borderId="0" xfId="2" applyFont="1" applyFill="1" applyBorder="1" applyAlignment="1">
      <alignment horizontal="center" vertical="center"/>
    </xf>
    <xf numFmtId="0" fontId="12" fillId="4" borderId="1" xfId="2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vertical="center" wrapText="1"/>
    </xf>
    <xf numFmtId="0" fontId="9" fillId="3" borderId="1" xfId="2" applyFont="1" applyFill="1" applyBorder="1" applyAlignment="1">
      <alignment vertical="center" wrapText="1"/>
    </xf>
    <xf numFmtId="167" fontId="9" fillId="3" borderId="1" xfId="2" applyNumberFormat="1" applyFont="1" applyFill="1" applyBorder="1" applyAlignment="1">
      <alignment vertical="center" wrapText="1"/>
    </xf>
    <xf numFmtId="167" fontId="12" fillId="5" borderId="1" xfId="2" applyNumberFormat="1" applyFont="1" applyFill="1" applyBorder="1" applyAlignment="1">
      <alignment vertical="center" wrapText="1"/>
    </xf>
    <xf numFmtId="168" fontId="9" fillId="3" borderId="1" xfId="1" applyNumberFormat="1" applyFont="1" applyFill="1" applyBorder="1" applyAlignment="1">
      <alignment vertical="center" wrapText="1"/>
    </xf>
    <xf numFmtId="0" fontId="12" fillId="5" borderId="1" xfId="2" applyFont="1" applyFill="1" applyBorder="1" applyAlignment="1">
      <alignment horizontal="center" vertical="center" wrapText="1"/>
    </xf>
    <xf numFmtId="0" fontId="12" fillId="5" borderId="1" xfId="2" applyFont="1" applyFill="1" applyBorder="1" applyAlignment="1">
      <alignment vertical="center" wrapText="1"/>
    </xf>
    <xf numFmtId="167" fontId="12" fillId="5" borderId="1" xfId="0" applyNumberFormat="1" applyFont="1" applyFill="1" applyBorder="1" applyAlignment="1">
      <alignment vertical="center"/>
    </xf>
    <xf numFmtId="0" fontId="10" fillId="2" borderId="0" xfId="2" applyFont="1" applyFill="1" applyBorder="1" applyAlignment="1">
      <alignment vertical="center" wrapText="1"/>
    </xf>
    <xf numFmtId="167" fontId="10" fillId="2" borderId="0" xfId="2" applyNumberFormat="1" applyFont="1" applyFill="1" applyBorder="1" applyAlignment="1">
      <alignment vertical="center" wrapText="1"/>
    </xf>
    <xf numFmtId="0" fontId="9" fillId="2" borderId="1" xfId="2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left" vertical="center"/>
    </xf>
    <xf numFmtId="0" fontId="8" fillId="2" borderId="1" xfId="2" applyFont="1" applyFill="1" applyBorder="1" applyAlignment="1">
      <alignment horizontal="center" vertical="center"/>
    </xf>
    <xf numFmtId="0" fontId="10" fillId="3" borderId="1" xfId="2" applyFont="1" applyFill="1" applyBorder="1" applyAlignment="1">
      <alignment horizontal="center" vertical="center" wrapText="1"/>
    </xf>
    <xf numFmtId="164" fontId="12" fillId="5" borderId="1" xfId="2" applyNumberFormat="1" applyFont="1" applyFill="1" applyBorder="1" applyAlignment="1">
      <alignment vertical="center" wrapText="1"/>
    </xf>
    <xf numFmtId="164" fontId="12" fillId="5" borderId="1" xfId="0" applyNumberFormat="1" applyFont="1" applyFill="1" applyBorder="1" applyAlignment="1">
      <alignment vertical="center"/>
    </xf>
    <xf numFmtId="1" fontId="10" fillId="2" borderId="0" xfId="2" applyNumberFormat="1" applyFont="1" applyFill="1" applyBorder="1" applyAlignment="1">
      <alignment vertical="center" wrapText="1"/>
    </xf>
    <xf numFmtId="164" fontId="9" fillId="2" borderId="1" xfId="2" applyNumberFormat="1" applyFont="1" applyFill="1" applyBorder="1" applyAlignment="1">
      <alignment vertical="center" wrapText="1"/>
    </xf>
    <xf numFmtId="0" fontId="10" fillId="6" borderId="1" xfId="2" applyFont="1" applyFill="1" applyBorder="1" applyAlignment="1">
      <alignment vertical="center" wrapText="1"/>
    </xf>
    <xf numFmtId="0" fontId="10" fillId="2" borderId="1" xfId="2" quotePrefix="1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9" fillId="3" borderId="1" xfId="2" applyFont="1" applyFill="1" applyBorder="1" applyAlignment="1">
      <alignment horizontal="center" vertical="center" wrapText="1"/>
    </xf>
    <xf numFmtId="164" fontId="9" fillId="3" borderId="1" xfId="2" applyNumberFormat="1" applyFont="1" applyFill="1" applyBorder="1" applyAlignment="1">
      <alignment vertical="center" wrapText="1"/>
    </xf>
    <xf numFmtId="164" fontId="10" fillId="2" borderId="1" xfId="2" applyNumberFormat="1" applyFont="1" applyFill="1" applyBorder="1" applyAlignment="1">
      <alignment vertical="center" wrapText="1"/>
    </xf>
    <xf numFmtId="0" fontId="9" fillId="2" borderId="4" xfId="2" applyFont="1" applyFill="1" applyBorder="1" applyAlignment="1">
      <alignment horizontal="center" vertical="center" wrapText="1"/>
    </xf>
    <xf numFmtId="0" fontId="9" fillId="2" borderId="5" xfId="2" applyFont="1" applyFill="1" applyBorder="1" applyAlignment="1">
      <alignment horizontal="center" vertical="center" wrapText="1"/>
    </xf>
    <xf numFmtId="0" fontId="9" fillId="2" borderId="6" xfId="2" applyFont="1" applyFill="1" applyBorder="1" applyAlignment="1">
      <alignment horizontal="center" vertical="center" wrapText="1"/>
    </xf>
    <xf numFmtId="0" fontId="12" fillId="4" borderId="2" xfId="2" applyFont="1" applyFill="1" applyBorder="1" applyAlignment="1">
      <alignment horizontal="center" vertical="center" wrapText="1"/>
    </xf>
    <xf numFmtId="0" fontId="12" fillId="4" borderId="3" xfId="2" applyFont="1" applyFill="1" applyBorder="1" applyAlignment="1">
      <alignment horizontal="center" vertical="center" wrapText="1"/>
    </xf>
  </cellXfs>
  <cellStyles count="11">
    <cellStyle name="Comma" xfId="1" builtinId="3"/>
    <cellStyle name="Comma 2" xfId="3"/>
    <cellStyle name="Comma 3" xfId="4"/>
    <cellStyle name="Comma 4" xfId="5"/>
    <cellStyle name="Comma 5" xfId="10"/>
    <cellStyle name="Normal" xfId="0" builtinId="0"/>
    <cellStyle name="Normal 2" xfId="2"/>
    <cellStyle name="Normal 2 2" xfId="6"/>
    <cellStyle name="Normal 3" xfId="9"/>
    <cellStyle name="Normal 4" xfId="7"/>
    <cellStyle name="Style 1" xfId="8"/>
  </cellStyles>
  <dxfs count="2"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ajiv%20Dawn\Bill%20Format\Bill%20-%20Primarc%20Realty%20&amp;%20Pec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R%20Payroll%20Data\Payroll\Salary%20Sheets\FY%20-%202015%20-%2016\November,%202015\Salary%20Sheet%20-November,%202015\Chandresh%20Badar\Salary%20Sheet%20September,%202015%20-%20Southwinds%20Project%20LLP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vijit\Payroll\Salary%20Sheets\FY%20-%202016%20-%2017\January,%202017\Salary%20Sheet%20-%20January,%202017\Chandresh%20Badar\Salary%20Sheet%20January,%202017%20-%20Primarc%20Projects%20Pvt%20%20Lt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 final (2)"/>
      <sheetName val="Bill final"/>
      <sheetName val="Rate"/>
      <sheetName val="CODE"/>
      <sheetName val="Hed Count"/>
      <sheetName val="Sheet3"/>
    </sheetNames>
    <sheetDataSet>
      <sheetData sheetId="0" refreshError="1"/>
      <sheetData sheetId="1" refreshError="1"/>
      <sheetData sheetId="2">
        <row r="4">
          <cell r="A4" t="str">
            <v>Housekeeping</v>
          </cell>
        </row>
        <row r="5">
          <cell r="A5" t="str">
            <v xml:space="preserve">Housekeeping Semi Skilled </v>
          </cell>
        </row>
        <row r="6">
          <cell r="A6" t="str">
            <v xml:space="preserve">Receptionist </v>
          </cell>
        </row>
        <row r="7">
          <cell r="A7" t="str">
            <v xml:space="preserve">Security Guard </v>
          </cell>
        </row>
        <row r="8">
          <cell r="A8" t="str">
            <v xml:space="preserve">Security Officer </v>
          </cell>
        </row>
        <row r="9">
          <cell r="A9" t="str">
            <v>Electrician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Attendance - Trainee"/>
      <sheetName val="Salary Sheet - Trainee"/>
      <sheetName val="Compan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Primarc Projects Pvt. Ltd.</v>
          </cell>
        </row>
        <row r="4">
          <cell r="B4" t="str">
            <v>Southwinds Project LLP</v>
          </cell>
        </row>
        <row r="5">
          <cell r="B5" t="str">
            <v>Wellside Resort Pvt. Ltd.</v>
          </cell>
        </row>
        <row r="6">
          <cell r="B6" t="str">
            <v>MCK PGE Projects LLP</v>
          </cell>
        </row>
        <row r="7">
          <cell r="B7" t="str">
            <v>PGE Homes LLP</v>
          </cell>
        </row>
        <row r="8">
          <cell r="B8" t="str">
            <v>Primarc Riya Projects LLP</v>
          </cell>
        </row>
        <row r="9">
          <cell r="B9" t="str">
            <v>Primarc Pecan Retail Pvt Ltd</v>
          </cell>
        </row>
        <row r="10">
          <cell r="B10" t="str">
            <v>Parvati Resources Pvt. Ltd.</v>
          </cell>
        </row>
        <row r="11">
          <cell r="B11" t="str">
            <v>Mangrove Buildcon LLP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Sodexo"/>
      <sheetName val="Company List"/>
      <sheetName val="Leave Calculation"/>
    </sheetNames>
    <sheetDataSet>
      <sheetData sheetId="0">
        <row r="5">
          <cell r="B5" t="str">
            <v>Employee Code</v>
          </cell>
        </row>
      </sheetData>
      <sheetData sheetId="1">
        <row r="4">
          <cell r="B4" t="str">
            <v>Employee Code</v>
          </cell>
        </row>
      </sheetData>
      <sheetData sheetId="2"/>
      <sheetData sheetId="3"/>
      <sheetData sheetId="4"/>
      <sheetData sheetId="5">
        <row r="3">
          <cell r="B3" t="str">
            <v>Primarc Projects Pvt. Ltd.</v>
          </cell>
        </row>
        <row r="4">
          <cell r="B4" t="str">
            <v>Wellside Resort Pvt. Ltd.</v>
          </cell>
        </row>
        <row r="5">
          <cell r="B5" t="str">
            <v>Primarc Shrachi Projects LLP</v>
          </cell>
        </row>
        <row r="6">
          <cell r="B6" t="str">
            <v>PGE Homes LLP</v>
          </cell>
        </row>
        <row r="7">
          <cell r="B7" t="str">
            <v>Primarc Riya Projects LLP</v>
          </cell>
        </row>
        <row r="8">
          <cell r="B8" t="str">
            <v>Mangrove Buildcon LLP</v>
          </cell>
        </row>
        <row r="9">
          <cell r="B9" t="str">
            <v>Southwinds Project LLP</v>
          </cell>
        </row>
        <row r="10">
          <cell r="B10" t="str">
            <v>MCK PGE Projects LLP</v>
          </cell>
        </row>
        <row r="11">
          <cell r="B11" t="str">
            <v>Parvati Resources Pvt. Ltd.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L96"/>
  <sheetViews>
    <sheetView tabSelected="1" zoomScaleNormal="100" zoomScaleSheetLayoutView="100" workbookViewId="0">
      <pane xSplit="5" ySplit="3" topLeftCell="M13" activePane="bottomRight" state="frozen"/>
      <selection pane="topRight" activeCell="E1" sqref="E1"/>
      <selection pane="bottomLeft" activeCell="A4" sqref="A4"/>
      <selection pane="bottomRight" activeCell="N91" sqref="N91"/>
    </sheetView>
  </sheetViews>
  <sheetFormatPr defaultRowHeight="15.75" x14ac:dyDescent="0.25"/>
  <cols>
    <col min="1" max="1" width="26.28515625" style="1" bestFit="1" customWidth="1"/>
    <col min="2" max="2" width="17.7109375" style="18" bestFit="1" customWidth="1"/>
    <col min="3" max="3" width="17.7109375" style="18" customWidth="1"/>
    <col min="4" max="4" width="4.5703125" style="1" customWidth="1"/>
    <col min="5" max="5" width="19.28515625" style="1" bestFit="1" customWidth="1"/>
    <col min="6" max="6" width="8.140625" style="1" customWidth="1"/>
    <col min="7" max="7" width="13.5703125" style="18" customWidth="1"/>
    <col min="8" max="8" width="6.28515625" style="1" customWidth="1"/>
    <col min="9" max="9" width="6.85546875" style="1" customWidth="1"/>
    <col min="10" max="10" width="6.5703125" style="1" bestFit="1" customWidth="1"/>
    <col min="11" max="11" width="7.42578125" style="1" bestFit="1" customWidth="1"/>
    <col min="12" max="12" width="8.85546875" style="1" customWidth="1"/>
    <col min="13" max="13" width="8.42578125" style="1" customWidth="1"/>
    <col min="14" max="14" width="9.140625" style="1" customWidth="1"/>
    <col min="15" max="15" width="8.42578125" style="9" customWidth="1"/>
    <col min="16" max="16" width="7.42578125" style="1" customWidth="1"/>
    <col min="17" max="17" width="8.85546875" style="1" customWidth="1"/>
    <col min="18" max="18" width="8.28515625" style="1" customWidth="1"/>
    <col min="19" max="19" width="9.42578125" style="1" customWidth="1"/>
    <col min="20" max="20" width="9" style="1" customWidth="1"/>
    <col min="21" max="21" width="7.7109375" style="1" customWidth="1"/>
    <col min="22" max="22" width="11.28515625" style="1" customWidth="1"/>
    <col min="23" max="23" width="7.42578125" style="1" customWidth="1"/>
    <col min="24" max="24" width="7.7109375" style="1" customWidth="1"/>
    <col min="25" max="25" width="6.5703125" style="1" bestFit="1" customWidth="1"/>
    <col min="26" max="26" width="9.5703125" style="1" customWidth="1"/>
    <col min="27" max="27" width="9.140625" style="1" customWidth="1"/>
    <col min="28" max="28" width="11" style="1" customWidth="1"/>
    <col min="29" max="29" width="8.140625" style="1" customWidth="1"/>
    <col min="30" max="30" width="8.28515625" style="1" customWidth="1"/>
    <col min="31" max="31" width="13.85546875" style="1" bestFit="1" customWidth="1"/>
    <col min="32" max="32" width="14.140625" style="1" customWidth="1"/>
    <col min="33" max="33" width="6.5703125" style="1" bestFit="1" customWidth="1"/>
    <col min="34" max="34" width="8" style="1" bestFit="1" customWidth="1"/>
    <col min="35" max="35" width="9.5703125" style="1" bestFit="1" customWidth="1"/>
    <col min="36" max="36" width="9.140625" style="1"/>
    <col min="37" max="37" width="10" style="1" customWidth="1"/>
    <col min="38" max="38" width="9.28515625" style="1" bestFit="1" customWidth="1"/>
    <col min="39" max="16384" width="9.140625" style="1"/>
  </cols>
  <sheetData>
    <row r="1" spans="1:38" s="4" customFormat="1" ht="12" x14ac:dyDescent="0.15">
      <c r="B1" s="19"/>
      <c r="C1" s="19"/>
      <c r="G1" s="19"/>
      <c r="K1" s="53" t="s">
        <v>45</v>
      </c>
      <c r="L1" s="54"/>
      <c r="M1" s="54"/>
      <c r="N1" s="54"/>
      <c r="O1" s="8"/>
      <c r="P1" s="50" t="s">
        <v>134</v>
      </c>
      <c r="Q1" s="51"/>
      <c r="R1" s="51"/>
      <c r="S1" s="51"/>
      <c r="T1" s="51"/>
      <c r="U1" s="51"/>
      <c r="V1" s="51"/>
      <c r="W1" s="52"/>
      <c r="X1" s="50" t="s">
        <v>39</v>
      </c>
      <c r="Y1" s="51"/>
      <c r="Z1" s="51"/>
      <c r="AA1" s="51"/>
      <c r="AB1" s="51"/>
      <c r="AC1" s="52"/>
    </row>
    <row r="2" spans="1:38" s="23" customFormat="1" ht="10.5" x14ac:dyDescent="0.25">
      <c r="A2" s="38"/>
      <c r="B2" s="38"/>
      <c r="C2" s="38">
        <v>1</v>
      </c>
      <c r="D2" s="38">
        <v>2</v>
      </c>
      <c r="E2" s="38">
        <v>3</v>
      </c>
      <c r="F2" s="38">
        <v>4</v>
      </c>
      <c r="G2" s="38">
        <v>5</v>
      </c>
      <c r="H2" s="38">
        <v>6</v>
      </c>
      <c r="I2" s="38">
        <v>7</v>
      </c>
      <c r="J2" s="38">
        <v>8</v>
      </c>
      <c r="K2" s="38">
        <v>9</v>
      </c>
      <c r="L2" s="38">
        <v>10</v>
      </c>
      <c r="M2" s="38">
        <v>11</v>
      </c>
      <c r="N2" s="38">
        <v>12</v>
      </c>
      <c r="O2" s="38">
        <v>13</v>
      </c>
      <c r="P2" s="38">
        <v>14</v>
      </c>
      <c r="Q2" s="38">
        <v>15</v>
      </c>
      <c r="R2" s="38">
        <v>16</v>
      </c>
      <c r="S2" s="38">
        <v>17</v>
      </c>
      <c r="T2" s="38">
        <v>18</v>
      </c>
      <c r="U2" s="38">
        <v>19</v>
      </c>
      <c r="V2" s="38">
        <v>20</v>
      </c>
      <c r="W2" s="38">
        <v>21</v>
      </c>
      <c r="X2" s="38">
        <v>22</v>
      </c>
      <c r="Y2" s="38">
        <v>23</v>
      </c>
      <c r="Z2" s="38">
        <v>24</v>
      </c>
      <c r="AA2" s="38">
        <v>25</v>
      </c>
      <c r="AB2" s="38">
        <v>26</v>
      </c>
      <c r="AC2" s="38">
        <v>27</v>
      </c>
      <c r="AD2" s="38">
        <v>28</v>
      </c>
      <c r="AE2" s="38">
        <v>29</v>
      </c>
      <c r="AF2" s="38">
        <v>30</v>
      </c>
      <c r="AG2" s="38">
        <v>31</v>
      </c>
      <c r="AH2" s="38">
        <v>32</v>
      </c>
      <c r="AI2" s="38">
        <v>33</v>
      </c>
      <c r="AJ2" s="38">
        <v>34</v>
      </c>
      <c r="AK2" s="38">
        <v>35</v>
      </c>
      <c r="AL2" s="38">
        <v>36</v>
      </c>
    </row>
    <row r="3" spans="1:38" s="5" customFormat="1" ht="60" x14ac:dyDescent="0.25">
      <c r="A3" s="24" t="s">
        <v>59</v>
      </c>
      <c r="B3" s="24" t="s">
        <v>60</v>
      </c>
      <c r="C3" s="24" t="s">
        <v>207</v>
      </c>
      <c r="D3" s="35" t="s">
        <v>25</v>
      </c>
      <c r="E3" s="35" t="s">
        <v>26</v>
      </c>
      <c r="F3" s="35" t="s">
        <v>27</v>
      </c>
      <c r="G3" s="35" t="s">
        <v>28</v>
      </c>
      <c r="H3" s="24" t="s">
        <v>52</v>
      </c>
      <c r="I3" s="35" t="s">
        <v>51</v>
      </c>
      <c r="J3" s="35" t="s">
        <v>29</v>
      </c>
      <c r="K3" s="24" t="s">
        <v>30</v>
      </c>
      <c r="L3" s="24" t="s">
        <v>31</v>
      </c>
      <c r="M3" s="24" t="s">
        <v>32</v>
      </c>
      <c r="N3" s="24" t="s">
        <v>131</v>
      </c>
      <c r="O3" s="35" t="s">
        <v>133</v>
      </c>
      <c r="P3" s="35" t="s">
        <v>30</v>
      </c>
      <c r="Q3" s="35" t="s">
        <v>31</v>
      </c>
      <c r="R3" s="35" t="s">
        <v>32</v>
      </c>
      <c r="S3" s="35" t="s">
        <v>131</v>
      </c>
      <c r="T3" s="35" t="s">
        <v>44</v>
      </c>
      <c r="U3" s="35" t="s">
        <v>1</v>
      </c>
      <c r="V3" s="35" t="s">
        <v>33</v>
      </c>
      <c r="W3" s="35" t="s">
        <v>0</v>
      </c>
      <c r="X3" s="35" t="s">
        <v>34</v>
      </c>
      <c r="Y3" s="35" t="s">
        <v>36</v>
      </c>
      <c r="Z3" s="35" t="s">
        <v>35</v>
      </c>
      <c r="AA3" s="35" t="s">
        <v>37</v>
      </c>
      <c r="AB3" s="35" t="s">
        <v>38</v>
      </c>
      <c r="AC3" s="35" t="s">
        <v>40</v>
      </c>
      <c r="AD3" s="35" t="s">
        <v>41</v>
      </c>
      <c r="AE3" s="35" t="s">
        <v>42</v>
      </c>
      <c r="AF3" s="35" t="s">
        <v>43</v>
      </c>
      <c r="AG3" s="35" t="s">
        <v>58</v>
      </c>
      <c r="AH3" s="35" t="s">
        <v>53</v>
      </c>
      <c r="AI3" s="35" t="s">
        <v>54</v>
      </c>
      <c r="AJ3" s="35" t="s">
        <v>55</v>
      </c>
      <c r="AK3" s="35" t="s">
        <v>56</v>
      </c>
      <c r="AL3" s="35" t="s">
        <v>57</v>
      </c>
    </row>
    <row r="4" spans="1:38" s="6" customFormat="1" ht="12" x14ac:dyDescent="0.2">
      <c r="A4" s="15" t="s">
        <v>68</v>
      </c>
      <c r="B4" s="2" t="s">
        <v>5</v>
      </c>
      <c r="C4" s="7" t="s">
        <v>208</v>
      </c>
      <c r="D4" s="7">
        <v>1</v>
      </c>
      <c r="E4" s="7" t="s">
        <v>69</v>
      </c>
      <c r="F4" s="7"/>
      <c r="G4" s="21" t="s">
        <v>2</v>
      </c>
      <c r="H4" s="30">
        <v>26</v>
      </c>
      <c r="I4" s="35">
        <v>26</v>
      </c>
      <c r="J4" s="16">
        <v>0</v>
      </c>
      <c r="K4" s="40">
        <v>5509</v>
      </c>
      <c r="L4" s="40">
        <v>0</v>
      </c>
      <c r="M4" s="40">
        <v>2361</v>
      </c>
      <c r="N4" s="40">
        <v>0</v>
      </c>
      <c r="O4" s="43">
        <f t="shared" ref="O4:O35" si="0">SUM(K4:N4)</f>
        <v>7870</v>
      </c>
      <c r="P4" s="7">
        <f t="shared" ref="P4:P35" si="1">ROUND(K4/$H4*$I4,0)</f>
        <v>5509</v>
      </c>
      <c r="Q4" s="7">
        <f t="shared" ref="Q4:Q35" si="2">ROUND(L4/$H4*$I4,0)</f>
        <v>0</v>
      </c>
      <c r="R4" s="7">
        <f t="shared" ref="R4:R35" si="3">ROUND(M4/$H4*$I4,0)</f>
        <v>2361</v>
      </c>
      <c r="S4" s="7">
        <f t="shared" ref="S4:S35" si="4">ROUND(N4/$H4*$I4,0)</f>
        <v>0</v>
      </c>
      <c r="T4" s="7">
        <f t="shared" ref="T4:T35" si="5">ROUND($O4/$H4*$J4,0)</f>
        <v>0</v>
      </c>
      <c r="U4" s="7">
        <v>0</v>
      </c>
      <c r="V4" s="7">
        <v>0</v>
      </c>
      <c r="W4" s="26">
        <f t="shared" ref="W4:W35" si="6">SUM(P4:V4)</f>
        <v>7870</v>
      </c>
      <c r="X4" s="10">
        <f t="shared" ref="X4:X35" si="7">ROUND($AH4*12%,0)</f>
        <v>661</v>
      </c>
      <c r="Y4" s="10">
        <f t="shared" ref="Y4:Y35" si="8">ROUNDUP($AJ4*1.75%,0)</f>
        <v>138</v>
      </c>
      <c r="Z4" s="11">
        <f t="shared" ref="Z4:Z35" si="9">IF(W4&gt;40000,200,IF(W4&gt;25000,150,IF(W4&gt;15000,130,IF(W4&gt;10000,110,IF(W4&gt;8500,0,)))))</f>
        <v>0</v>
      </c>
      <c r="AA4" s="12">
        <v>3000</v>
      </c>
      <c r="AB4" s="12">
        <v>0</v>
      </c>
      <c r="AC4" s="27">
        <f t="shared" ref="AC4:AC35" si="10">SUM(X4:AB4)</f>
        <v>3799</v>
      </c>
      <c r="AD4" s="28">
        <f t="shared" ref="AD4:AD35" si="11">W4-AC4</f>
        <v>4071</v>
      </c>
      <c r="AE4" s="7"/>
      <c r="AF4" s="7"/>
      <c r="AG4" s="13">
        <f>ROUND(($O4/12)/$H4*($I4),0)</f>
        <v>656</v>
      </c>
      <c r="AH4" s="10">
        <f t="shared" ref="AH4:AH35" si="12">ROUND(IF(($P4)&gt;15000,15000,IF(($P4)&lt;=15000,($P4))),0)</f>
        <v>5509</v>
      </c>
      <c r="AI4" s="10">
        <f t="shared" ref="AI4:AI35" si="13">ROUND(AH4*13.36%,0)</f>
        <v>736</v>
      </c>
      <c r="AJ4" s="10">
        <f t="shared" ref="AJ4:AJ35" si="14">ROUND($O4/$H4*($I4+$J4),0)</f>
        <v>7870</v>
      </c>
      <c r="AK4" s="10">
        <f t="shared" ref="AK4:AK35" si="15">ROUNDUP(AJ4*4.75%,0)</f>
        <v>374</v>
      </c>
      <c r="AL4" s="14">
        <f t="shared" ref="AL4:AL35" si="16">AK4+AI4+AG4+W4-AB4</f>
        <v>9636</v>
      </c>
    </row>
    <row r="5" spans="1:38" s="6" customFormat="1" ht="12" x14ac:dyDescent="0.2">
      <c r="A5" s="15" t="s">
        <v>162</v>
      </c>
      <c r="B5" s="2" t="s">
        <v>206</v>
      </c>
      <c r="C5" s="7" t="s">
        <v>209</v>
      </c>
      <c r="D5" s="7">
        <v>2</v>
      </c>
      <c r="E5" s="7" t="s">
        <v>288</v>
      </c>
      <c r="F5" s="7"/>
      <c r="G5" s="21" t="s">
        <v>163</v>
      </c>
      <c r="H5" s="36">
        <v>26</v>
      </c>
      <c r="I5" s="35">
        <v>13</v>
      </c>
      <c r="J5" s="35">
        <v>0</v>
      </c>
      <c r="K5" s="40">
        <v>9132</v>
      </c>
      <c r="L5" s="40">
        <v>0</v>
      </c>
      <c r="M5" s="40">
        <v>2283</v>
      </c>
      <c r="N5" s="40">
        <v>0</v>
      </c>
      <c r="O5" s="43">
        <f t="shared" si="0"/>
        <v>11415</v>
      </c>
      <c r="P5" s="7">
        <f t="shared" si="1"/>
        <v>4566</v>
      </c>
      <c r="Q5" s="7">
        <f t="shared" si="2"/>
        <v>0</v>
      </c>
      <c r="R5" s="7">
        <f t="shared" si="3"/>
        <v>1142</v>
      </c>
      <c r="S5" s="7">
        <f t="shared" si="4"/>
        <v>0</v>
      </c>
      <c r="T5" s="7">
        <f t="shared" si="5"/>
        <v>0</v>
      </c>
      <c r="U5" s="7">
        <v>0</v>
      </c>
      <c r="V5" s="7">
        <v>0</v>
      </c>
      <c r="W5" s="26">
        <f t="shared" si="6"/>
        <v>5708</v>
      </c>
      <c r="X5" s="10">
        <f t="shared" si="7"/>
        <v>548</v>
      </c>
      <c r="Y5" s="10">
        <f t="shared" si="8"/>
        <v>100</v>
      </c>
      <c r="Z5" s="11">
        <f t="shared" si="9"/>
        <v>0</v>
      </c>
      <c r="AA5" s="12">
        <v>0</v>
      </c>
      <c r="AB5" s="12">
        <v>0</v>
      </c>
      <c r="AC5" s="27">
        <f t="shared" si="10"/>
        <v>648</v>
      </c>
      <c r="AD5" s="28">
        <f t="shared" si="11"/>
        <v>5060</v>
      </c>
      <c r="AE5" s="7"/>
      <c r="AF5" s="7"/>
      <c r="AG5" s="13">
        <f>ROUND(($K5/12)/$H5*($I5),0)</f>
        <v>381</v>
      </c>
      <c r="AH5" s="10">
        <f t="shared" si="12"/>
        <v>4566</v>
      </c>
      <c r="AI5" s="10">
        <f t="shared" si="13"/>
        <v>610</v>
      </c>
      <c r="AJ5" s="10">
        <f t="shared" si="14"/>
        <v>5708</v>
      </c>
      <c r="AK5" s="10">
        <f t="shared" si="15"/>
        <v>272</v>
      </c>
      <c r="AL5" s="14">
        <f t="shared" si="16"/>
        <v>6971</v>
      </c>
    </row>
    <row r="6" spans="1:38" s="6" customFormat="1" ht="12" x14ac:dyDescent="0.2">
      <c r="A6" s="15" t="s">
        <v>87</v>
      </c>
      <c r="B6" s="2" t="s">
        <v>12</v>
      </c>
      <c r="C6" s="7" t="s">
        <v>210</v>
      </c>
      <c r="D6" s="7">
        <v>3</v>
      </c>
      <c r="E6" s="7" t="s">
        <v>50</v>
      </c>
      <c r="F6" s="7"/>
      <c r="G6" s="21" t="s">
        <v>2</v>
      </c>
      <c r="H6" s="30">
        <v>26</v>
      </c>
      <c r="I6" s="35">
        <v>30</v>
      </c>
      <c r="J6" s="16">
        <v>0</v>
      </c>
      <c r="K6" s="40">
        <v>5509</v>
      </c>
      <c r="L6" s="40">
        <v>0</v>
      </c>
      <c r="M6" s="40">
        <v>2361</v>
      </c>
      <c r="N6" s="40">
        <v>0</v>
      </c>
      <c r="O6" s="43">
        <f t="shared" si="0"/>
        <v>7870</v>
      </c>
      <c r="P6" s="7">
        <f t="shared" si="1"/>
        <v>6357</v>
      </c>
      <c r="Q6" s="7">
        <f t="shared" si="2"/>
        <v>0</v>
      </c>
      <c r="R6" s="7">
        <f t="shared" si="3"/>
        <v>2724</v>
      </c>
      <c r="S6" s="7">
        <f t="shared" si="4"/>
        <v>0</v>
      </c>
      <c r="T6" s="7">
        <f t="shared" si="5"/>
        <v>0</v>
      </c>
      <c r="U6" s="7">
        <v>0</v>
      </c>
      <c r="V6" s="7">
        <v>0</v>
      </c>
      <c r="W6" s="26">
        <f t="shared" si="6"/>
        <v>9081</v>
      </c>
      <c r="X6" s="10">
        <f t="shared" si="7"/>
        <v>763</v>
      </c>
      <c r="Y6" s="10">
        <f t="shared" si="8"/>
        <v>159</v>
      </c>
      <c r="Z6" s="11">
        <f t="shared" si="9"/>
        <v>0</v>
      </c>
      <c r="AA6" s="12">
        <v>2000</v>
      </c>
      <c r="AB6" s="12">
        <v>0</v>
      </c>
      <c r="AC6" s="27">
        <f t="shared" si="10"/>
        <v>2922</v>
      </c>
      <c r="AD6" s="28">
        <f t="shared" si="11"/>
        <v>6159</v>
      </c>
      <c r="AE6" s="7"/>
      <c r="AF6" s="7"/>
      <c r="AG6" s="13">
        <f>ROUND(($O6/12)/$H6*($I6),0)</f>
        <v>757</v>
      </c>
      <c r="AH6" s="10">
        <f t="shared" si="12"/>
        <v>6357</v>
      </c>
      <c r="AI6" s="10">
        <f t="shared" si="13"/>
        <v>849</v>
      </c>
      <c r="AJ6" s="10">
        <f t="shared" si="14"/>
        <v>9081</v>
      </c>
      <c r="AK6" s="10">
        <f t="shared" si="15"/>
        <v>432</v>
      </c>
      <c r="AL6" s="14">
        <f t="shared" si="16"/>
        <v>11119</v>
      </c>
    </row>
    <row r="7" spans="1:38" s="6" customFormat="1" ht="12" x14ac:dyDescent="0.2">
      <c r="A7" s="15" t="s">
        <v>152</v>
      </c>
      <c r="B7" s="2" t="s">
        <v>139</v>
      </c>
      <c r="C7" s="7" t="s">
        <v>211</v>
      </c>
      <c r="D7" s="7">
        <v>4</v>
      </c>
      <c r="E7" s="7" t="s">
        <v>153</v>
      </c>
      <c r="F7" s="7"/>
      <c r="G7" s="21" t="s">
        <v>2</v>
      </c>
      <c r="H7" s="36">
        <v>26</v>
      </c>
      <c r="I7" s="35">
        <v>26</v>
      </c>
      <c r="J7" s="35">
        <v>0</v>
      </c>
      <c r="K7" s="40">
        <v>7546</v>
      </c>
      <c r="L7" s="40">
        <v>0</v>
      </c>
      <c r="M7" s="40">
        <v>0</v>
      </c>
      <c r="N7" s="40">
        <v>0</v>
      </c>
      <c r="O7" s="43">
        <f t="shared" si="0"/>
        <v>7546</v>
      </c>
      <c r="P7" s="7">
        <f t="shared" si="1"/>
        <v>7546</v>
      </c>
      <c r="Q7" s="7">
        <f t="shared" si="2"/>
        <v>0</v>
      </c>
      <c r="R7" s="7">
        <f t="shared" si="3"/>
        <v>0</v>
      </c>
      <c r="S7" s="7">
        <f t="shared" si="4"/>
        <v>0</v>
      </c>
      <c r="T7" s="7">
        <f t="shared" si="5"/>
        <v>0</v>
      </c>
      <c r="U7" s="7">
        <v>0</v>
      </c>
      <c r="V7" s="7">
        <v>0</v>
      </c>
      <c r="W7" s="26">
        <f t="shared" si="6"/>
        <v>7546</v>
      </c>
      <c r="X7" s="10">
        <f t="shared" si="7"/>
        <v>906</v>
      </c>
      <c r="Y7" s="10">
        <f t="shared" si="8"/>
        <v>133</v>
      </c>
      <c r="Z7" s="11">
        <f t="shared" si="9"/>
        <v>0</v>
      </c>
      <c r="AA7" s="12">
        <v>0</v>
      </c>
      <c r="AB7" s="12">
        <v>0</v>
      </c>
      <c r="AC7" s="27">
        <f t="shared" si="10"/>
        <v>1039</v>
      </c>
      <c r="AD7" s="28">
        <f t="shared" si="11"/>
        <v>6507</v>
      </c>
      <c r="AE7" s="7"/>
      <c r="AF7" s="7"/>
      <c r="AG7" s="13">
        <f>ROUND(($K7/12)/$H7*($I7),0)</f>
        <v>629</v>
      </c>
      <c r="AH7" s="10">
        <f t="shared" si="12"/>
        <v>7546</v>
      </c>
      <c r="AI7" s="10">
        <f t="shared" si="13"/>
        <v>1008</v>
      </c>
      <c r="AJ7" s="10">
        <f t="shared" si="14"/>
        <v>7546</v>
      </c>
      <c r="AK7" s="10">
        <f t="shared" si="15"/>
        <v>359</v>
      </c>
      <c r="AL7" s="14">
        <f t="shared" si="16"/>
        <v>9542</v>
      </c>
    </row>
    <row r="8" spans="1:38" s="6" customFormat="1" ht="12" x14ac:dyDescent="0.2">
      <c r="A8" s="15" t="s">
        <v>146</v>
      </c>
      <c r="B8" s="2" t="s">
        <v>139</v>
      </c>
      <c r="C8" s="7" t="s">
        <v>212</v>
      </c>
      <c r="D8" s="7">
        <v>5</v>
      </c>
      <c r="E8" s="7" t="s">
        <v>287</v>
      </c>
      <c r="F8" s="7"/>
      <c r="G8" s="21" t="s">
        <v>2</v>
      </c>
      <c r="H8" s="36">
        <v>26</v>
      </c>
      <c r="I8" s="35">
        <v>26</v>
      </c>
      <c r="J8" s="35">
        <v>0</v>
      </c>
      <c r="K8" s="40">
        <v>7546</v>
      </c>
      <c r="L8" s="40">
        <v>0</v>
      </c>
      <c r="M8" s="40">
        <v>0</v>
      </c>
      <c r="N8" s="40">
        <v>0</v>
      </c>
      <c r="O8" s="43">
        <f t="shared" si="0"/>
        <v>7546</v>
      </c>
      <c r="P8" s="7">
        <f t="shared" si="1"/>
        <v>7546</v>
      </c>
      <c r="Q8" s="7">
        <f t="shared" si="2"/>
        <v>0</v>
      </c>
      <c r="R8" s="7">
        <f t="shared" si="3"/>
        <v>0</v>
      </c>
      <c r="S8" s="7">
        <f t="shared" si="4"/>
        <v>0</v>
      </c>
      <c r="T8" s="7">
        <f t="shared" si="5"/>
        <v>0</v>
      </c>
      <c r="U8" s="7">
        <v>0</v>
      </c>
      <c r="V8" s="7">
        <v>0</v>
      </c>
      <c r="W8" s="26">
        <f t="shared" si="6"/>
        <v>7546</v>
      </c>
      <c r="X8" s="10">
        <f t="shared" si="7"/>
        <v>906</v>
      </c>
      <c r="Y8" s="10">
        <f t="shared" si="8"/>
        <v>133</v>
      </c>
      <c r="Z8" s="11">
        <f t="shared" si="9"/>
        <v>0</v>
      </c>
      <c r="AA8" s="12">
        <v>0</v>
      </c>
      <c r="AB8" s="12">
        <v>0</v>
      </c>
      <c r="AC8" s="27">
        <f t="shared" si="10"/>
        <v>1039</v>
      </c>
      <c r="AD8" s="28">
        <f t="shared" si="11"/>
        <v>6507</v>
      </c>
      <c r="AE8" s="7"/>
      <c r="AF8" s="7"/>
      <c r="AG8" s="13">
        <f>ROUND(($K8/12)/$H8*($I8),0)</f>
        <v>629</v>
      </c>
      <c r="AH8" s="10">
        <f t="shared" si="12"/>
        <v>7546</v>
      </c>
      <c r="AI8" s="10">
        <f t="shared" si="13"/>
        <v>1008</v>
      </c>
      <c r="AJ8" s="10">
        <f t="shared" si="14"/>
        <v>7546</v>
      </c>
      <c r="AK8" s="10">
        <f t="shared" si="15"/>
        <v>359</v>
      </c>
      <c r="AL8" s="14">
        <f t="shared" si="16"/>
        <v>9542</v>
      </c>
    </row>
    <row r="9" spans="1:38" s="6" customFormat="1" ht="12" x14ac:dyDescent="0.2">
      <c r="A9" s="15" t="s">
        <v>127</v>
      </c>
      <c r="B9" s="20" t="s">
        <v>23</v>
      </c>
      <c r="C9" s="7" t="s">
        <v>213</v>
      </c>
      <c r="D9" s="7">
        <v>6</v>
      </c>
      <c r="E9" s="7" t="s">
        <v>289</v>
      </c>
      <c r="F9" s="7"/>
      <c r="G9" s="21" t="s">
        <v>3</v>
      </c>
      <c r="H9" s="30">
        <v>26</v>
      </c>
      <c r="I9" s="35">
        <v>4</v>
      </c>
      <c r="J9" s="16">
        <v>0</v>
      </c>
      <c r="K9" s="40">
        <v>7546</v>
      </c>
      <c r="L9" s="40">
        <v>0</v>
      </c>
      <c r="M9" s="41">
        <v>2554</v>
      </c>
      <c r="N9" s="40">
        <v>0</v>
      </c>
      <c r="O9" s="43">
        <f t="shared" si="0"/>
        <v>10100</v>
      </c>
      <c r="P9" s="7">
        <f t="shared" si="1"/>
        <v>1161</v>
      </c>
      <c r="Q9" s="7">
        <f t="shared" si="2"/>
        <v>0</v>
      </c>
      <c r="R9" s="7">
        <f t="shared" si="3"/>
        <v>393</v>
      </c>
      <c r="S9" s="7">
        <f t="shared" si="4"/>
        <v>0</v>
      </c>
      <c r="T9" s="7">
        <f t="shared" si="5"/>
        <v>0</v>
      </c>
      <c r="U9" s="7">
        <v>0</v>
      </c>
      <c r="V9" s="7">
        <v>0</v>
      </c>
      <c r="W9" s="26">
        <f t="shared" si="6"/>
        <v>1554</v>
      </c>
      <c r="X9" s="10">
        <f t="shared" si="7"/>
        <v>139</v>
      </c>
      <c r="Y9" s="10">
        <f t="shared" si="8"/>
        <v>28</v>
      </c>
      <c r="Z9" s="11">
        <f t="shared" si="9"/>
        <v>0</v>
      </c>
      <c r="AA9" s="12">
        <v>0</v>
      </c>
      <c r="AB9" s="12">
        <v>0</v>
      </c>
      <c r="AC9" s="27">
        <f t="shared" si="10"/>
        <v>167</v>
      </c>
      <c r="AD9" s="28">
        <f t="shared" si="11"/>
        <v>1387</v>
      </c>
      <c r="AE9" s="7"/>
      <c r="AF9" s="7"/>
      <c r="AG9" s="13">
        <f>ROUND(($K9/12)/$H9*($I9),0)</f>
        <v>97</v>
      </c>
      <c r="AH9" s="10">
        <f t="shared" si="12"/>
        <v>1161</v>
      </c>
      <c r="AI9" s="10">
        <f t="shared" si="13"/>
        <v>155</v>
      </c>
      <c r="AJ9" s="10">
        <f t="shared" si="14"/>
        <v>1554</v>
      </c>
      <c r="AK9" s="10">
        <f t="shared" si="15"/>
        <v>74</v>
      </c>
      <c r="AL9" s="14">
        <f t="shared" si="16"/>
        <v>1880</v>
      </c>
    </row>
    <row r="10" spans="1:38" s="6" customFormat="1" ht="24" x14ac:dyDescent="0.2">
      <c r="A10" s="15" t="s">
        <v>156</v>
      </c>
      <c r="B10" s="2" t="s">
        <v>139</v>
      </c>
      <c r="C10" s="7" t="s">
        <v>214</v>
      </c>
      <c r="D10" s="7">
        <v>7</v>
      </c>
      <c r="E10" s="7" t="s">
        <v>298</v>
      </c>
      <c r="F10" s="7"/>
      <c r="G10" s="21" t="s">
        <v>157</v>
      </c>
      <c r="H10" s="36">
        <v>26</v>
      </c>
      <c r="I10" s="35">
        <v>24</v>
      </c>
      <c r="J10" s="35">
        <v>0</v>
      </c>
      <c r="K10" s="40">
        <v>8301</v>
      </c>
      <c r="L10" s="40">
        <v>0</v>
      </c>
      <c r="M10" s="40">
        <v>0</v>
      </c>
      <c r="N10" s="40">
        <v>0</v>
      </c>
      <c r="O10" s="43">
        <f t="shared" si="0"/>
        <v>8301</v>
      </c>
      <c r="P10" s="7">
        <f t="shared" si="1"/>
        <v>7662</v>
      </c>
      <c r="Q10" s="7">
        <f t="shared" si="2"/>
        <v>0</v>
      </c>
      <c r="R10" s="7">
        <f t="shared" si="3"/>
        <v>0</v>
      </c>
      <c r="S10" s="7">
        <f t="shared" si="4"/>
        <v>0</v>
      </c>
      <c r="T10" s="7">
        <f t="shared" si="5"/>
        <v>0</v>
      </c>
      <c r="U10" s="7">
        <v>0</v>
      </c>
      <c r="V10" s="7">
        <v>0</v>
      </c>
      <c r="W10" s="26">
        <f t="shared" si="6"/>
        <v>7662</v>
      </c>
      <c r="X10" s="10">
        <f t="shared" si="7"/>
        <v>919</v>
      </c>
      <c r="Y10" s="10">
        <f t="shared" si="8"/>
        <v>135</v>
      </c>
      <c r="Z10" s="11">
        <f t="shared" si="9"/>
        <v>0</v>
      </c>
      <c r="AA10" s="12">
        <v>0</v>
      </c>
      <c r="AB10" s="12">
        <v>0</v>
      </c>
      <c r="AC10" s="27">
        <f t="shared" si="10"/>
        <v>1054</v>
      </c>
      <c r="AD10" s="28">
        <f t="shared" si="11"/>
        <v>6608</v>
      </c>
      <c r="AE10" s="7"/>
      <c r="AF10" s="7"/>
      <c r="AG10" s="13">
        <f>ROUND(($K10/12)/$H10*($I10),0)</f>
        <v>639</v>
      </c>
      <c r="AH10" s="10">
        <f t="shared" si="12"/>
        <v>7662</v>
      </c>
      <c r="AI10" s="10">
        <f t="shared" si="13"/>
        <v>1024</v>
      </c>
      <c r="AJ10" s="10">
        <f t="shared" si="14"/>
        <v>7662</v>
      </c>
      <c r="AK10" s="10">
        <f t="shared" si="15"/>
        <v>364</v>
      </c>
      <c r="AL10" s="14">
        <f t="shared" si="16"/>
        <v>9689</v>
      </c>
    </row>
    <row r="11" spans="1:38" s="6" customFormat="1" ht="12" x14ac:dyDescent="0.2">
      <c r="A11" s="15" t="s">
        <v>91</v>
      </c>
      <c r="B11" s="2" t="s">
        <v>14</v>
      </c>
      <c r="C11" s="7" t="s">
        <v>216</v>
      </c>
      <c r="D11" s="7">
        <v>8</v>
      </c>
      <c r="E11" s="7" t="s">
        <v>290</v>
      </c>
      <c r="F11" s="7"/>
      <c r="G11" s="21" t="s">
        <v>2</v>
      </c>
      <c r="H11" s="30">
        <v>26</v>
      </c>
      <c r="I11" s="35">
        <v>26</v>
      </c>
      <c r="J11" s="16">
        <v>0</v>
      </c>
      <c r="K11" s="40">
        <v>5509</v>
      </c>
      <c r="L11" s="40">
        <v>0</v>
      </c>
      <c r="M11" s="40">
        <v>2361</v>
      </c>
      <c r="N11" s="40">
        <v>0</v>
      </c>
      <c r="O11" s="43">
        <f t="shared" si="0"/>
        <v>7870</v>
      </c>
      <c r="P11" s="7">
        <f t="shared" si="1"/>
        <v>5509</v>
      </c>
      <c r="Q11" s="7">
        <f t="shared" si="2"/>
        <v>0</v>
      </c>
      <c r="R11" s="7">
        <f t="shared" si="3"/>
        <v>2361</v>
      </c>
      <c r="S11" s="7">
        <f t="shared" si="4"/>
        <v>0</v>
      </c>
      <c r="T11" s="7">
        <f t="shared" si="5"/>
        <v>0</v>
      </c>
      <c r="U11" s="7">
        <v>0</v>
      </c>
      <c r="V11" s="7">
        <v>0</v>
      </c>
      <c r="W11" s="26">
        <f t="shared" si="6"/>
        <v>7870</v>
      </c>
      <c r="X11" s="10">
        <f t="shared" si="7"/>
        <v>661</v>
      </c>
      <c r="Y11" s="10">
        <f t="shared" si="8"/>
        <v>138</v>
      </c>
      <c r="Z11" s="11">
        <f t="shared" si="9"/>
        <v>0</v>
      </c>
      <c r="AA11" s="12">
        <v>0</v>
      </c>
      <c r="AB11" s="12">
        <v>0</v>
      </c>
      <c r="AC11" s="27">
        <f t="shared" si="10"/>
        <v>799</v>
      </c>
      <c r="AD11" s="28">
        <f t="shared" si="11"/>
        <v>7071</v>
      </c>
      <c r="AE11" s="7"/>
      <c r="AF11" s="7"/>
      <c r="AG11" s="13">
        <f>ROUND(($O11/12)/$H11*($I11),0)</f>
        <v>656</v>
      </c>
      <c r="AH11" s="10">
        <f t="shared" si="12"/>
        <v>5509</v>
      </c>
      <c r="AI11" s="10">
        <f t="shared" si="13"/>
        <v>736</v>
      </c>
      <c r="AJ11" s="10">
        <f t="shared" si="14"/>
        <v>7870</v>
      </c>
      <c r="AK11" s="10">
        <f t="shared" si="15"/>
        <v>374</v>
      </c>
      <c r="AL11" s="14">
        <f t="shared" si="16"/>
        <v>9636</v>
      </c>
    </row>
    <row r="12" spans="1:38" s="6" customFormat="1" ht="12" x14ac:dyDescent="0.2">
      <c r="A12" s="15" t="s">
        <v>63</v>
      </c>
      <c r="B12" s="2" t="s">
        <v>4</v>
      </c>
      <c r="C12" s="7" t="s">
        <v>215</v>
      </c>
      <c r="D12" s="7">
        <v>9</v>
      </c>
      <c r="E12" s="7" t="s">
        <v>48</v>
      </c>
      <c r="F12" s="7"/>
      <c r="G12" s="20" t="s">
        <v>2</v>
      </c>
      <c r="H12" s="36">
        <v>26</v>
      </c>
      <c r="I12" s="35">
        <v>26</v>
      </c>
      <c r="J12" s="16">
        <v>0</v>
      </c>
      <c r="K12" s="40">
        <v>5509</v>
      </c>
      <c r="L12" s="40">
        <v>0</v>
      </c>
      <c r="M12" s="40">
        <v>2361</v>
      </c>
      <c r="N12" s="40">
        <v>0</v>
      </c>
      <c r="O12" s="43">
        <f t="shared" si="0"/>
        <v>7870</v>
      </c>
      <c r="P12" s="7">
        <f t="shared" si="1"/>
        <v>5509</v>
      </c>
      <c r="Q12" s="7">
        <f t="shared" si="2"/>
        <v>0</v>
      </c>
      <c r="R12" s="7">
        <f t="shared" si="3"/>
        <v>2361</v>
      </c>
      <c r="S12" s="7">
        <f t="shared" si="4"/>
        <v>0</v>
      </c>
      <c r="T12" s="7">
        <f t="shared" si="5"/>
        <v>0</v>
      </c>
      <c r="U12" s="7">
        <v>0</v>
      </c>
      <c r="V12" s="7">
        <v>0</v>
      </c>
      <c r="W12" s="26">
        <f t="shared" si="6"/>
        <v>7870</v>
      </c>
      <c r="X12" s="10">
        <f t="shared" si="7"/>
        <v>661</v>
      </c>
      <c r="Y12" s="10">
        <f t="shared" si="8"/>
        <v>138</v>
      </c>
      <c r="Z12" s="11">
        <f t="shared" si="9"/>
        <v>0</v>
      </c>
      <c r="AA12" s="12">
        <v>0</v>
      </c>
      <c r="AB12" s="12">
        <v>0</v>
      </c>
      <c r="AC12" s="27">
        <f t="shared" si="10"/>
        <v>799</v>
      </c>
      <c r="AD12" s="28">
        <f t="shared" si="11"/>
        <v>7071</v>
      </c>
      <c r="AE12" s="7"/>
      <c r="AF12" s="7"/>
      <c r="AG12" s="13">
        <f>ROUND(($O12/12)/$H12*($I12),0)</f>
        <v>656</v>
      </c>
      <c r="AH12" s="10">
        <f t="shared" si="12"/>
        <v>5509</v>
      </c>
      <c r="AI12" s="10">
        <f t="shared" si="13"/>
        <v>736</v>
      </c>
      <c r="AJ12" s="10">
        <f t="shared" si="14"/>
        <v>7870</v>
      </c>
      <c r="AK12" s="10">
        <f t="shared" si="15"/>
        <v>374</v>
      </c>
      <c r="AL12" s="14">
        <f t="shared" si="16"/>
        <v>9636</v>
      </c>
    </row>
    <row r="13" spans="1:38" s="6" customFormat="1" ht="12" x14ac:dyDescent="0.2">
      <c r="A13" s="15" t="s">
        <v>85</v>
      </c>
      <c r="B13" s="2" t="s">
        <v>11</v>
      </c>
      <c r="C13" s="7" t="s">
        <v>217</v>
      </c>
      <c r="D13" s="7">
        <v>10</v>
      </c>
      <c r="E13" s="7" t="s">
        <v>86</v>
      </c>
      <c r="F13" s="7"/>
      <c r="G13" s="21" t="s">
        <v>2</v>
      </c>
      <c r="H13" s="30">
        <v>26</v>
      </c>
      <c r="I13" s="35">
        <v>20</v>
      </c>
      <c r="J13" s="16">
        <v>0</v>
      </c>
      <c r="K13" s="40">
        <v>5509</v>
      </c>
      <c r="L13" s="40">
        <v>0</v>
      </c>
      <c r="M13" s="40">
        <v>2361</v>
      </c>
      <c r="N13" s="40">
        <v>0</v>
      </c>
      <c r="O13" s="43">
        <f t="shared" si="0"/>
        <v>7870</v>
      </c>
      <c r="P13" s="7">
        <f t="shared" si="1"/>
        <v>4238</v>
      </c>
      <c r="Q13" s="7">
        <f t="shared" si="2"/>
        <v>0</v>
      </c>
      <c r="R13" s="7">
        <f t="shared" si="3"/>
        <v>1816</v>
      </c>
      <c r="S13" s="7">
        <f t="shared" si="4"/>
        <v>0</v>
      </c>
      <c r="T13" s="7">
        <f t="shared" si="5"/>
        <v>0</v>
      </c>
      <c r="U13" s="7">
        <v>0</v>
      </c>
      <c r="V13" s="7">
        <v>0</v>
      </c>
      <c r="W13" s="26">
        <f t="shared" si="6"/>
        <v>6054</v>
      </c>
      <c r="X13" s="10">
        <f t="shared" si="7"/>
        <v>509</v>
      </c>
      <c r="Y13" s="10">
        <f t="shared" si="8"/>
        <v>106</v>
      </c>
      <c r="Z13" s="11">
        <f t="shared" si="9"/>
        <v>0</v>
      </c>
      <c r="AA13" s="12">
        <v>0</v>
      </c>
      <c r="AB13" s="12">
        <v>0</v>
      </c>
      <c r="AC13" s="27">
        <f t="shared" si="10"/>
        <v>615</v>
      </c>
      <c r="AD13" s="28">
        <f t="shared" si="11"/>
        <v>5439</v>
      </c>
      <c r="AE13" s="7"/>
      <c r="AF13" s="7"/>
      <c r="AG13" s="13">
        <f>ROUND(($O13/12)/$H13*($I13),0)</f>
        <v>504</v>
      </c>
      <c r="AH13" s="10">
        <f t="shared" si="12"/>
        <v>4238</v>
      </c>
      <c r="AI13" s="10">
        <f t="shared" si="13"/>
        <v>566</v>
      </c>
      <c r="AJ13" s="10">
        <f t="shared" si="14"/>
        <v>6054</v>
      </c>
      <c r="AK13" s="10">
        <f t="shared" si="15"/>
        <v>288</v>
      </c>
      <c r="AL13" s="14">
        <f t="shared" si="16"/>
        <v>7412</v>
      </c>
    </row>
    <row r="14" spans="1:38" s="6" customFormat="1" ht="12" x14ac:dyDescent="0.2">
      <c r="A14" s="15" t="s">
        <v>138</v>
      </c>
      <c r="B14" s="2" t="s">
        <v>139</v>
      </c>
      <c r="C14" s="7" t="s">
        <v>218</v>
      </c>
      <c r="D14" s="7">
        <v>11</v>
      </c>
      <c r="E14" s="7" t="s">
        <v>140</v>
      </c>
      <c r="F14" s="7"/>
      <c r="G14" s="20" t="s">
        <v>2</v>
      </c>
      <c r="H14" s="36">
        <v>26</v>
      </c>
      <c r="I14" s="35">
        <v>20</v>
      </c>
      <c r="J14" s="35">
        <v>0</v>
      </c>
      <c r="K14" s="40">
        <v>7546</v>
      </c>
      <c r="L14" s="40">
        <v>0</v>
      </c>
      <c r="M14" s="40">
        <v>0</v>
      </c>
      <c r="N14" s="40">
        <v>0</v>
      </c>
      <c r="O14" s="43">
        <f t="shared" si="0"/>
        <v>7546</v>
      </c>
      <c r="P14" s="7">
        <f t="shared" si="1"/>
        <v>5805</v>
      </c>
      <c r="Q14" s="7">
        <f t="shared" si="2"/>
        <v>0</v>
      </c>
      <c r="R14" s="7">
        <f t="shared" si="3"/>
        <v>0</v>
      </c>
      <c r="S14" s="7">
        <f t="shared" si="4"/>
        <v>0</v>
      </c>
      <c r="T14" s="7">
        <f t="shared" si="5"/>
        <v>0</v>
      </c>
      <c r="U14" s="7">
        <v>0</v>
      </c>
      <c r="V14" s="7">
        <v>0</v>
      </c>
      <c r="W14" s="26">
        <f t="shared" si="6"/>
        <v>5805</v>
      </c>
      <c r="X14" s="10">
        <f t="shared" si="7"/>
        <v>697</v>
      </c>
      <c r="Y14" s="10">
        <f t="shared" si="8"/>
        <v>102</v>
      </c>
      <c r="Z14" s="11">
        <f t="shared" si="9"/>
        <v>0</v>
      </c>
      <c r="AA14" s="12">
        <v>500</v>
      </c>
      <c r="AB14" s="12">
        <v>0</v>
      </c>
      <c r="AC14" s="27">
        <f t="shared" si="10"/>
        <v>1299</v>
      </c>
      <c r="AD14" s="28">
        <f t="shared" si="11"/>
        <v>4506</v>
      </c>
      <c r="AE14" s="7"/>
      <c r="AF14" s="7"/>
      <c r="AG14" s="13">
        <f>ROUND(($K14/12)/$H14*($I14),0)</f>
        <v>484</v>
      </c>
      <c r="AH14" s="10">
        <f t="shared" si="12"/>
        <v>5805</v>
      </c>
      <c r="AI14" s="10">
        <f t="shared" si="13"/>
        <v>776</v>
      </c>
      <c r="AJ14" s="10">
        <f t="shared" si="14"/>
        <v>5805</v>
      </c>
      <c r="AK14" s="10">
        <f t="shared" si="15"/>
        <v>276</v>
      </c>
      <c r="AL14" s="14">
        <f t="shared" si="16"/>
        <v>7341</v>
      </c>
    </row>
    <row r="15" spans="1:38" s="4" customFormat="1" ht="12" x14ac:dyDescent="0.15">
      <c r="A15" s="15" t="s">
        <v>82</v>
      </c>
      <c r="B15" s="2" t="s">
        <v>9</v>
      </c>
      <c r="C15" s="7" t="s">
        <v>219</v>
      </c>
      <c r="D15" s="7">
        <v>12</v>
      </c>
      <c r="E15" s="7" t="s">
        <v>83</v>
      </c>
      <c r="F15" s="7"/>
      <c r="G15" s="21" t="s">
        <v>2</v>
      </c>
      <c r="H15" s="30">
        <v>26</v>
      </c>
      <c r="I15" s="35">
        <v>31</v>
      </c>
      <c r="J15" s="16">
        <v>0</v>
      </c>
      <c r="K15" s="40">
        <v>5509</v>
      </c>
      <c r="L15" s="40">
        <v>0</v>
      </c>
      <c r="M15" s="40">
        <v>2361</v>
      </c>
      <c r="N15" s="40">
        <v>0</v>
      </c>
      <c r="O15" s="43">
        <f t="shared" si="0"/>
        <v>7870</v>
      </c>
      <c r="P15" s="7">
        <f t="shared" si="1"/>
        <v>6568</v>
      </c>
      <c r="Q15" s="7">
        <f t="shared" si="2"/>
        <v>0</v>
      </c>
      <c r="R15" s="7">
        <f t="shared" si="3"/>
        <v>2815</v>
      </c>
      <c r="S15" s="7">
        <f t="shared" si="4"/>
        <v>0</v>
      </c>
      <c r="T15" s="7">
        <f t="shared" si="5"/>
        <v>0</v>
      </c>
      <c r="U15" s="7">
        <v>0</v>
      </c>
      <c r="V15" s="7">
        <v>0</v>
      </c>
      <c r="W15" s="26">
        <f t="shared" si="6"/>
        <v>9383</v>
      </c>
      <c r="X15" s="10">
        <f t="shared" si="7"/>
        <v>788</v>
      </c>
      <c r="Y15" s="10">
        <f t="shared" si="8"/>
        <v>165</v>
      </c>
      <c r="Z15" s="11">
        <f t="shared" si="9"/>
        <v>0</v>
      </c>
      <c r="AA15" s="12">
        <v>0</v>
      </c>
      <c r="AB15" s="12">
        <v>0</v>
      </c>
      <c r="AC15" s="27">
        <f t="shared" si="10"/>
        <v>953</v>
      </c>
      <c r="AD15" s="28">
        <f t="shared" si="11"/>
        <v>8430</v>
      </c>
      <c r="AE15" s="7"/>
      <c r="AF15" s="7"/>
      <c r="AG15" s="13">
        <f>ROUND(($O15/12)/$H15*($I15),0)</f>
        <v>782</v>
      </c>
      <c r="AH15" s="10">
        <f t="shared" si="12"/>
        <v>6568</v>
      </c>
      <c r="AI15" s="10">
        <f t="shared" si="13"/>
        <v>877</v>
      </c>
      <c r="AJ15" s="10">
        <f t="shared" si="14"/>
        <v>9383</v>
      </c>
      <c r="AK15" s="10">
        <f t="shared" si="15"/>
        <v>446</v>
      </c>
      <c r="AL15" s="14">
        <f t="shared" si="16"/>
        <v>11488</v>
      </c>
    </row>
    <row r="16" spans="1:38" s="4" customFormat="1" ht="12" x14ac:dyDescent="0.15">
      <c r="A16" s="15" t="s">
        <v>66</v>
      </c>
      <c r="B16" s="2" t="s">
        <v>5</v>
      </c>
      <c r="C16" s="7" t="s">
        <v>220</v>
      </c>
      <c r="D16" s="7">
        <v>13</v>
      </c>
      <c r="E16" s="7" t="s">
        <v>67</v>
      </c>
      <c r="F16" s="7"/>
      <c r="G16" s="21" t="s">
        <v>2</v>
      </c>
      <c r="H16" s="30">
        <v>26</v>
      </c>
      <c r="I16" s="35">
        <v>26</v>
      </c>
      <c r="J16" s="16">
        <v>0</v>
      </c>
      <c r="K16" s="40">
        <v>5509</v>
      </c>
      <c r="L16" s="40">
        <v>0</v>
      </c>
      <c r="M16" s="40">
        <v>2361</v>
      </c>
      <c r="N16" s="40">
        <v>0</v>
      </c>
      <c r="O16" s="43">
        <f t="shared" si="0"/>
        <v>7870</v>
      </c>
      <c r="P16" s="7">
        <f t="shared" si="1"/>
        <v>5509</v>
      </c>
      <c r="Q16" s="7">
        <f t="shared" si="2"/>
        <v>0</v>
      </c>
      <c r="R16" s="7">
        <f t="shared" si="3"/>
        <v>2361</v>
      </c>
      <c r="S16" s="7">
        <f t="shared" si="4"/>
        <v>0</v>
      </c>
      <c r="T16" s="7">
        <f t="shared" si="5"/>
        <v>0</v>
      </c>
      <c r="U16" s="7">
        <v>0</v>
      </c>
      <c r="V16" s="7">
        <v>0</v>
      </c>
      <c r="W16" s="26">
        <f t="shared" si="6"/>
        <v>7870</v>
      </c>
      <c r="X16" s="10">
        <f t="shared" si="7"/>
        <v>661</v>
      </c>
      <c r="Y16" s="10">
        <f t="shared" si="8"/>
        <v>138</v>
      </c>
      <c r="Z16" s="11">
        <f t="shared" si="9"/>
        <v>0</v>
      </c>
      <c r="AA16" s="12">
        <v>1000</v>
      </c>
      <c r="AB16" s="12">
        <v>0</v>
      </c>
      <c r="AC16" s="27">
        <f t="shared" si="10"/>
        <v>1799</v>
      </c>
      <c r="AD16" s="28">
        <f t="shared" si="11"/>
        <v>6071</v>
      </c>
      <c r="AE16" s="7"/>
      <c r="AF16" s="7"/>
      <c r="AG16" s="13">
        <f>ROUND(($O16/12)/$H16*($I16),0)</f>
        <v>656</v>
      </c>
      <c r="AH16" s="10">
        <f t="shared" si="12"/>
        <v>5509</v>
      </c>
      <c r="AI16" s="10">
        <f t="shared" si="13"/>
        <v>736</v>
      </c>
      <c r="AJ16" s="10">
        <f t="shared" si="14"/>
        <v>7870</v>
      </c>
      <c r="AK16" s="10">
        <f t="shared" si="15"/>
        <v>374</v>
      </c>
      <c r="AL16" s="14">
        <f t="shared" si="16"/>
        <v>9636</v>
      </c>
    </row>
    <row r="17" spans="1:38" s="4" customFormat="1" ht="12" x14ac:dyDescent="0.15">
      <c r="A17" s="15" t="s">
        <v>145</v>
      </c>
      <c r="B17" s="2" t="s">
        <v>139</v>
      </c>
      <c r="C17" s="7" t="s">
        <v>221</v>
      </c>
      <c r="D17" s="7">
        <v>14</v>
      </c>
      <c r="E17" s="7" t="s">
        <v>291</v>
      </c>
      <c r="F17" s="7"/>
      <c r="G17" s="20" t="s">
        <v>2</v>
      </c>
      <c r="H17" s="36">
        <v>26</v>
      </c>
      <c r="I17" s="35">
        <v>26</v>
      </c>
      <c r="J17" s="35">
        <v>0</v>
      </c>
      <c r="K17" s="40">
        <v>7546</v>
      </c>
      <c r="L17" s="40">
        <v>0</v>
      </c>
      <c r="M17" s="40">
        <v>0</v>
      </c>
      <c r="N17" s="40">
        <v>0</v>
      </c>
      <c r="O17" s="43">
        <f t="shared" si="0"/>
        <v>7546</v>
      </c>
      <c r="P17" s="7">
        <f t="shared" si="1"/>
        <v>7546</v>
      </c>
      <c r="Q17" s="7">
        <f t="shared" si="2"/>
        <v>0</v>
      </c>
      <c r="R17" s="7">
        <f t="shared" si="3"/>
        <v>0</v>
      </c>
      <c r="S17" s="7">
        <f t="shared" si="4"/>
        <v>0</v>
      </c>
      <c r="T17" s="7">
        <f t="shared" si="5"/>
        <v>0</v>
      </c>
      <c r="U17" s="7">
        <v>0</v>
      </c>
      <c r="V17" s="7">
        <v>0</v>
      </c>
      <c r="W17" s="26">
        <f t="shared" si="6"/>
        <v>7546</v>
      </c>
      <c r="X17" s="10">
        <f t="shared" si="7"/>
        <v>906</v>
      </c>
      <c r="Y17" s="10">
        <f t="shared" si="8"/>
        <v>133</v>
      </c>
      <c r="Z17" s="11">
        <f t="shared" si="9"/>
        <v>0</v>
      </c>
      <c r="AA17" s="12">
        <v>0</v>
      </c>
      <c r="AB17" s="12">
        <v>0</v>
      </c>
      <c r="AC17" s="27">
        <f t="shared" si="10"/>
        <v>1039</v>
      </c>
      <c r="AD17" s="28">
        <f t="shared" si="11"/>
        <v>6507</v>
      </c>
      <c r="AE17" s="7"/>
      <c r="AF17" s="7"/>
      <c r="AG17" s="13">
        <f>ROUND(($K17/12)/$H17*($I17),0)</f>
        <v>629</v>
      </c>
      <c r="AH17" s="10">
        <f t="shared" si="12"/>
        <v>7546</v>
      </c>
      <c r="AI17" s="10">
        <f t="shared" si="13"/>
        <v>1008</v>
      </c>
      <c r="AJ17" s="10">
        <f t="shared" si="14"/>
        <v>7546</v>
      </c>
      <c r="AK17" s="10">
        <f t="shared" si="15"/>
        <v>359</v>
      </c>
      <c r="AL17" s="14">
        <f t="shared" si="16"/>
        <v>9542</v>
      </c>
    </row>
    <row r="18" spans="1:38" s="4" customFormat="1" ht="12" x14ac:dyDescent="0.15">
      <c r="A18" s="15" t="s">
        <v>115</v>
      </c>
      <c r="B18" s="20" t="s">
        <v>19</v>
      </c>
      <c r="C18" s="7" t="s">
        <v>222</v>
      </c>
      <c r="D18" s="7">
        <v>15</v>
      </c>
      <c r="E18" s="7" t="s">
        <v>116</v>
      </c>
      <c r="F18" s="7"/>
      <c r="G18" s="21" t="s">
        <v>3</v>
      </c>
      <c r="H18" s="30">
        <v>26</v>
      </c>
      <c r="I18" s="35">
        <v>26</v>
      </c>
      <c r="J18" s="16">
        <v>0</v>
      </c>
      <c r="K18" s="40">
        <v>4420</v>
      </c>
      <c r="L18" s="40">
        <v>0</v>
      </c>
      <c r="M18" s="41">
        <v>1680</v>
      </c>
      <c r="N18" s="40">
        <v>0</v>
      </c>
      <c r="O18" s="43">
        <f t="shared" si="0"/>
        <v>6100</v>
      </c>
      <c r="P18" s="7">
        <f t="shared" si="1"/>
        <v>4420</v>
      </c>
      <c r="Q18" s="7">
        <f t="shared" si="2"/>
        <v>0</v>
      </c>
      <c r="R18" s="7">
        <f t="shared" si="3"/>
        <v>1680</v>
      </c>
      <c r="S18" s="7">
        <f t="shared" si="4"/>
        <v>0</v>
      </c>
      <c r="T18" s="7">
        <f t="shared" si="5"/>
        <v>0</v>
      </c>
      <c r="U18" s="7">
        <v>0</v>
      </c>
      <c r="V18" s="7">
        <v>0</v>
      </c>
      <c r="W18" s="26">
        <f t="shared" si="6"/>
        <v>6100</v>
      </c>
      <c r="X18" s="10">
        <f t="shared" si="7"/>
        <v>530</v>
      </c>
      <c r="Y18" s="10">
        <f t="shared" si="8"/>
        <v>107</v>
      </c>
      <c r="Z18" s="11">
        <f t="shared" si="9"/>
        <v>0</v>
      </c>
      <c r="AA18" s="12">
        <v>500</v>
      </c>
      <c r="AB18" s="12">
        <v>0</v>
      </c>
      <c r="AC18" s="27">
        <f t="shared" si="10"/>
        <v>1137</v>
      </c>
      <c r="AD18" s="28">
        <f t="shared" si="11"/>
        <v>4963</v>
      </c>
      <c r="AE18" s="7"/>
      <c r="AF18" s="7"/>
      <c r="AG18" s="13">
        <f>ROUND(($O18/12)/$H18*($I18),0)</f>
        <v>508</v>
      </c>
      <c r="AH18" s="10">
        <f t="shared" si="12"/>
        <v>4420</v>
      </c>
      <c r="AI18" s="10">
        <f t="shared" si="13"/>
        <v>591</v>
      </c>
      <c r="AJ18" s="10">
        <f t="shared" si="14"/>
        <v>6100</v>
      </c>
      <c r="AK18" s="10">
        <f t="shared" si="15"/>
        <v>290</v>
      </c>
      <c r="AL18" s="14">
        <f t="shared" si="16"/>
        <v>7489</v>
      </c>
    </row>
    <row r="19" spans="1:38" s="4" customFormat="1" ht="12" x14ac:dyDescent="0.15">
      <c r="A19" s="15" t="s">
        <v>88</v>
      </c>
      <c r="B19" s="2" t="s">
        <v>12</v>
      </c>
      <c r="C19" s="7" t="s">
        <v>223</v>
      </c>
      <c r="D19" s="7">
        <v>16</v>
      </c>
      <c r="E19" s="7" t="s">
        <v>89</v>
      </c>
      <c r="F19" s="7"/>
      <c r="G19" s="21" t="s">
        <v>2</v>
      </c>
      <c r="H19" s="30">
        <v>26</v>
      </c>
      <c r="I19" s="35">
        <v>30</v>
      </c>
      <c r="J19" s="16">
        <v>0</v>
      </c>
      <c r="K19" s="40">
        <v>5509</v>
      </c>
      <c r="L19" s="40">
        <v>0</v>
      </c>
      <c r="M19" s="40">
        <v>2361</v>
      </c>
      <c r="N19" s="40">
        <v>0</v>
      </c>
      <c r="O19" s="43">
        <f t="shared" si="0"/>
        <v>7870</v>
      </c>
      <c r="P19" s="7">
        <f t="shared" si="1"/>
        <v>6357</v>
      </c>
      <c r="Q19" s="7">
        <f t="shared" si="2"/>
        <v>0</v>
      </c>
      <c r="R19" s="7">
        <f t="shared" si="3"/>
        <v>2724</v>
      </c>
      <c r="S19" s="7">
        <f t="shared" si="4"/>
        <v>0</v>
      </c>
      <c r="T19" s="7">
        <f t="shared" si="5"/>
        <v>0</v>
      </c>
      <c r="U19" s="7">
        <v>0</v>
      </c>
      <c r="V19" s="7">
        <v>0</v>
      </c>
      <c r="W19" s="26">
        <f t="shared" si="6"/>
        <v>9081</v>
      </c>
      <c r="X19" s="10">
        <f t="shared" si="7"/>
        <v>763</v>
      </c>
      <c r="Y19" s="10">
        <f t="shared" si="8"/>
        <v>159</v>
      </c>
      <c r="Z19" s="11">
        <f t="shared" si="9"/>
        <v>0</v>
      </c>
      <c r="AA19" s="12">
        <v>0</v>
      </c>
      <c r="AB19" s="12">
        <v>0</v>
      </c>
      <c r="AC19" s="27">
        <f t="shared" si="10"/>
        <v>922</v>
      </c>
      <c r="AD19" s="28">
        <f t="shared" si="11"/>
        <v>8159</v>
      </c>
      <c r="AE19" s="7"/>
      <c r="AF19" s="7"/>
      <c r="AG19" s="13">
        <f>ROUND(($O19/12)/$H19*($I19),0)</f>
        <v>757</v>
      </c>
      <c r="AH19" s="10">
        <f t="shared" si="12"/>
        <v>6357</v>
      </c>
      <c r="AI19" s="10">
        <f t="shared" si="13"/>
        <v>849</v>
      </c>
      <c r="AJ19" s="10">
        <f t="shared" si="14"/>
        <v>9081</v>
      </c>
      <c r="AK19" s="10">
        <f t="shared" si="15"/>
        <v>432</v>
      </c>
      <c r="AL19" s="14">
        <f t="shared" si="16"/>
        <v>11119</v>
      </c>
    </row>
    <row r="20" spans="1:38" s="4" customFormat="1" ht="12" x14ac:dyDescent="0.15">
      <c r="A20" s="15" t="s">
        <v>72</v>
      </c>
      <c r="B20" s="2" t="s">
        <v>6</v>
      </c>
      <c r="C20" s="7" t="s">
        <v>224</v>
      </c>
      <c r="D20" s="7">
        <v>17</v>
      </c>
      <c r="E20" s="7" t="s">
        <v>73</v>
      </c>
      <c r="F20" s="7"/>
      <c r="G20" s="21" t="s">
        <v>2</v>
      </c>
      <c r="H20" s="30">
        <v>26</v>
      </c>
      <c r="I20" s="35">
        <v>27</v>
      </c>
      <c r="J20" s="16">
        <v>0</v>
      </c>
      <c r="K20" s="40">
        <v>5509</v>
      </c>
      <c r="L20" s="40">
        <v>0</v>
      </c>
      <c r="M20" s="40">
        <v>2361</v>
      </c>
      <c r="N20" s="40">
        <v>0</v>
      </c>
      <c r="O20" s="43">
        <f t="shared" si="0"/>
        <v>7870</v>
      </c>
      <c r="P20" s="7">
        <f t="shared" si="1"/>
        <v>5721</v>
      </c>
      <c r="Q20" s="7">
        <f t="shared" si="2"/>
        <v>0</v>
      </c>
      <c r="R20" s="7">
        <f t="shared" si="3"/>
        <v>2452</v>
      </c>
      <c r="S20" s="7">
        <f t="shared" si="4"/>
        <v>0</v>
      </c>
      <c r="T20" s="7">
        <f t="shared" si="5"/>
        <v>0</v>
      </c>
      <c r="U20" s="7">
        <v>0</v>
      </c>
      <c r="V20" s="7">
        <v>0</v>
      </c>
      <c r="W20" s="26">
        <f t="shared" si="6"/>
        <v>8173</v>
      </c>
      <c r="X20" s="10">
        <f t="shared" si="7"/>
        <v>687</v>
      </c>
      <c r="Y20" s="10">
        <f t="shared" si="8"/>
        <v>144</v>
      </c>
      <c r="Z20" s="11">
        <f t="shared" si="9"/>
        <v>0</v>
      </c>
      <c r="AA20" s="12">
        <v>0</v>
      </c>
      <c r="AB20" s="12">
        <v>0</v>
      </c>
      <c r="AC20" s="27">
        <f t="shared" si="10"/>
        <v>831</v>
      </c>
      <c r="AD20" s="28">
        <f t="shared" si="11"/>
        <v>7342</v>
      </c>
      <c r="AE20" s="7"/>
      <c r="AF20" s="7"/>
      <c r="AG20" s="13">
        <f>ROUND(($O20/12)/$H20*($I20),0)</f>
        <v>681</v>
      </c>
      <c r="AH20" s="10">
        <f t="shared" si="12"/>
        <v>5721</v>
      </c>
      <c r="AI20" s="10">
        <f t="shared" si="13"/>
        <v>764</v>
      </c>
      <c r="AJ20" s="10">
        <f t="shared" si="14"/>
        <v>8173</v>
      </c>
      <c r="AK20" s="10">
        <f t="shared" si="15"/>
        <v>389</v>
      </c>
      <c r="AL20" s="14">
        <f t="shared" si="16"/>
        <v>10007</v>
      </c>
    </row>
    <row r="21" spans="1:38" s="4" customFormat="1" ht="12" x14ac:dyDescent="0.15">
      <c r="A21" s="15" t="s">
        <v>62</v>
      </c>
      <c r="B21" s="2" t="s">
        <v>4</v>
      </c>
      <c r="C21" s="7" t="s">
        <v>225</v>
      </c>
      <c r="D21" s="7">
        <v>18</v>
      </c>
      <c r="E21" s="7" t="s">
        <v>47</v>
      </c>
      <c r="F21" s="7"/>
      <c r="G21" s="20" t="s">
        <v>2</v>
      </c>
      <c r="H21" s="36">
        <v>26</v>
      </c>
      <c r="I21" s="35">
        <v>26</v>
      </c>
      <c r="J21" s="16">
        <v>0</v>
      </c>
      <c r="K21" s="40">
        <v>5509</v>
      </c>
      <c r="L21" s="40">
        <v>0</v>
      </c>
      <c r="M21" s="40">
        <v>2361</v>
      </c>
      <c r="N21" s="40">
        <v>0</v>
      </c>
      <c r="O21" s="43">
        <f t="shared" si="0"/>
        <v>7870</v>
      </c>
      <c r="P21" s="7">
        <f t="shared" si="1"/>
        <v>5509</v>
      </c>
      <c r="Q21" s="7">
        <f t="shared" si="2"/>
        <v>0</v>
      </c>
      <c r="R21" s="7">
        <f t="shared" si="3"/>
        <v>2361</v>
      </c>
      <c r="S21" s="7">
        <f t="shared" si="4"/>
        <v>0</v>
      </c>
      <c r="T21" s="7">
        <f t="shared" si="5"/>
        <v>0</v>
      </c>
      <c r="U21" s="7">
        <v>0</v>
      </c>
      <c r="V21" s="7">
        <v>0</v>
      </c>
      <c r="W21" s="26">
        <f t="shared" si="6"/>
        <v>7870</v>
      </c>
      <c r="X21" s="10">
        <f t="shared" si="7"/>
        <v>661</v>
      </c>
      <c r="Y21" s="10">
        <f t="shared" si="8"/>
        <v>138</v>
      </c>
      <c r="Z21" s="11">
        <f t="shared" si="9"/>
        <v>0</v>
      </c>
      <c r="AA21" s="12">
        <v>0</v>
      </c>
      <c r="AB21" s="12">
        <v>0</v>
      </c>
      <c r="AC21" s="27">
        <f t="shared" si="10"/>
        <v>799</v>
      </c>
      <c r="AD21" s="28">
        <f t="shared" si="11"/>
        <v>7071</v>
      </c>
      <c r="AE21" s="7"/>
      <c r="AF21" s="7"/>
      <c r="AG21" s="13">
        <f>ROUND(($O21/12)/$H21*($I21),0)</f>
        <v>656</v>
      </c>
      <c r="AH21" s="10">
        <f t="shared" si="12"/>
        <v>5509</v>
      </c>
      <c r="AI21" s="10">
        <f t="shared" si="13"/>
        <v>736</v>
      </c>
      <c r="AJ21" s="10">
        <f t="shared" si="14"/>
        <v>7870</v>
      </c>
      <c r="AK21" s="10">
        <f t="shared" si="15"/>
        <v>374</v>
      </c>
      <c r="AL21" s="14">
        <f t="shared" si="16"/>
        <v>9636</v>
      </c>
    </row>
    <row r="22" spans="1:38" s="4" customFormat="1" ht="12" x14ac:dyDescent="0.15">
      <c r="A22" s="15" t="s">
        <v>80</v>
      </c>
      <c r="B22" s="2" t="s">
        <v>8</v>
      </c>
      <c r="C22" s="7" t="s">
        <v>226</v>
      </c>
      <c r="D22" s="7">
        <v>19</v>
      </c>
      <c r="E22" s="7" t="s">
        <v>81</v>
      </c>
      <c r="F22" s="7"/>
      <c r="G22" s="21" t="s">
        <v>2</v>
      </c>
      <c r="H22" s="30">
        <v>26</v>
      </c>
      <c r="I22" s="35">
        <v>22</v>
      </c>
      <c r="J22" s="16">
        <v>0</v>
      </c>
      <c r="K22" s="40">
        <v>5509</v>
      </c>
      <c r="L22" s="40">
        <v>0</v>
      </c>
      <c r="M22" s="40">
        <v>2361</v>
      </c>
      <c r="N22" s="40">
        <v>0</v>
      </c>
      <c r="O22" s="43">
        <f t="shared" si="0"/>
        <v>7870</v>
      </c>
      <c r="P22" s="7">
        <f t="shared" si="1"/>
        <v>4661</v>
      </c>
      <c r="Q22" s="7">
        <f t="shared" si="2"/>
        <v>0</v>
      </c>
      <c r="R22" s="7">
        <f t="shared" si="3"/>
        <v>1998</v>
      </c>
      <c r="S22" s="7">
        <f t="shared" si="4"/>
        <v>0</v>
      </c>
      <c r="T22" s="7">
        <f t="shared" si="5"/>
        <v>0</v>
      </c>
      <c r="U22" s="7">
        <v>0</v>
      </c>
      <c r="V22" s="7">
        <v>0</v>
      </c>
      <c r="W22" s="26">
        <f t="shared" si="6"/>
        <v>6659</v>
      </c>
      <c r="X22" s="10">
        <f t="shared" si="7"/>
        <v>559</v>
      </c>
      <c r="Y22" s="10">
        <f t="shared" si="8"/>
        <v>117</v>
      </c>
      <c r="Z22" s="11">
        <f t="shared" si="9"/>
        <v>0</v>
      </c>
      <c r="AA22" s="12">
        <v>0</v>
      </c>
      <c r="AB22" s="12">
        <v>0</v>
      </c>
      <c r="AC22" s="27">
        <f t="shared" si="10"/>
        <v>676</v>
      </c>
      <c r="AD22" s="28">
        <f t="shared" si="11"/>
        <v>5983</v>
      </c>
      <c r="AE22" s="7"/>
      <c r="AF22" s="7"/>
      <c r="AG22" s="13">
        <f>ROUND(($O22/12)/$H22*($I22),0)</f>
        <v>555</v>
      </c>
      <c r="AH22" s="10">
        <f t="shared" si="12"/>
        <v>4661</v>
      </c>
      <c r="AI22" s="10">
        <f t="shared" si="13"/>
        <v>623</v>
      </c>
      <c r="AJ22" s="10">
        <f t="shared" si="14"/>
        <v>6659</v>
      </c>
      <c r="AK22" s="10">
        <f t="shared" si="15"/>
        <v>317</v>
      </c>
      <c r="AL22" s="14">
        <f t="shared" si="16"/>
        <v>8154</v>
      </c>
    </row>
    <row r="23" spans="1:38" s="4" customFormat="1" ht="24" x14ac:dyDescent="0.15">
      <c r="A23" s="15" t="s">
        <v>172</v>
      </c>
      <c r="B23" s="2" t="s">
        <v>165</v>
      </c>
      <c r="C23" s="7" t="s">
        <v>318</v>
      </c>
      <c r="D23" s="7">
        <v>20</v>
      </c>
      <c r="E23" s="44" t="s">
        <v>173</v>
      </c>
      <c r="F23" s="7"/>
      <c r="G23" s="21" t="s">
        <v>174</v>
      </c>
      <c r="H23" s="36">
        <v>26</v>
      </c>
      <c r="I23" s="35">
        <v>21</v>
      </c>
      <c r="J23" s="35">
        <v>0</v>
      </c>
      <c r="K23" s="40">
        <v>7546</v>
      </c>
      <c r="L23" s="40">
        <v>0</v>
      </c>
      <c r="M23" s="40">
        <v>1887</v>
      </c>
      <c r="N23" s="40">
        <v>0</v>
      </c>
      <c r="O23" s="43">
        <f t="shared" si="0"/>
        <v>9433</v>
      </c>
      <c r="P23" s="7">
        <f t="shared" si="1"/>
        <v>6095</v>
      </c>
      <c r="Q23" s="7">
        <f t="shared" si="2"/>
        <v>0</v>
      </c>
      <c r="R23" s="7">
        <f t="shared" si="3"/>
        <v>1524</v>
      </c>
      <c r="S23" s="7">
        <f t="shared" si="4"/>
        <v>0</v>
      </c>
      <c r="T23" s="7">
        <f t="shared" si="5"/>
        <v>0</v>
      </c>
      <c r="U23" s="7">
        <v>0</v>
      </c>
      <c r="V23" s="7">
        <v>0</v>
      </c>
      <c r="W23" s="26">
        <f t="shared" si="6"/>
        <v>7619</v>
      </c>
      <c r="X23" s="10">
        <f t="shared" si="7"/>
        <v>731</v>
      </c>
      <c r="Y23" s="10">
        <f t="shared" si="8"/>
        <v>134</v>
      </c>
      <c r="Z23" s="11">
        <f t="shared" si="9"/>
        <v>0</v>
      </c>
      <c r="AA23" s="12">
        <v>0</v>
      </c>
      <c r="AB23" s="12">
        <v>0</v>
      </c>
      <c r="AC23" s="27">
        <f t="shared" si="10"/>
        <v>865</v>
      </c>
      <c r="AD23" s="28">
        <f t="shared" si="11"/>
        <v>6754</v>
      </c>
      <c r="AE23" s="7"/>
      <c r="AF23" s="7"/>
      <c r="AG23" s="13">
        <f>ROUND(($K23/12)/$H23*($I23),0)</f>
        <v>508</v>
      </c>
      <c r="AH23" s="10">
        <f t="shared" si="12"/>
        <v>6095</v>
      </c>
      <c r="AI23" s="10">
        <f t="shared" si="13"/>
        <v>814</v>
      </c>
      <c r="AJ23" s="10">
        <f t="shared" si="14"/>
        <v>7619</v>
      </c>
      <c r="AK23" s="10">
        <f t="shared" si="15"/>
        <v>362</v>
      </c>
      <c r="AL23" s="14">
        <f t="shared" si="16"/>
        <v>9303</v>
      </c>
    </row>
    <row r="24" spans="1:38" s="4" customFormat="1" ht="12" x14ac:dyDescent="0.15">
      <c r="A24" s="15" t="s">
        <v>105</v>
      </c>
      <c r="B24" s="3" t="s">
        <v>17</v>
      </c>
      <c r="C24" s="7" t="s">
        <v>227</v>
      </c>
      <c r="D24" s="7">
        <v>21</v>
      </c>
      <c r="E24" s="7" t="s">
        <v>106</v>
      </c>
      <c r="F24" s="7"/>
      <c r="G24" s="21" t="s">
        <v>2</v>
      </c>
      <c r="H24" s="30">
        <v>26</v>
      </c>
      <c r="I24" s="35">
        <v>21</v>
      </c>
      <c r="J24" s="16">
        <v>0</v>
      </c>
      <c r="K24" s="40">
        <v>7400</v>
      </c>
      <c r="L24" s="41">
        <v>0</v>
      </c>
      <c r="M24" s="40">
        <v>176</v>
      </c>
      <c r="N24" s="41">
        <v>0</v>
      </c>
      <c r="O24" s="43">
        <f t="shared" si="0"/>
        <v>7576</v>
      </c>
      <c r="P24" s="7">
        <f t="shared" si="1"/>
        <v>5977</v>
      </c>
      <c r="Q24" s="7">
        <f t="shared" si="2"/>
        <v>0</v>
      </c>
      <c r="R24" s="7">
        <f t="shared" si="3"/>
        <v>142</v>
      </c>
      <c r="S24" s="7">
        <f t="shared" si="4"/>
        <v>0</v>
      </c>
      <c r="T24" s="7">
        <f t="shared" si="5"/>
        <v>0</v>
      </c>
      <c r="U24" s="7">
        <v>0</v>
      </c>
      <c r="V24" s="7">
        <v>0</v>
      </c>
      <c r="W24" s="26">
        <f t="shared" si="6"/>
        <v>6119</v>
      </c>
      <c r="X24" s="10">
        <f t="shared" si="7"/>
        <v>717</v>
      </c>
      <c r="Y24" s="10">
        <f t="shared" si="8"/>
        <v>108</v>
      </c>
      <c r="Z24" s="11">
        <f t="shared" si="9"/>
        <v>0</v>
      </c>
      <c r="AA24" s="12">
        <v>0</v>
      </c>
      <c r="AB24" s="12">
        <v>0</v>
      </c>
      <c r="AC24" s="27">
        <f t="shared" si="10"/>
        <v>825</v>
      </c>
      <c r="AD24" s="28">
        <f t="shared" si="11"/>
        <v>5294</v>
      </c>
      <c r="AE24" s="7"/>
      <c r="AF24" s="7"/>
      <c r="AG24" s="13">
        <f>ROUND(($O24/12)/$H24*($I24),0)</f>
        <v>510</v>
      </c>
      <c r="AH24" s="10">
        <f t="shared" si="12"/>
        <v>5977</v>
      </c>
      <c r="AI24" s="10">
        <f t="shared" si="13"/>
        <v>799</v>
      </c>
      <c r="AJ24" s="10">
        <f t="shared" si="14"/>
        <v>6119</v>
      </c>
      <c r="AK24" s="10">
        <f t="shared" si="15"/>
        <v>291</v>
      </c>
      <c r="AL24" s="14">
        <f t="shared" si="16"/>
        <v>7719</v>
      </c>
    </row>
    <row r="25" spans="1:38" s="4" customFormat="1" ht="12" x14ac:dyDescent="0.15">
      <c r="A25" s="15" t="s">
        <v>149</v>
      </c>
      <c r="B25" s="2" t="s">
        <v>139</v>
      </c>
      <c r="C25" s="7" t="s">
        <v>228</v>
      </c>
      <c r="D25" s="7">
        <v>22</v>
      </c>
      <c r="E25" s="7" t="s">
        <v>150</v>
      </c>
      <c r="F25" s="7"/>
      <c r="G25" s="21" t="s">
        <v>2</v>
      </c>
      <c r="H25" s="36">
        <v>26</v>
      </c>
      <c r="I25" s="35">
        <v>26</v>
      </c>
      <c r="J25" s="35">
        <v>0</v>
      </c>
      <c r="K25" s="40">
        <v>7546</v>
      </c>
      <c r="L25" s="40">
        <v>0</v>
      </c>
      <c r="M25" s="40">
        <v>0</v>
      </c>
      <c r="N25" s="40">
        <v>0</v>
      </c>
      <c r="O25" s="43">
        <f t="shared" si="0"/>
        <v>7546</v>
      </c>
      <c r="P25" s="7">
        <f t="shared" si="1"/>
        <v>7546</v>
      </c>
      <c r="Q25" s="7">
        <f t="shared" si="2"/>
        <v>0</v>
      </c>
      <c r="R25" s="7">
        <f t="shared" si="3"/>
        <v>0</v>
      </c>
      <c r="S25" s="7">
        <f t="shared" si="4"/>
        <v>0</v>
      </c>
      <c r="T25" s="7">
        <f t="shared" si="5"/>
        <v>0</v>
      </c>
      <c r="U25" s="7">
        <v>0</v>
      </c>
      <c r="V25" s="7">
        <v>0</v>
      </c>
      <c r="W25" s="26">
        <f t="shared" si="6"/>
        <v>7546</v>
      </c>
      <c r="X25" s="10">
        <f t="shared" si="7"/>
        <v>906</v>
      </c>
      <c r="Y25" s="10">
        <f t="shared" si="8"/>
        <v>133</v>
      </c>
      <c r="Z25" s="11">
        <f t="shared" si="9"/>
        <v>0</v>
      </c>
      <c r="AA25" s="12">
        <v>0</v>
      </c>
      <c r="AB25" s="12">
        <v>0</v>
      </c>
      <c r="AC25" s="27">
        <f t="shared" si="10"/>
        <v>1039</v>
      </c>
      <c r="AD25" s="28">
        <f t="shared" si="11"/>
        <v>6507</v>
      </c>
      <c r="AE25" s="7"/>
      <c r="AF25" s="7"/>
      <c r="AG25" s="13">
        <f t="shared" ref="AG25:AG30" si="17">ROUND(($K25/12)/$H25*($I25),0)</f>
        <v>629</v>
      </c>
      <c r="AH25" s="10">
        <f t="shared" si="12"/>
        <v>7546</v>
      </c>
      <c r="AI25" s="10">
        <f t="shared" si="13"/>
        <v>1008</v>
      </c>
      <c r="AJ25" s="10">
        <f t="shared" si="14"/>
        <v>7546</v>
      </c>
      <c r="AK25" s="10">
        <f t="shared" si="15"/>
        <v>359</v>
      </c>
      <c r="AL25" s="14">
        <f t="shared" si="16"/>
        <v>9542</v>
      </c>
    </row>
    <row r="26" spans="1:38" s="4" customFormat="1" ht="12" x14ac:dyDescent="0.15">
      <c r="A26" s="15" t="s">
        <v>158</v>
      </c>
      <c r="B26" s="2" t="s">
        <v>139</v>
      </c>
      <c r="C26" s="7" t="s">
        <v>229</v>
      </c>
      <c r="D26" s="7">
        <v>23</v>
      </c>
      <c r="E26" s="7" t="s">
        <v>292</v>
      </c>
      <c r="F26" s="7"/>
      <c r="G26" s="21" t="s">
        <v>159</v>
      </c>
      <c r="H26" s="36">
        <v>26</v>
      </c>
      <c r="I26" s="35">
        <v>25</v>
      </c>
      <c r="J26" s="35">
        <v>0</v>
      </c>
      <c r="K26" s="40">
        <v>9132</v>
      </c>
      <c r="L26" s="40">
        <v>0</v>
      </c>
      <c r="M26" s="40">
        <v>550</v>
      </c>
      <c r="N26" s="40">
        <v>0</v>
      </c>
      <c r="O26" s="43">
        <f t="shared" si="0"/>
        <v>9682</v>
      </c>
      <c r="P26" s="7">
        <f t="shared" si="1"/>
        <v>8781</v>
      </c>
      <c r="Q26" s="7">
        <f t="shared" si="2"/>
        <v>0</v>
      </c>
      <c r="R26" s="7">
        <f t="shared" si="3"/>
        <v>529</v>
      </c>
      <c r="S26" s="7">
        <f t="shared" si="4"/>
        <v>0</v>
      </c>
      <c r="T26" s="7">
        <f t="shared" si="5"/>
        <v>0</v>
      </c>
      <c r="U26" s="7">
        <v>0</v>
      </c>
      <c r="V26" s="7">
        <v>0</v>
      </c>
      <c r="W26" s="26">
        <f t="shared" si="6"/>
        <v>9310</v>
      </c>
      <c r="X26" s="10">
        <f t="shared" si="7"/>
        <v>1054</v>
      </c>
      <c r="Y26" s="10">
        <f t="shared" si="8"/>
        <v>163</v>
      </c>
      <c r="Z26" s="11">
        <f t="shared" si="9"/>
        <v>0</v>
      </c>
      <c r="AA26" s="12">
        <v>0</v>
      </c>
      <c r="AB26" s="12">
        <v>0</v>
      </c>
      <c r="AC26" s="27">
        <f t="shared" si="10"/>
        <v>1217</v>
      </c>
      <c r="AD26" s="28">
        <f t="shared" si="11"/>
        <v>8093</v>
      </c>
      <c r="AE26" s="7"/>
      <c r="AF26" s="7"/>
      <c r="AG26" s="13">
        <f t="shared" si="17"/>
        <v>732</v>
      </c>
      <c r="AH26" s="10">
        <f t="shared" si="12"/>
        <v>8781</v>
      </c>
      <c r="AI26" s="10">
        <f t="shared" si="13"/>
        <v>1173</v>
      </c>
      <c r="AJ26" s="10">
        <f t="shared" si="14"/>
        <v>9310</v>
      </c>
      <c r="AK26" s="10">
        <f t="shared" si="15"/>
        <v>443</v>
      </c>
      <c r="AL26" s="14">
        <f t="shared" si="16"/>
        <v>11658</v>
      </c>
    </row>
    <row r="27" spans="1:38" s="4" customFormat="1" ht="12" x14ac:dyDescent="0.15">
      <c r="A27" s="15" t="s">
        <v>179</v>
      </c>
      <c r="B27" s="3" t="s">
        <v>178</v>
      </c>
      <c r="C27" s="7" t="s">
        <v>230</v>
      </c>
      <c r="D27" s="7">
        <v>24</v>
      </c>
      <c r="E27" s="7" t="s">
        <v>180</v>
      </c>
      <c r="F27" s="7"/>
      <c r="G27" s="21" t="s">
        <v>3</v>
      </c>
      <c r="H27" s="36">
        <v>26</v>
      </c>
      <c r="I27" s="35">
        <v>25</v>
      </c>
      <c r="J27" s="35">
        <v>0</v>
      </c>
      <c r="K27" s="40">
        <v>7546</v>
      </c>
      <c r="L27" s="40">
        <v>0</v>
      </c>
      <c r="M27" s="40">
        <v>1887</v>
      </c>
      <c r="N27" s="40">
        <v>0</v>
      </c>
      <c r="O27" s="43">
        <f t="shared" si="0"/>
        <v>9433</v>
      </c>
      <c r="P27" s="7">
        <f t="shared" si="1"/>
        <v>7256</v>
      </c>
      <c r="Q27" s="7">
        <f t="shared" si="2"/>
        <v>0</v>
      </c>
      <c r="R27" s="7">
        <f t="shared" si="3"/>
        <v>1814</v>
      </c>
      <c r="S27" s="7">
        <f t="shared" si="4"/>
        <v>0</v>
      </c>
      <c r="T27" s="7">
        <f t="shared" si="5"/>
        <v>0</v>
      </c>
      <c r="U27" s="7">
        <v>0</v>
      </c>
      <c r="V27" s="7">
        <v>0</v>
      </c>
      <c r="W27" s="26">
        <f t="shared" si="6"/>
        <v>9070</v>
      </c>
      <c r="X27" s="10">
        <f t="shared" si="7"/>
        <v>871</v>
      </c>
      <c r="Y27" s="10">
        <f t="shared" si="8"/>
        <v>159</v>
      </c>
      <c r="Z27" s="11">
        <f t="shared" si="9"/>
        <v>0</v>
      </c>
      <c r="AA27" s="12">
        <v>0</v>
      </c>
      <c r="AB27" s="12">
        <v>0</v>
      </c>
      <c r="AC27" s="27">
        <f t="shared" si="10"/>
        <v>1030</v>
      </c>
      <c r="AD27" s="28">
        <f t="shared" si="11"/>
        <v>8040</v>
      </c>
      <c r="AE27" s="7"/>
      <c r="AF27" s="7"/>
      <c r="AG27" s="13">
        <f t="shared" si="17"/>
        <v>605</v>
      </c>
      <c r="AH27" s="10">
        <f t="shared" si="12"/>
        <v>7256</v>
      </c>
      <c r="AI27" s="10">
        <f t="shared" si="13"/>
        <v>969</v>
      </c>
      <c r="AJ27" s="10">
        <f t="shared" si="14"/>
        <v>9070</v>
      </c>
      <c r="AK27" s="10">
        <f t="shared" si="15"/>
        <v>431</v>
      </c>
      <c r="AL27" s="14">
        <f t="shared" si="16"/>
        <v>11075</v>
      </c>
    </row>
    <row r="28" spans="1:38" s="4" customFormat="1" ht="12" x14ac:dyDescent="0.15">
      <c r="A28" s="15" t="s">
        <v>160</v>
      </c>
      <c r="B28" s="2" t="s">
        <v>206</v>
      </c>
      <c r="C28" s="7" t="s">
        <v>231</v>
      </c>
      <c r="D28" s="7">
        <v>25</v>
      </c>
      <c r="E28" s="7" t="s">
        <v>293</v>
      </c>
      <c r="F28" s="7"/>
      <c r="G28" s="37" t="s">
        <v>161</v>
      </c>
      <c r="H28" s="36">
        <v>26</v>
      </c>
      <c r="I28" s="35">
        <v>25</v>
      </c>
      <c r="J28" s="35">
        <v>0</v>
      </c>
      <c r="K28" s="40">
        <v>7546</v>
      </c>
      <c r="L28" s="40">
        <v>0</v>
      </c>
      <c r="M28" s="40">
        <v>7080</v>
      </c>
      <c r="N28" s="40">
        <v>0</v>
      </c>
      <c r="O28" s="43">
        <f t="shared" si="0"/>
        <v>14626</v>
      </c>
      <c r="P28" s="7">
        <f t="shared" si="1"/>
        <v>7256</v>
      </c>
      <c r="Q28" s="7">
        <f t="shared" si="2"/>
        <v>0</v>
      </c>
      <c r="R28" s="7">
        <f t="shared" si="3"/>
        <v>6808</v>
      </c>
      <c r="S28" s="7">
        <f t="shared" si="4"/>
        <v>0</v>
      </c>
      <c r="T28" s="7">
        <f t="shared" si="5"/>
        <v>0</v>
      </c>
      <c r="U28" s="7">
        <v>0</v>
      </c>
      <c r="V28" s="7">
        <v>0</v>
      </c>
      <c r="W28" s="26">
        <f t="shared" si="6"/>
        <v>14064</v>
      </c>
      <c r="X28" s="10">
        <f t="shared" si="7"/>
        <v>871</v>
      </c>
      <c r="Y28" s="10">
        <f t="shared" si="8"/>
        <v>247</v>
      </c>
      <c r="Z28" s="11">
        <f t="shared" si="9"/>
        <v>110</v>
      </c>
      <c r="AA28" s="12">
        <v>0</v>
      </c>
      <c r="AB28" s="12">
        <v>0</v>
      </c>
      <c r="AC28" s="27">
        <f t="shared" si="10"/>
        <v>1228</v>
      </c>
      <c r="AD28" s="28">
        <f t="shared" si="11"/>
        <v>12836</v>
      </c>
      <c r="AE28" s="7"/>
      <c r="AF28" s="7"/>
      <c r="AG28" s="13">
        <f t="shared" si="17"/>
        <v>605</v>
      </c>
      <c r="AH28" s="10">
        <f t="shared" si="12"/>
        <v>7256</v>
      </c>
      <c r="AI28" s="10">
        <f t="shared" si="13"/>
        <v>969</v>
      </c>
      <c r="AJ28" s="10">
        <f t="shared" si="14"/>
        <v>14063</v>
      </c>
      <c r="AK28" s="10">
        <f t="shared" si="15"/>
        <v>668</v>
      </c>
      <c r="AL28" s="14">
        <f t="shared" si="16"/>
        <v>16306</v>
      </c>
    </row>
    <row r="29" spans="1:38" s="4" customFormat="1" ht="12" x14ac:dyDescent="0.15">
      <c r="A29" s="15" t="s">
        <v>151</v>
      </c>
      <c r="B29" s="2" t="s">
        <v>139</v>
      </c>
      <c r="C29" s="7" t="s">
        <v>232</v>
      </c>
      <c r="D29" s="7">
        <v>26</v>
      </c>
      <c r="E29" s="7" t="s">
        <v>294</v>
      </c>
      <c r="F29" s="7"/>
      <c r="G29" s="21" t="s">
        <v>2</v>
      </c>
      <c r="H29" s="36">
        <v>26</v>
      </c>
      <c r="I29" s="35">
        <v>26</v>
      </c>
      <c r="J29" s="35">
        <v>0</v>
      </c>
      <c r="K29" s="40">
        <v>7546</v>
      </c>
      <c r="L29" s="40">
        <v>0</v>
      </c>
      <c r="M29" s="40">
        <v>0</v>
      </c>
      <c r="N29" s="40">
        <v>0</v>
      </c>
      <c r="O29" s="43">
        <f t="shared" si="0"/>
        <v>7546</v>
      </c>
      <c r="P29" s="7">
        <f t="shared" si="1"/>
        <v>7546</v>
      </c>
      <c r="Q29" s="7">
        <f t="shared" si="2"/>
        <v>0</v>
      </c>
      <c r="R29" s="7">
        <f t="shared" si="3"/>
        <v>0</v>
      </c>
      <c r="S29" s="7">
        <f t="shared" si="4"/>
        <v>0</v>
      </c>
      <c r="T29" s="7">
        <f t="shared" si="5"/>
        <v>0</v>
      </c>
      <c r="U29" s="7">
        <v>0</v>
      </c>
      <c r="V29" s="7">
        <v>0</v>
      </c>
      <c r="W29" s="26">
        <f t="shared" si="6"/>
        <v>7546</v>
      </c>
      <c r="X29" s="10">
        <f t="shared" si="7"/>
        <v>906</v>
      </c>
      <c r="Y29" s="10">
        <f t="shared" si="8"/>
        <v>133</v>
      </c>
      <c r="Z29" s="11">
        <f t="shared" si="9"/>
        <v>0</v>
      </c>
      <c r="AA29" s="12">
        <v>0</v>
      </c>
      <c r="AB29" s="12">
        <v>0</v>
      </c>
      <c r="AC29" s="27">
        <f t="shared" si="10"/>
        <v>1039</v>
      </c>
      <c r="AD29" s="28">
        <f t="shared" si="11"/>
        <v>6507</v>
      </c>
      <c r="AE29" s="7"/>
      <c r="AF29" s="7"/>
      <c r="AG29" s="13">
        <f t="shared" si="17"/>
        <v>629</v>
      </c>
      <c r="AH29" s="10">
        <f t="shared" si="12"/>
        <v>7546</v>
      </c>
      <c r="AI29" s="10">
        <f t="shared" si="13"/>
        <v>1008</v>
      </c>
      <c r="AJ29" s="10">
        <f t="shared" si="14"/>
        <v>7546</v>
      </c>
      <c r="AK29" s="10">
        <f t="shared" si="15"/>
        <v>359</v>
      </c>
      <c r="AL29" s="14">
        <f t="shared" si="16"/>
        <v>9542</v>
      </c>
    </row>
    <row r="30" spans="1:38" s="4" customFormat="1" ht="12" x14ac:dyDescent="0.15">
      <c r="A30" s="15" t="s">
        <v>181</v>
      </c>
      <c r="B30" s="3" t="s">
        <v>178</v>
      </c>
      <c r="C30" s="7" t="s">
        <v>233</v>
      </c>
      <c r="D30" s="7">
        <v>27</v>
      </c>
      <c r="E30" s="7" t="s">
        <v>295</v>
      </c>
      <c r="F30" s="7"/>
      <c r="G30" s="21" t="s">
        <v>3</v>
      </c>
      <c r="H30" s="36">
        <v>26</v>
      </c>
      <c r="I30" s="35">
        <v>26</v>
      </c>
      <c r="J30" s="35">
        <v>0</v>
      </c>
      <c r="K30" s="40">
        <v>7546</v>
      </c>
      <c r="L30" s="40">
        <v>0</v>
      </c>
      <c r="M30" s="40">
        <v>1887</v>
      </c>
      <c r="N30" s="40">
        <v>0</v>
      </c>
      <c r="O30" s="43">
        <f t="shared" si="0"/>
        <v>9433</v>
      </c>
      <c r="P30" s="7">
        <f t="shared" si="1"/>
        <v>7546</v>
      </c>
      <c r="Q30" s="7">
        <f t="shared" si="2"/>
        <v>0</v>
      </c>
      <c r="R30" s="7">
        <f t="shared" si="3"/>
        <v>1887</v>
      </c>
      <c r="S30" s="7">
        <f t="shared" si="4"/>
        <v>0</v>
      </c>
      <c r="T30" s="7">
        <f t="shared" si="5"/>
        <v>0</v>
      </c>
      <c r="U30" s="7">
        <v>0</v>
      </c>
      <c r="V30" s="7">
        <v>0</v>
      </c>
      <c r="W30" s="26">
        <f t="shared" si="6"/>
        <v>9433</v>
      </c>
      <c r="X30" s="10">
        <f t="shared" si="7"/>
        <v>906</v>
      </c>
      <c r="Y30" s="10">
        <f t="shared" si="8"/>
        <v>166</v>
      </c>
      <c r="Z30" s="11">
        <f t="shared" si="9"/>
        <v>0</v>
      </c>
      <c r="AA30" s="12">
        <v>0</v>
      </c>
      <c r="AB30" s="12">
        <v>0</v>
      </c>
      <c r="AC30" s="27">
        <f t="shared" si="10"/>
        <v>1072</v>
      </c>
      <c r="AD30" s="28">
        <f t="shared" si="11"/>
        <v>8361</v>
      </c>
      <c r="AE30" s="7"/>
      <c r="AF30" s="7"/>
      <c r="AG30" s="13">
        <f t="shared" si="17"/>
        <v>629</v>
      </c>
      <c r="AH30" s="10">
        <f t="shared" si="12"/>
        <v>7546</v>
      </c>
      <c r="AI30" s="10">
        <f t="shared" si="13"/>
        <v>1008</v>
      </c>
      <c r="AJ30" s="10">
        <f t="shared" si="14"/>
        <v>9433</v>
      </c>
      <c r="AK30" s="10">
        <f t="shared" si="15"/>
        <v>449</v>
      </c>
      <c r="AL30" s="14">
        <f t="shared" si="16"/>
        <v>11519</v>
      </c>
    </row>
    <row r="31" spans="1:38" s="4" customFormat="1" ht="12" x14ac:dyDescent="0.15">
      <c r="A31" s="15" t="s">
        <v>126</v>
      </c>
      <c r="B31" s="20" t="s">
        <v>22</v>
      </c>
      <c r="C31" s="7" t="s">
        <v>234</v>
      </c>
      <c r="D31" s="7">
        <v>28</v>
      </c>
      <c r="E31" s="7" t="s">
        <v>296</v>
      </c>
      <c r="F31" s="7"/>
      <c r="G31" s="21" t="s">
        <v>3</v>
      </c>
      <c r="H31" s="30">
        <v>26</v>
      </c>
      <c r="I31" s="35">
        <v>13</v>
      </c>
      <c r="J31" s="16">
        <v>0</v>
      </c>
      <c r="K31" s="40">
        <v>2713</v>
      </c>
      <c r="L31" s="40">
        <v>0</v>
      </c>
      <c r="M31" s="41">
        <v>2712</v>
      </c>
      <c r="N31" s="40">
        <v>0</v>
      </c>
      <c r="O31" s="43">
        <f t="shared" si="0"/>
        <v>5425</v>
      </c>
      <c r="P31" s="7">
        <f t="shared" si="1"/>
        <v>1357</v>
      </c>
      <c r="Q31" s="7">
        <f t="shared" si="2"/>
        <v>0</v>
      </c>
      <c r="R31" s="7">
        <f t="shared" si="3"/>
        <v>1356</v>
      </c>
      <c r="S31" s="7">
        <f t="shared" si="4"/>
        <v>0</v>
      </c>
      <c r="T31" s="7">
        <f t="shared" si="5"/>
        <v>0</v>
      </c>
      <c r="U31" s="7">
        <v>0</v>
      </c>
      <c r="V31" s="7">
        <v>0</v>
      </c>
      <c r="W31" s="26">
        <f t="shared" si="6"/>
        <v>2713</v>
      </c>
      <c r="X31" s="10">
        <f t="shared" si="7"/>
        <v>163</v>
      </c>
      <c r="Y31" s="10">
        <f t="shared" si="8"/>
        <v>48</v>
      </c>
      <c r="Z31" s="11">
        <f t="shared" si="9"/>
        <v>0</v>
      </c>
      <c r="AA31" s="12">
        <v>0</v>
      </c>
      <c r="AB31" s="12">
        <v>0</v>
      </c>
      <c r="AC31" s="27">
        <f t="shared" si="10"/>
        <v>211</v>
      </c>
      <c r="AD31" s="28">
        <f t="shared" si="11"/>
        <v>2502</v>
      </c>
      <c r="AE31" s="7"/>
      <c r="AF31" s="7"/>
      <c r="AG31" s="13">
        <f>ROUND(($O31/12)/$H31*($I31),0)</f>
        <v>226</v>
      </c>
      <c r="AH31" s="10">
        <f t="shared" si="12"/>
        <v>1357</v>
      </c>
      <c r="AI31" s="10">
        <f t="shared" si="13"/>
        <v>181</v>
      </c>
      <c r="AJ31" s="10">
        <f t="shared" si="14"/>
        <v>2713</v>
      </c>
      <c r="AK31" s="10">
        <f t="shared" si="15"/>
        <v>129</v>
      </c>
      <c r="AL31" s="14">
        <f t="shared" si="16"/>
        <v>3249</v>
      </c>
    </row>
    <row r="32" spans="1:38" s="4" customFormat="1" ht="12" x14ac:dyDescent="0.15">
      <c r="A32" s="15" t="s">
        <v>177</v>
      </c>
      <c r="B32" s="3" t="s">
        <v>178</v>
      </c>
      <c r="C32" s="7" t="s">
        <v>238</v>
      </c>
      <c r="D32" s="7">
        <v>29</v>
      </c>
      <c r="E32" s="7" t="s">
        <v>299</v>
      </c>
      <c r="F32" s="7"/>
      <c r="G32" s="21" t="s">
        <v>3</v>
      </c>
      <c r="H32" s="36">
        <v>26</v>
      </c>
      <c r="I32" s="35">
        <v>26</v>
      </c>
      <c r="J32" s="35">
        <v>0</v>
      </c>
      <c r="K32" s="40">
        <v>7546</v>
      </c>
      <c r="L32" s="40">
        <v>0</v>
      </c>
      <c r="M32" s="40">
        <v>1887</v>
      </c>
      <c r="N32" s="40">
        <v>0</v>
      </c>
      <c r="O32" s="43">
        <f t="shared" si="0"/>
        <v>9433</v>
      </c>
      <c r="P32" s="7">
        <f t="shared" si="1"/>
        <v>7546</v>
      </c>
      <c r="Q32" s="7">
        <f t="shared" si="2"/>
        <v>0</v>
      </c>
      <c r="R32" s="7">
        <f t="shared" si="3"/>
        <v>1887</v>
      </c>
      <c r="S32" s="7">
        <f t="shared" si="4"/>
        <v>0</v>
      </c>
      <c r="T32" s="7">
        <f t="shared" si="5"/>
        <v>0</v>
      </c>
      <c r="U32" s="7">
        <v>0</v>
      </c>
      <c r="V32" s="7">
        <v>0</v>
      </c>
      <c r="W32" s="26">
        <f t="shared" si="6"/>
        <v>9433</v>
      </c>
      <c r="X32" s="10">
        <f t="shared" si="7"/>
        <v>906</v>
      </c>
      <c r="Y32" s="10">
        <f t="shared" si="8"/>
        <v>166</v>
      </c>
      <c r="Z32" s="11">
        <f t="shared" si="9"/>
        <v>0</v>
      </c>
      <c r="AA32" s="12">
        <v>0</v>
      </c>
      <c r="AB32" s="12">
        <v>0</v>
      </c>
      <c r="AC32" s="27">
        <f t="shared" si="10"/>
        <v>1072</v>
      </c>
      <c r="AD32" s="28">
        <f t="shared" si="11"/>
        <v>8361</v>
      </c>
      <c r="AE32" s="7"/>
      <c r="AF32" s="7"/>
      <c r="AG32" s="13">
        <f>ROUND(($K32/12)/$H32*($I32),0)</f>
        <v>629</v>
      </c>
      <c r="AH32" s="10">
        <f t="shared" si="12"/>
        <v>7546</v>
      </c>
      <c r="AI32" s="10">
        <f t="shared" si="13"/>
        <v>1008</v>
      </c>
      <c r="AJ32" s="10">
        <f t="shared" si="14"/>
        <v>9433</v>
      </c>
      <c r="AK32" s="10">
        <f t="shared" si="15"/>
        <v>449</v>
      </c>
      <c r="AL32" s="14">
        <f t="shared" si="16"/>
        <v>11519</v>
      </c>
    </row>
    <row r="33" spans="1:38" s="4" customFormat="1" ht="12" x14ac:dyDescent="0.15">
      <c r="A33" s="15" t="s">
        <v>169</v>
      </c>
      <c r="B33" s="2" t="s">
        <v>165</v>
      </c>
      <c r="C33" s="7" t="s">
        <v>236</v>
      </c>
      <c r="D33" s="7">
        <v>30</v>
      </c>
      <c r="E33" s="7" t="s">
        <v>170</v>
      </c>
      <c r="F33" s="7"/>
      <c r="G33" s="21" t="s">
        <v>3</v>
      </c>
      <c r="H33" s="36">
        <v>26</v>
      </c>
      <c r="I33" s="35">
        <v>26</v>
      </c>
      <c r="J33" s="35">
        <v>0</v>
      </c>
      <c r="K33" s="40">
        <v>7546</v>
      </c>
      <c r="L33" s="40">
        <v>0</v>
      </c>
      <c r="M33" s="40">
        <v>1887</v>
      </c>
      <c r="N33" s="40">
        <v>0</v>
      </c>
      <c r="O33" s="43">
        <f t="shared" si="0"/>
        <v>9433</v>
      </c>
      <c r="P33" s="7">
        <f t="shared" si="1"/>
        <v>7546</v>
      </c>
      <c r="Q33" s="7">
        <f t="shared" si="2"/>
        <v>0</v>
      </c>
      <c r="R33" s="7">
        <f t="shared" si="3"/>
        <v>1887</v>
      </c>
      <c r="S33" s="7">
        <f t="shared" si="4"/>
        <v>0</v>
      </c>
      <c r="T33" s="7">
        <f t="shared" si="5"/>
        <v>0</v>
      </c>
      <c r="U33" s="7">
        <v>0</v>
      </c>
      <c r="V33" s="7">
        <v>0</v>
      </c>
      <c r="W33" s="26">
        <f t="shared" si="6"/>
        <v>9433</v>
      </c>
      <c r="X33" s="10">
        <f t="shared" si="7"/>
        <v>906</v>
      </c>
      <c r="Y33" s="10">
        <f t="shared" si="8"/>
        <v>166</v>
      </c>
      <c r="Z33" s="11">
        <f t="shared" si="9"/>
        <v>0</v>
      </c>
      <c r="AA33" s="12">
        <v>0</v>
      </c>
      <c r="AB33" s="12">
        <v>0</v>
      </c>
      <c r="AC33" s="27">
        <f t="shared" si="10"/>
        <v>1072</v>
      </c>
      <c r="AD33" s="28">
        <f t="shared" si="11"/>
        <v>8361</v>
      </c>
      <c r="AE33" s="7"/>
      <c r="AF33" s="7"/>
      <c r="AG33" s="13">
        <f>ROUND(($K33/12)/$H33*($I33),0)</f>
        <v>629</v>
      </c>
      <c r="AH33" s="10">
        <f t="shared" si="12"/>
        <v>7546</v>
      </c>
      <c r="AI33" s="10">
        <f t="shared" si="13"/>
        <v>1008</v>
      </c>
      <c r="AJ33" s="10">
        <f t="shared" si="14"/>
        <v>9433</v>
      </c>
      <c r="AK33" s="10">
        <f t="shared" si="15"/>
        <v>449</v>
      </c>
      <c r="AL33" s="14">
        <f t="shared" si="16"/>
        <v>11519</v>
      </c>
    </row>
    <row r="34" spans="1:38" s="4" customFormat="1" ht="12" x14ac:dyDescent="0.15">
      <c r="A34" s="15" t="s">
        <v>94</v>
      </c>
      <c r="B34" s="3" t="s">
        <v>135</v>
      </c>
      <c r="C34" s="7" t="s">
        <v>235</v>
      </c>
      <c r="D34" s="7">
        <v>31</v>
      </c>
      <c r="E34" s="7" t="s">
        <v>297</v>
      </c>
      <c r="F34" s="7"/>
      <c r="G34" s="21" t="s">
        <v>3</v>
      </c>
      <c r="H34" s="30">
        <v>26</v>
      </c>
      <c r="I34" s="35">
        <v>31</v>
      </c>
      <c r="J34" s="16">
        <v>0</v>
      </c>
      <c r="K34" s="40">
        <v>4668</v>
      </c>
      <c r="L34" s="40">
        <v>0</v>
      </c>
      <c r="M34" s="40">
        <v>2001</v>
      </c>
      <c r="N34" s="40">
        <v>0</v>
      </c>
      <c r="O34" s="43">
        <f t="shared" si="0"/>
        <v>6669</v>
      </c>
      <c r="P34" s="7">
        <f t="shared" si="1"/>
        <v>5566</v>
      </c>
      <c r="Q34" s="7">
        <f t="shared" si="2"/>
        <v>0</v>
      </c>
      <c r="R34" s="7">
        <f t="shared" si="3"/>
        <v>2386</v>
      </c>
      <c r="S34" s="7">
        <f t="shared" si="4"/>
        <v>0</v>
      </c>
      <c r="T34" s="7">
        <f t="shared" si="5"/>
        <v>0</v>
      </c>
      <c r="U34" s="7">
        <v>0</v>
      </c>
      <c r="V34" s="7">
        <v>0</v>
      </c>
      <c r="W34" s="26">
        <f t="shared" si="6"/>
        <v>7952</v>
      </c>
      <c r="X34" s="10">
        <f t="shared" si="7"/>
        <v>668</v>
      </c>
      <c r="Y34" s="10">
        <f t="shared" si="8"/>
        <v>140</v>
      </c>
      <c r="Z34" s="11">
        <f t="shared" si="9"/>
        <v>0</v>
      </c>
      <c r="AA34" s="12">
        <v>500</v>
      </c>
      <c r="AB34" s="12">
        <v>0</v>
      </c>
      <c r="AC34" s="27">
        <f t="shared" si="10"/>
        <v>1308</v>
      </c>
      <c r="AD34" s="28">
        <f t="shared" si="11"/>
        <v>6644</v>
      </c>
      <c r="AE34" s="7"/>
      <c r="AF34" s="7"/>
      <c r="AG34" s="13">
        <f>ROUND(($O34/12)/$H34*($I34),0)</f>
        <v>663</v>
      </c>
      <c r="AH34" s="10">
        <f t="shared" si="12"/>
        <v>5566</v>
      </c>
      <c r="AI34" s="10">
        <f t="shared" si="13"/>
        <v>744</v>
      </c>
      <c r="AJ34" s="10">
        <f t="shared" si="14"/>
        <v>7952</v>
      </c>
      <c r="AK34" s="10">
        <f t="shared" si="15"/>
        <v>378</v>
      </c>
      <c r="AL34" s="14">
        <f t="shared" si="16"/>
        <v>9737</v>
      </c>
    </row>
    <row r="35" spans="1:38" s="4" customFormat="1" ht="12" x14ac:dyDescent="0.15">
      <c r="A35" s="15" t="s">
        <v>192</v>
      </c>
      <c r="B35" s="3" t="s">
        <v>190</v>
      </c>
      <c r="C35" s="7" t="s">
        <v>237</v>
      </c>
      <c r="D35" s="7">
        <v>32</v>
      </c>
      <c r="E35" s="7" t="s">
        <v>193</v>
      </c>
      <c r="F35" s="7"/>
      <c r="G35" s="21" t="s">
        <v>3</v>
      </c>
      <c r="H35" s="36">
        <v>26</v>
      </c>
      <c r="I35" s="35">
        <v>1</v>
      </c>
      <c r="J35" s="35">
        <v>0</v>
      </c>
      <c r="K35" s="40">
        <v>7546</v>
      </c>
      <c r="L35" s="41">
        <v>0</v>
      </c>
      <c r="M35" s="40">
        <v>1887</v>
      </c>
      <c r="N35" s="41">
        <v>0</v>
      </c>
      <c r="O35" s="43">
        <f t="shared" si="0"/>
        <v>9433</v>
      </c>
      <c r="P35" s="7">
        <f t="shared" si="1"/>
        <v>290</v>
      </c>
      <c r="Q35" s="7">
        <f t="shared" si="2"/>
        <v>0</v>
      </c>
      <c r="R35" s="7">
        <f t="shared" si="3"/>
        <v>73</v>
      </c>
      <c r="S35" s="7">
        <f t="shared" si="4"/>
        <v>0</v>
      </c>
      <c r="T35" s="7">
        <f t="shared" si="5"/>
        <v>0</v>
      </c>
      <c r="U35" s="7">
        <v>0</v>
      </c>
      <c r="V35" s="7">
        <v>0</v>
      </c>
      <c r="W35" s="26">
        <f t="shared" si="6"/>
        <v>363</v>
      </c>
      <c r="X35" s="10">
        <f t="shared" si="7"/>
        <v>35</v>
      </c>
      <c r="Y35" s="10">
        <f t="shared" si="8"/>
        <v>7</v>
      </c>
      <c r="Z35" s="11">
        <f t="shared" si="9"/>
        <v>0</v>
      </c>
      <c r="AA35" s="12">
        <v>0</v>
      </c>
      <c r="AB35" s="12">
        <v>0</v>
      </c>
      <c r="AC35" s="27">
        <f t="shared" si="10"/>
        <v>42</v>
      </c>
      <c r="AD35" s="28">
        <f t="shared" si="11"/>
        <v>321</v>
      </c>
      <c r="AE35" s="7"/>
      <c r="AF35" s="7"/>
      <c r="AG35" s="13">
        <f>ROUND(($K35/12)/$H35*($I35),0)</f>
        <v>24</v>
      </c>
      <c r="AH35" s="10">
        <f t="shared" si="12"/>
        <v>290</v>
      </c>
      <c r="AI35" s="10">
        <f t="shared" si="13"/>
        <v>39</v>
      </c>
      <c r="AJ35" s="10">
        <f t="shared" si="14"/>
        <v>363</v>
      </c>
      <c r="AK35" s="10">
        <f t="shared" si="15"/>
        <v>18</v>
      </c>
      <c r="AL35" s="14">
        <f t="shared" si="16"/>
        <v>444</v>
      </c>
    </row>
    <row r="36" spans="1:38" s="4" customFormat="1" ht="12" x14ac:dyDescent="0.15">
      <c r="A36" s="15" t="s">
        <v>119</v>
      </c>
      <c r="B36" s="20" t="s">
        <v>20</v>
      </c>
      <c r="C36" s="7" t="s">
        <v>244</v>
      </c>
      <c r="D36" s="7">
        <v>33</v>
      </c>
      <c r="E36" s="7" t="s">
        <v>300</v>
      </c>
      <c r="F36" s="7"/>
      <c r="G36" s="21" t="s">
        <v>2</v>
      </c>
      <c r="H36" s="30">
        <v>30</v>
      </c>
      <c r="I36" s="35">
        <v>30</v>
      </c>
      <c r="J36" s="16">
        <v>0</v>
      </c>
      <c r="K36" s="40">
        <v>5081</v>
      </c>
      <c r="L36" s="40">
        <v>0</v>
      </c>
      <c r="M36" s="41">
        <v>2178</v>
      </c>
      <c r="N36" s="40">
        <v>0</v>
      </c>
      <c r="O36" s="43">
        <f t="shared" ref="O36:O67" si="18">SUM(K36:N36)</f>
        <v>7259</v>
      </c>
      <c r="P36" s="7">
        <f t="shared" ref="P36:P67" si="19">ROUND(K36/$H36*$I36,0)</f>
        <v>5081</v>
      </c>
      <c r="Q36" s="7">
        <f t="shared" ref="Q36:Q67" si="20">ROUND(L36/$H36*$I36,0)</f>
        <v>0</v>
      </c>
      <c r="R36" s="7">
        <f t="shared" ref="R36:R67" si="21">ROUND(M36/$H36*$I36,0)</f>
        <v>2178</v>
      </c>
      <c r="S36" s="7">
        <f t="shared" ref="S36:S67" si="22">ROUND(N36/$H36*$I36,0)</f>
        <v>0</v>
      </c>
      <c r="T36" s="7">
        <f t="shared" ref="T36:T67" si="23">ROUND($O36/$H36*$J36,0)</f>
        <v>0</v>
      </c>
      <c r="U36" s="7">
        <v>0</v>
      </c>
      <c r="V36" s="7">
        <v>0</v>
      </c>
      <c r="W36" s="26">
        <f t="shared" ref="W36:W67" si="24">SUM(P36:V36)</f>
        <v>7259</v>
      </c>
      <c r="X36" s="10">
        <f t="shared" ref="X36:X67" si="25">ROUND($AH36*12%,0)</f>
        <v>610</v>
      </c>
      <c r="Y36" s="10">
        <f t="shared" ref="Y36:Y67" si="26">ROUNDUP($AJ36*1.75%,0)</f>
        <v>128</v>
      </c>
      <c r="Z36" s="11">
        <f t="shared" ref="Z36:Z67" si="27">IF(W36&gt;40000,200,IF(W36&gt;25000,150,IF(W36&gt;15000,130,IF(W36&gt;10000,110,IF(W36&gt;8500,0,)))))</f>
        <v>0</v>
      </c>
      <c r="AA36" s="12">
        <v>0</v>
      </c>
      <c r="AB36" s="12">
        <v>0</v>
      </c>
      <c r="AC36" s="27">
        <f t="shared" ref="AC36:AC67" si="28">SUM(X36:AB36)</f>
        <v>738</v>
      </c>
      <c r="AD36" s="28">
        <f t="shared" ref="AD36:AD67" si="29">W36-AC36</f>
        <v>6521</v>
      </c>
      <c r="AE36" s="7"/>
      <c r="AF36" s="7"/>
      <c r="AG36" s="13">
        <v>0</v>
      </c>
      <c r="AH36" s="10">
        <f t="shared" ref="AH36:AH67" si="30">ROUND(IF(($P36)&gt;15000,15000,IF(($P36)&lt;=15000,($P36))),0)</f>
        <v>5081</v>
      </c>
      <c r="AI36" s="10">
        <f t="shared" ref="AI36:AI67" si="31">ROUND(AH36*13.36%,0)</f>
        <v>679</v>
      </c>
      <c r="AJ36" s="10">
        <f t="shared" ref="AJ36:AJ67" si="32">ROUND($O36/$H36*($I36+$J36),0)</f>
        <v>7259</v>
      </c>
      <c r="AK36" s="10">
        <f t="shared" ref="AK36:AK67" si="33">ROUNDUP(AJ36*4.75%,0)</f>
        <v>345</v>
      </c>
      <c r="AL36" s="14">
        <f t="shared" ref="AL36:AL67" si="34">AK36+AI36+AG36+W36-AB36</f>
        <v>8283</v>
      </c>
    </row>
    <row r="37" spans="1:38" s="4" customFormat="1" ht="12" x14ac:dyDescent="0.15">
      <c r="A37" s="15" t="s">
        <v>103</v>
      </c>
      <c r="B37" s="3" t="s">
        <v>17</v>
      </c>
      <c r="C37" s="7" t="s">
        <v>239</v>
      </c>
      <c r="D37" s="7">
        <v>34</v>
      </c>
      <c r="E37" s="7" t="s">
        <v>104</v>
      </c>
      <c r="F37" s="7"/>
      <c r="G37" s="21" t="s">
        <v>2</v>
      </c>
      <c r="H37" s="30">
        <v>26</v>
      </c>
      <c r="I37" s="35">
        <v>26</v>
      </c>
      <c r="J37" s="16">
        <v>0</v>
      </c>
      <c r="K37" s="40">
        <v>7400</v>
      </c>
      <c r="L37" s="41">
        <v>0</v>
      </c>
      <c r="M37" s="40">
        <v>176</v>
      </c>
      <c r="N37" s="41">
        <v>0</v>
      </c>
      <c r="O37" s="43">
        <f t="shared" si="18"/>
        <v>7576</v>
      </c>
      <c r="P37" s="7">
        <f t="shared" si="19"/>
        <v>7400</v>
      </c>
      <c r="Q37" s="7">
        <f t="shared" si="20"/>
        <v>0</v>
      </c>
      <c r="R37" s="7">
        <f t="shared" si="21"/>
        <v>176</v>
      </c>
      <c r="S37" s="7">
        <f t="shared" si="22"/>
        <v>0</v>
      </c>
      <c r="T37" s="7">
        <f t="shared" si="23"/>
        <v>0</v>
      </c>
      <c r="U37" s="7">
        <v>0</v>
      </c>
      <c r="V37" s="7">
        <v>0</v>
      </c>
      <c r="W37" s="26">
        <f t="shared" si="24"/>
        <v>7576</v>
      </c>
      <c r="X37" s="10">
        <f t="shared" si="25"/>
        <v>888</v>
      </c>
      <c r="Y37" s="10">
        <f t="shared" si="26"/>
        <v>133</v>
      </c>
      <c r="Z37" s="11">
        <f t="shared" si="27"/>
        <v>0</v>
      </c>
      <c r="AA37" s="12">
        <v>0</v>
      </c>
      <c r="AB37" s="12">
        <v>0</v>
      </c>
      <c r="AC37" s="27">
        <f t="shared" si="28"/>
        <v>1021</v>
      </c>
      <c r="AD37" s="28">
        <f t="shared" si="29"/>
        <v>6555</v>
      </c>
      <c r="AE37" s="7"/>
      <c r="AF37" s="7"/>
      <c r="AG37" s="13">
        <f>ROUND(($O37/12)/$H37*($I37),0)</f>
        <v>631</v>
      </c>
      <c r="AH37" s="10">
        <f t="shared" si="30"/>
        <v>7400</v>
      </c>
      <c r="AI37" s="10">
        <f t="shared" si="31"/>
        <v>989</v>
      </c>
      <c r="AJ37" s="10">
        <f t="shared" si="32"/>
        <v>7576</v>
      </c>
      <c r="AK37" s="10">
        <f t="shared" si="33"/>
        <v>360</v>
      </c>
      <c r="AL37" s="14">
        <f t="shared" si="34"/>
        <v>9556</v>
      </c>
    </row>
    <row r="38" spans="1:38" s="4" customFormat="1" ht="12" x14ac:dyDescent="0.15">
      <c r="A38" s="15" t="s">
        <v>95</v>
      </c>
      <c r="B38" s="20" t="s">
        <v>132</v>
      </c>
      <c r="C38" s="7" t="s">
        <v>240</v>
      </c>
      <c r="D38" s="7">
        <v>35</v>
      </c>
      <c r="E38" s="7" t="s">
        <v>96</v>
      </c>
      <c r="F38" s="7"/>
      <c r="G38" s="21" t="s">
        <v>2</v>
      </c>
      <c r="H38" s="30">
        <v>26</v>
      </c>
      <c r="I38" s="35">
        <v>27</v>
      </c>
      <c r="J38" s="16">
        <v>0</v>
      </c>
      <c r="K38" s="40">
        <v>2700</v>
      </c>
      <c r="L38" s="40">
        <v>0</v>
      </c>
      <c r="M38" s="40">
        <v>2210</v>
      </c>
      <c r="N38" s="40">
        <v>0</v>
      </c>
      <c r="O38" s="43">
        <f t="shared" si="18"/>
        <v>4910</v>
      </c>
      <c r="P38" s="7">
        <f t="shared" si="19"/>
        <v>2804</v>
      </c>
      <c r="Q38" s="7">
        <f t="shared" si="20"/>
        <v>0</v>
      </c>
      <c r="R38" s="7">
        <f t="shared" si="21"/>
        <v>2295</v>
      </c>
      <c r="S38" s="7">
        <f t="shared" si="22"/>
        <v>0</v>
      </c>
      <c r="T38" s="7">
        <f t="shared" si="23"/>
        <v>0</v>
      </c>
      <c r="U38" s="7">
        <v>0</v>
      </c>
      <c r="V38" s="7">
        <v>0</v>
      </c>
      <c r="W38" s="26">
        <f t="shared" si="24"/>
        <v>5099</v>
      </c>
      <c r="X38" s="10">
        <f t="shared" si="25"/>
        <v>336</v>
      </c>
      <c r="Y38" s="10">
        <f t="shared" si="26"/>
        <v>90</v>
      </c>
      <c r="Z38" s="11">
        <f t="shared" si="27"/>
        <v>0</v>
      </c>
      <c r="AA38" s="12">
        <v>0</v>
      </c>
      <c r="AB38" s="12">
        <v>0</v>
      </c>
      <c r="AC38" s="27">
        <f t="shared" si="28"/>
        <v>426</v>
      </c>
      <c r="AD38" s="28">
        <f t="shared" si="29"/>
        <v>4673</v>
      </c>
      <c r="AE38" s="7"/>
      <c r="AF38" s="7"/>
      <c r="AG38" s="13">
        <f>ROUND(($O38/12)/$H38*($I38),0)</f>
        <v>425</v>
      </c>
      <c r="AH38" s="10">
        <f t="shared" si="30"/>
        <v>2804</v>
      </c>
      <c r="AI38" s="10">
        <f t="shared" si="31"/>
        <v>375</v>
      </c>
      <c r="AJ38" s="10">
        <f t="shared" si="32"/>
        <v>5099</v>
      </c>
      <c r="AK38" s="10">
        <f t="shared" si="33"/>
        <v>243</v>
      </c>
      <c r="AL38" s="14">
        <f t="shared" si="34"/>
        <v>6142</v>
      </c>
    </row>
    <row r="39" spans="1:38" s="4" customFormat="1" ht="12" x14ac:dyDescent="0.15">
      <c r="A39" s="15" t="s">
        <v>200</v>
      </c>
      <c r="B39" s="20" t="s">
        <v>196</v>
      </c>
      <c r="C39" s="7" t="s">
        <v>241</v>
      </c>
      <c r="D39" s="7">
        <v>36</v>
      </c>
      <c r="E39" s="7" t="s">
        <v>201</v>
      </c>
      <c r="F39" s="7"/>
      <c r="G39" s="21" t="s">
        <v>2</v>
      </c>
      <c r="H39" s="36">
        <v>26</v>
      </c>
      <c r="I39" s="35">
        <v>23</v>
      </c>
      <c r="J39" s="35">
        <v>0</v>
      </c>
      <c r="K39" s="40">
        <v>7546</v>
      </c>
      <c r="L39" s="40">
        <v>0</v>
      </c>
      <c r="M39" s="41">
        <v>0</v>
      </c>
      <c r="N39" s="40">
        <v>0</v>
      </c>
      <c r="O39" s="43">
        <f t="shared" si="18"/>
        <v>7546</v>
      </c>
      <c r="P39" s="7">
        <f t="shared" si="19"/>
        <v>6675</v>
      </c>
      <c r="Q39" s="7">
        <f t="shared" si="20"/>
        <v>0</v>
      </c>
      <c r="R39" s="7">
        <f t="shared" si="21"/>
        <v>0</v>
      </c>
      <c r="S39" s="7">
        <f t="shared" si="22"/>
        <v>0</v>
      </c>
      <c r="T39" s="7">
        <f t="shared" si="23"/>
        <v>0</v>
      </c>
      <c r="U39" s="7">
        <v>0</v>
      </c>
      <c r="V39" s="7">
        <v>0</v>
      </c>
      <c r="W39" s="26">
        <f t="shared" si="24"/>
        <v>6675</v>
      </c>
      <c r="X39" s="10">
        <f t="shared" si="25"/>
        <v>801</v>
      </c>
      <c r="Y39" s="10">
        <f t="shared" si="26"/>
        <v>117</v>
      </c>
      <c r="Z39" s="11">
        <f t="shared" si="27"/>
        <v>0</v>
      </c>
      <c r="AA39" s="12">
        <v>0</v>
      </c>
      <c r="AB39" s="12">
        <v>0</v>
      </c>
      <c r="AC39" s="27">
        <f t="shared" si="28"/>
        <v>918</v>
      </c>
      <c r="AD39" s="28">
        <f t="shared" si="29"/>
        <v>5757</v>
      </c>
      <c r="AE39" s="7"/>
      <c r="AF39" s="7"/>
      <c r="AG39" s="13">
        <f t="shared" ref="AG39:AG44" si="35">ROUND(($K39/12)/$H39*($I39),0)</f>
        <v>556</v>
      </c>
      <c r="AH39" s="10">
        <f t="shared" si="30"/>
        <v>6675</v>
      </c>
      <c r="AI39" s="10">
        <f t="shared" si="31"/>
        <v>892</v>
      </c>
      <c r="AJ39" s="10">
        <f t="shared" si="32"/>
        <v>6675</v>
      </c>
      <c r="AK39" s="10">
        <f t="shared" si="33"/>
        <v>318</v>
      </c>
      <c r="AL39" s="14">
        <f t="shared" si="34"/>
        <v>8441</v>
      </c>
    </row>
    <row r="40" spans="1:38" s="4" customFormat="1" ht="12" x14ac:dyDescent="0.15">
      <c r="A40" s="15" t="s">
        <v>204</v>
      </c>
      <c r="B40" s="20" t="s">
        <v>196</v>
      </c>
      <c r="C40" s="7" t="s">
        <v>242</v>
      </c>
      <c r="D40" s="7">
        <v>37</v>
      </c>
      <c r="E40" s="7" t="s">
        <v>205</v>
      </c>
      <c r="F40" s="7"/>
      <c r="G40" s="21" t="s">
        <v>2</v>
      </c>
      <c r="H40" s="36">
        <v>26</v>
      </c>
      <c r="I40" s="35">
        <v>25</v>
      </c>
      <c r="J40" s="35">
        <v>0</v>
      </c>
      <c r="K40" s="40">
        <v>7546</v>
      </c>
      <c r="L40" s="40">
        <v>0</v>
      </c>
      <c r="M40" s="41">
        <v>0</v>
      </c>
      <c r="N40" s="40">
        <v>0</v>
      </c>
      <c r="O40" s="43">
        <f t="shared" si="18"/>
        <v>7546</v>
      </c>
      <c r="P40" s="7">
        <f t="shared" si="19"/>
        <v>7256</v>
      </c>
      <c r="Q40" s="7">
        <f t="shared" si="20"/>
        <v>0</v>
      </c>
      <c r="R40" s="7">
        <f t="shared" si="21"/>
        <v>0</v>
      </c>
      <c r="S40" s="7">
        <f t="shared" si="22"/>
        <v>0</v>
      </c>
      <c r="T40" s="7">
        <f t="shared" si="23"/>
        <v>0</v>
      </c>
      <c r="U40" s="7">
        <v>0</v>
      </c>
      <c r="V40" s="7">
        <v>0</v>
      </c>
      <c r="W40" s="26">
        <f t="shared" si="24"/>
        <v>7256</v>
      </c>
      <c r="X40" s="10">
        <f t="shared" si="25"/>
        <v>871</v>
      </c>
      <c r="Y40" s="10">
        <f t="shared" si="26"/>
        <v>127</v>
      </c>
      <c r="Z40" s="11">
        <f t="shared" si="27"/>
        <v>0</v>
      </c>
      <c r="AA40" s="12">
        <v>0</v>
      </c>
      <c r="AB40" s="12">
        <v>0</v>
      </c>
      <c r="AC40" s="27">
        <f t="shared" si="28"/>
        <v>998</v>
      </c>
      <c r="AD40" s="28">
        <f t="shared" si="29"/>
        <v>6258</v>
      </c>
      <c r="AE40" s="7"/>
      <c r="AF40" s="7"/>
      <c r="AG40" s="13">
        <f t="shared" si="35"/>
        <v>605</v>
      </c>
      <c r="AH40" s="10">
        <f t="shared" si="30"/>
        <v>7256</v>
      </c>
      <c r="AI40" s="10">
        <f t="shared" si="31"/>
        <v>969</v>
      </c>
      <c r="AJ40" s="10">
        <f t="shared" si="32"/>
        <v>7256</v>
      </c>
      <c r="AK40" s="10">
        <f t="shared" si="33"/>
        <v>345</v>
      </c>
      <c r="AL40" s="14">
        <f t="shared" si="34"/>
        <v>9175</v>
      </c>
    </row>
    <row r="41" spans="1:38" s="4" customFormat="1" ht="12" x14ac:dyDescent="0.15">
      <c r="A41" s="15" t="s">
        <v>182</v>
      </c>
      <c r="B41" s="3" t="s">
        <v>178</v>
      </c>
      <c r="C41" s="7" t="s">
        <v>243</v>
      </c>
      <c r="D41" s="7">
        <v>38</v>
      </c>
      <c r="E41" s="7" t="s">
        <v>183</v>
      </c>
      <c r="F41" s="7"/>
      <c r="G41" s="21" t="s">
        <v>3</v>
      </c>
      <c r="H41" s="36">
        <v>26</v>
      </c>
      <c r="I41" s="35">
        <v>26</v>
      </c>
      <c r="J41" s="35">
        <v>0</v>
      </c>
      <c r="K41" s="40">
        <v>7546</v>
      </c>
      <c r="L41" s="40">
        <v>0</v>
      </c>
      <c r="M41" s="40">
        <v>1887</v>
      </c>
      <c r="N41" s="40">
        <v>0</v>
      </c>
      <c r="O41" s="43">
        <f t="shared" si="18"/>
        <v>9433</v>
      </c>
      <c r="P41" s="7">
        <f t="shared" si="19"/>
        <v>7546</v>
      </c>
      <c r="Q41" s="7">
        <f t="shared" si="20"/>
        <v>0</v>
      </c>
      <c r="R41" s="7">
        <f t="shared" si="21"/>
        <v>1887</v>
      </c>
      <c r="S41" s="7">
        <f t="shared" si="22"/>
        <v>0</v>
      </c>
      <c r="T41" s="7">
        <f t="shared" si="23"/>
        <v>0</v>
      </c>
      <c r="U41" s="7">
        <v>0</v>
      </c>
      <c r="V41" s="7">
        <v>0</v>
      </c>
      <c r="W41" s="26">
        <f t="shared" si="24"/>
        <v>9433</v>
      </c>
      <c r="X41" s="10">
        <f t="shared" si="25"/>
        <v>906</v>
      </c>
      <c r="Y41" s="10">
        <f t="shared" si="26"/>
        <v>166</v>
      </c>
      <c r="Z41" s="11">
        <f t="shared" si="27"/>
        <v>0</v>
      </c>
      <c r="AA41" s="12">
        <v>0</v>
      </c>
      <c r="AB41" s="12">
        <v>0</v>
      </c>
      <c r="AC41" s="27">
        <f t="shared" si="28"/>
        <v>1072</v>
      </c>
      <c r="AD41" s="28">
        <f t="shared" si="29"/>
        <v>8361</v>
      </c>
      <c r="AE41" s="7"/>
      <c r="AF41" s="7"/>
      <c r="AG41" s="13">
        <f t="shared" si="35"/>
        <v>629</v>
      </c>
      <c r="AH41" s="10">
        <f t="shared" si="30"/>
        <v>7546</v>
      </c>
      <c r="AI41" s="10">
        <f t="shared" si="31"/>
        <v>1008</v>
      </c>
      <c r="AJ41" s="10">
        <f t="shared" si="32"/>
        <v>9433</v>
      </c>
      <c r="AK41" s="10">
        <f t="shared" si="33"/>
        <v>449</v>
      </c>
      <c r="AL41" s="14">
        <f t="shared" si="34"/>
        <v>11519</v>
      </c>
    </row>
    <row r="42" spans="1:38" s="4" customFormat="1" ht="12" x14ac:dyDescent="0.15">
      <c r="A42" s="15" t="s">
        <v>187</v>
      </c>
      <c r="B42" s="3" t="s">
        <v>178</v>
      </c>
      <c r="C42" s="7" t="s">
        <v>246</v>
      </c>
      <c r="D42" s="7">
        <v>39</v>
      </c>
      <c r="E42" s="7" t="s">
        <v>188</v>
      </c>
      <c r="F42" s="7"/>
      <c r="G42" s="21" t="s">
        <v>2</v>
      </c>
      <c r="H42" s="36">
        <v>26</v>
      </c>
      <c r="I42" s="35">
        <v>25</v>
      </c>
      <c r="J42" s="35">
        <v>0</v>
      </c>
      <c r="K42" s="40">
        <v>7546</v>
      </c>
      <c r="L42" s="41">
        <v>0</v>
      </c>
      <c r="M42" s="40">
        <v>0</v>
      </c>
      <c r="N42" s="41">
        <v>0</v>
      </c>
      <c r="O42" s="43">
        <f t="shared" si="18"/>
        <v>7546</v>
      </c>
      <c r="P42" s="7">
        <f t="shared" si="19"/>
        <v>7256</v>
      </c>
      <c r="Q42" s="7">
        <f t="shared" si="20"/>
        <v>0</v>
      </c>
      <c r="R42" s="7">
        <f t="shared" si="21"/>
        <v>0</v>
      </c>
      <c r="S42" s="7">
        <f t="shared" si="22"/>
        <v>0</v>
      </c>
      <c r="T42" s="7">
        <f t="shared" si="23"/>
        <v>0</v>
      </c>
      <c r="U42" s="7">
        <v>0</v>
      </c>
      <c r="V42" s="7">
        <v>0</v>
      </c>
      <c r="W42" s="26">
        <f t="shared" si="24"/>
        <v>7256</v>
      </c>
      <c r="X42" s="10">
        <f t="shared" si="25"/>
        <v>871</v>
      </c>
      <c r="Y42" s="10">
        <f t="shared" si="26"/>
        <v>127</v>
      </c>
      <c r="Z42" s="11">
        <f t="shared" si="27"/>
        <v>0</v>
      </c>
      <c r="AA42" s="12">
        <v>0</v>
      </c>
      <c r="AB42" s="12">
        <v>0</v>
      </c>
      <c r="AC42" s="27">
        <f t="shared" si="28"/>
        <v>998</v>
      </c>
      <c r="AD42" s="28">
        <f t="shared" si="29"/>
        <v>6258</v>
      </c>
      <c r="AE42" s="7"/>
      <c r="AF42" s="7"/>
      <c r="AG42" s="13">
        <f t="shared" si="35"/>
        <v>605</v>
      </c>
      <c r="AH42" s="10">
        <f t="shared" si="30"/>
        <v>7256</v>
      </c>
      <c r="AI42" s="10">
        <f t="shared" si="31"/>
        <v>969</v>
      </c>
      <c r="AJ42" s="10">
        <f t="shared" si="32"/>
        <v>7256</v>
      </c>
      <c r="AK42" s="10">
        <f t="shared" si="33"/>
        <v>345</v>
      </c>
      <c r="AL42" s="14">
        <f t="shared" si="34"/>
        <v>9175</v>
      </c>
    </row>
    <row r="43" spans="1:38" s="4" customFormat="1" ht="24" x14ac:dyDescent="0.15">
      <c r="A43" s="15" t="s">
        <v>154</v>
      </c>
      <c r="B43" s="2" t="s">
        <v>139</v>
      </c>
      <c r="C43" s="7" t="s">
        <v>245</v>
      </c>
      <c r="D43" s="7">
        <v>40</v>
      </c>
      <c r="E43" s="7" t="s">
        <v>301</v>
      </c>
      <c r="F43" s="7"/>
      <c r="G43" s="21" t="s">
        <v>155</v>
      </c>
      <c r="H43" s="36">
        <v>26</v>
      </c>
      <c r="I43" s="35">
        <v>9</v>
      </c>
      <c r="J43" s="35">
        <v>0</v>
      </c>
      <c r="K43" s="40">
        <v>7546</v>
      </c>
      <c r="L43" s="40">
        <v>0</v>
      </c>
      <c r="M43" s="40">
        <v>0</v>
      </c>
      <c r="N43" s="40">
        <v>0</v>
      </c>
      <c r="O43" s="43">
        <f t="shared" si="18"/>
        <v>7546</v>
      </c>
      <c r="P43" s="7">
        <f t="shared" si="19"/>
        <v>2612</v>
      </c>
      <c r="Q43" s="7">
        <f t="shared" si="20"/>
        <v>0</v>
      </c>
      <c r="R43" s="7">
        <f t="shared" si="21"/>
        <v>0</v>
      </c>
      <c r="S43" s="7">
        <f t="shared" si="22"/>
        <v>0</v>
      </c>
      <c r="T43" s="7">
        <f t="shared" si="23"/>
        <v>0</v>
      </c>
      <c r="U43" s="7">
        <v>0</v>
      </c>
      <c r="V43" s="7">
        <v>0</v>
      </c>
      <c r="W43" s="26">
        <f t="shared" si="24"/>
        <v>2612</v>
      </c>
      <c r="X43" s="10">
        <f t="shared" si="25"/>
        <v>313</v>
      </c>
      <c r="Y43" s="10">
        <f t="shared" si="26"/>
        <v>46</v>
      </c>
      <c r="Z43" s="11">
        <f t="shared" si="27"/>
        <v>0</v>
      </c>
      <c r="AA43" s="12">
        <v>0</v>
      </c>
      <c r="AB43" s="12">
        <v>0</v>
      </c>
      <c r="AC43" s="27">
        <f t="shared" si="28"/>
        <v>359</v>
      </c>
      <c r="AD43" s="28">
        <f t="shared" si="29"/>
        <v>2253</v>
      </c>
      <c r="AE43" s="7"/>
      <c r="AF43" s="7"/>
      <c r="AG43" s="13">
        <f t="shared" si="35"/>
        <v>218</v>
      </c>
      <c r="AH43" s="10">
        <f t="shared" si="30"/>
        <v>2612</v>
      </c>
      <c r="AI43" s="10">
        <f t="shared" si="31"/>
        <v>349</v>
      </c>
      <c r="AJ43" s="10">
        <f t="shared" si="32"/>
        <v>2612</v>
      </c>
      <c r="AK43" s="10">
        <f t="shared" si="33"/>
        <v>125</v>
      </c>
      <c r="AL43" s="14">
        <f t="shared" si="34"/>
        <v>3304</v>
      </c>
    </row>
    <row r="44" spans="1:38" s="4" customFormat="1" ht="12" x14ac:dyDescent="0.15">
      <c r="A44" s="15" t="s">
        <v>143</v>
      </c>
      <c r="B44" s="2" t="s">
        <v>139</v>
      </c>
      <c r="C44" s="7" t="s">
        <v>247</v>
      </c>
      <c r="D44" s="7">
        <v>41</v>
      </c>
      <c r="E44" s="7" t="s">
        <v>144</v>
      </c>
      <c r="F44" s="7"/>
      <c r="G44" s="20" t="s">
        <v>2</v>
      </c>
      <c r="H44" s="36">
        <v>26</v>
      </c>
      <c r="I44" s="35">
        <v>25</v>
      </c>
      <c r="J44" s="35">
        <v>0</v>
      </c>
      <c r="K44" s="40">
        <v>7546</v>
      </c>
      <c r="L44" s="40">
        <v>0</v>
      </c>
      <c r="M44" s="40">
        <v>0</v>
      </c>
      <c r="N44" s="40">
        <v>0</v>
      </c>
      <c r="O44" s="43">
        <f t="shared" si="18"/>
        <v>7546</v>
      </c>
      <c r="P44" s="7">
        <f t="shared" si="19"/>
        <v>7256</v>
      </c>
      <c r="Q44" s="7">
        <f t="shared" si="20"/>
        <v>0</v>
      </c>
      <c r="R44" s="7">
        <f t="shared" si="21"/>
        <v>0</v>
      </c>
      <c r="S44" s="7">
        <f t="shared" si="22"/>
        <v>0</v>
      </c>
      <c r="T44" s="7">
        <f t="shared" si="23"/>
        <v>0</v>
      </c>
      <c r="U44" s="7">
        <v>0</v>
      </c>
      <c r="V44" s="7">
        <v>0</v>
      </c>
      <c r="W44" s="26">
        <f t="shared" si="24"/>
        <v>7256</v>
      </c>
      <c r="X44" s="10">
        <f t="shared" si="25"/>
        <v>871</v>
      </c>
      <c r="Y44" s="10">
        <f t="shared" si="26"/>
        <v>127</v>
      </c>
      <c r="Z44" s="11">
        <f t="shared" si="27"/>
        <v>0</v>
      </c>
      <c r="AA44" s="12">
        <v>1000</v>
      </c>
      <c r="AB44" s="12">
        <v>0</v>
      </c>
      <c r="AC44" s="27">
        <f t="shared" si="28"/>
        <v>1998</v>
      </c>
      <c r="AD44" s="28">
        <f t="shared" si="29"/>
        <v>5258</v>
      </c>
      <c r="AE44" s="7"/>
      <c r="AF44" s="7"/>
      <c r="AG44" s="13">
        <f t="shared" si="35"/>
        <v>605</v>
      </c>
      <c r="AH44" s="10">
        <f t="shared" si="30"/>
        <v>7256</v>
      </c>
      <c r="AI44" s="10">
        <f t="shared" si="31"/>
        <v>969</v>
      </c>
      <c r="AJ44" s="10">
        <f t="shared" si="32"/>
        <v>7256</v>
      </c>
      <c r="AK44" s="10">
        <f t="shared" si="33"/>
        <v>345</v>
      </c>
      <c r="AL44" s="14">
        <f t="shared" si="34"/>
        <v>9175</v>
      </c>
    </row>
    <row r="45" spans="1:38" s="4" customFormat="1" ht="12" x14ac:dyDescent="0.15">
      <c r="A45" s="15" t="s">
        <v>130</v>
      </c>
      <c r="B45" s="20" t="s">
        <v>24</v>
      </c>
      <c r="C45" s="7" t="s">
        <v>250</v>
      </c>
      <c r="D45" s="7">
        <v>42</v>
      </c>
      <c r="E45" s="7" t="s">
        <v>302</v>
      </c>
      <c r="F45" s="7"/>
      <c r="G45" s="21" t="s">
        <v>3</v>
      </c>
      <c r="H45" s="30">
        <v>30</v>
      </c>
      <c r="I45" s="35">
        <v>21</v>
      </c>
      <c r="J45" s="16">
        <v>0</v>
      </c>
      <c r="K45" s="40">
        <v>4528</v>
      </c>
      <c r="L45" s="40">
        <v>0</v>
      </c>
      <c r="M45" s="41">
        <v>3018</v>
      </c>
      <c r="N45" s="40">
        <v>0</v>
      </c>
      <c r="O45" s="43">
        <f t="shared" si="18"/>
        <v>7546</v>
      </c>
      <c r="P45" s="7">
        <f t="shared" si="19"/>
        <v>3170</v>
      </c>
      <c r="Q45" s="7">
        <f t="shared" si="20"/>
        <v>0</v>
      </c>
      <c r="R45" s="7">
        <f t="shared" si="21"/>
        <v>2113</v>
      </c>
      <c r="S45" s="7">
        <f t="shared" si="22"/>
        <v>0</v>
      </c>
      <c r="T45" s="7">
        <f t="shared" si="23"/>
        <v>0</v>
      </c>
      <c r="U45" s="7">
        <v>0</v>
      </c>
      <c r="V45" s="7">
        <v>0</v>
      </c>
      <c r="W45" s="26">
        <f t="shared" si="24"/>
        <v>5283</v>
      </c>
      <c r="X45" s="10">
        <f t="shared" si="25"/>
        <v>380</v>
      </c>
      <c r="Y45" s="10">
        <f t="shared" si="26"/>
        <v>93</v>
      </c>
      <c r="Z45" s="11">
        <f t="shared" si="27"/>
        <v>0</v>
      </c>
      <c r="AA45" s="12">
        <v>0</v>
      </c>
      <c r="AB45" s="12">
        <v>0</v>
      </c>
      <c r="AC45" s="27">
        <f t="shared" si="28"/>
        <v>473</v>
      </c>
      <c r="AD45" s="28">
        <f t="shared" si="29"/>
        <v>4810</v>
      </c>
      <c r="AE45" s="7"/>
      <c r="AF45" s="7"/>
      <c r="AG45" s="13">
        <f>ROUND(($O45/12)/$H45*($I45),0)</f>
        <v>440</v>
      </c>
      <c r="AH45" s="10">
        <f t="shared" si="30"/>
        <v>3170</v>
      </c>
      <c r="AI45" s="10">
        <f t="shared" si="31"/>
        <v>424</v>
      </c>
      <c r="AJ45" s="10">
        <f t="shared" si="32"/>
        <v>5282</v>
      </c>
      <c r="AK45" s="10">
        <f t="shared" si="33"/>
        <v>251</v>
      </c>
      <c r="AL45" s="14">
        <f t="shared" si="34"/>
        <v>6398</v>
      </c>
    </row>
    <row r="46" spans="1:38" s="4" customFormat="1" ht="12" x14ac:dyDescent="0.15">
      <c r="A46" s="15" t="s">
        <v>113</v>
      </c>
      <c r="B46" s="3" t="s">
        <v>18</v>
      </c>
      <c r="C46" s="7" t="s">
        <v>251</v>
      </c>
      <c r="D46" s="7">
        <v>43</v>
      </c>
      <c r="E46" s="7" t="s">
        <v>317</v>
      </c>
      <c r="F46" s="7"/>
      <c r="G46" s="21" t="s">
        <v>2</v>
      </c>
      <c r="H46" s="30">
        <v>26</v>
      </c>
      <c r="I46" s="35">
        <v>24</v>
      </c>
      <c r="J46" s="16">
        <v>0</v>
      </c>
      <c r="K46" s="40">
        <v>7400</v>
      </c>
      <c r="L46" s="41">
        <v>0</v>
      </c>
      <c r="M46" s="40">
        <v>176</v>
      </c>
      <c r="N46" s="41">
        <v>0</v>
      </c>
      <c r="O46" s="43">
        <f t="shared" si="18"/>
        <v>7576</v>
      </c>
      <c r="P46" s="7">
        <f t="shared" si="19"/>
        <v>6831</v>
      </c>
      <c r="Q46" s="7">
        <f t="shared" si="20"/>
        <v>0</v>
      </c>
      <c r="R46" s="7">
        <f t="shared" si="21"/>
        <v>162</v>
      </c>
      <c r="S46" s="7">
        <f t="shared" si="22"/>
        <v>0</v>
      </c>
      <c r="T46" s="7">
        <f t="shared" si="23"/>
        <v>0</v>
      </c>
      <c r="U46" s="7">
        <v>0</v>
      </c>
      <c r="V46" s="7">
        <v>0</v>
      </c>
      <c r="W46" s="26">
        <f t="shared" si="24"/>
        <v>6993</v>
      </c>
      <c r="X46" s="10">
        <f t="shared" si="25"/>
        <v>820</v>
      </c>
      <c r="Y46" s="10">
        <f t="shared" si="26"/>
        <v>123</v>
      </c>
      <c r="Z46" s="11">
        <f t="shared" si="27"/>
        <v>0</v>
      </c>
      <c r="AA46" s="12">
        <v>0</v>
      </c>
      <c r="AB46" s="12">
        <v>0</v>
      </c>
      <c r="AC46" s="27">
        <f t="shared" si="28"/>
        <v>943</v>
      </c>
      <c r="AD46" s="28">
        <f t="shared" si="29"/>
        <v>6050</v>
      </c>
      <c r="AE46" s="7"/>
      <c r="AF46" s="7"/>
      <c r="AG46" s="13">
        <f>ROUND(($O46/12)/$H46*($I46),0)</f>
        <v>583</v>
      </c>
      <c r="AH46" s="10">
        <f t="shared" si="30"/>
        <v>6831</v>
      </c>
      <c r="AI46" s="10">
        <f t="shared" si="31"/>
        <v>913</v>
      </c>
      <c r="AJ46" s="10">
        <f t="shared" si="32"/>
        <v>6993</v>
      </c>
      <c r="AK46" s="10">
        <f t="shared" si="33"/>
        <v>333</v>
      </c>
      <c r="AL46" s="14">
        <f t="shared" si="34"/>
        <v>8822</v>
      </c>
    </row>
    <row r="47" spans="1:38" s="4" customFormat="1" ht="12" x14ac:dyDescent="0.15">
      <c r="A47" s="15" t="s">
        <v>164</v>
      </c>
      <c r="B47" s="2" t="s">
        <v>165</v>
      </c>
      <c r="C47" s="7" t="s">
        <v>252</v>
      </c>
      <c r="D47" s="7">
        <v>44</v>
      </c>
      <c r="E47" s="7" t="s">
        <v>166</v>
      </c>
      <c r="F47" s="7"/>
      <c r="G47" s="21" t="s">
        <v>3</v>
      </c>
      <c r="H47" s="36">
        <v>26</v>
      </c>
      <c r="I47" s="35">
        <v>26</v>
      </c>
      <c r="J47" s="35">
        <v>0</v>
      </c>
      <c r="K47" s="40">
        <v>7546</v>
      </c>
      <c r="L47" s="40">
        <v>0</v>
      </c>
      <c r="M47" s="40">
        <v>1887</v>
      </c>
      <c r="N47" s="40">
        <v>0</v>
      </c>
      <c r="O47" s="43">
        <f t="shared" si="18"/>
        <v>9433</v>
      </c>
      <c r="P47" s="7">
        <f t="shared" si="19"/>
        <v>7546</v>
      </c>
      <c r="Q47" s="7">
        <f t="shared" si="20"/>
        <v>0</v>
      </c>
      <c r="R47" s="7">
        <f t="shared" si="21"/>
        <v>1887</v>
      </c>
      <c r="S47" s="7">
        <f t="shared" si="22"/>
        <v>0</v>
      </c>
      <c r="T47" s="7">
        <f t="shared" si="23"/>
        <v>0</v>
      </c>
      <c r="U47" s="7">
        <v>0</v>
      </c>
      <c r="V47" s="7">
        <v>0</v>
      </c>
      <c r="W47" s="26">
        <f t="shared" si="24"/>
        <v>9433</v>
      </c>
      <c r="X47" s="10">
        <f t="shared" si="25"/>
        <v>906</v>
      </c>
      <c r="Y47" s="10">
        <f t="shared" si="26"/>
        <v>166</v>
      </c>
      <c r="Z47" s="11">
        <f t="shared" si="27"/>
        <v>0</v>
      </c>
      <c r="AA47" s="12">
        <v>3000</v>
      </c>
      <c r="AB47" s="12">
        <v>0</v>
      </c>
      <c r="AC47" s="27">
        <f t="shared" si="28"/>
        <v>4072</v>
      </c>
      <c r="AD47" s="28">
        <f t="shared" si="29"/>
        <v>5361</v>
      </c>
      <c r="AE47" s="7"/>
      <c r="AF47" s="7"/>
      <c r="AG47" s="13">
        <f>ROUND(($K47/12)/$H47*($I47),0)</f>
        <v>629</v>
      </c>
      <c r="AH47" s="10">
        <f t="shared" si="30"/>
        <v>7546</v>
      </c>
      <c r="AI47" s="10">
        <f t="shared" si="31"/>
        <v>1008</v>
      </c>
      <c r="AJ47" s="10">
        <f t="shared" si="32"/>
        <v>9433</v>
      </c>
      <c r="AK47" s="10">
        <f t="shared" si="33"/>
        <v>449</v>
      </c>
      <c r="AL47" s="14">
        <f t="shared" si="34"/>
        <v>11519</v>
      </c>
    </row>
    <row r="48" spans="1:38" s="4" customFormat="1" ht="12" x14ac:dyDescent="0.15">
      <c r="A48" s="15" t="s">
        <v>107</v>
      </c>
      <c r="B48" s="3" t="s">
        <v>17</v>
      </c>
      <c r="C48" s="7" t="s">
        <v>253</v>
      </c>
      <c r="D48" s="7">
        <v>45</v>
      </c>
      <c r="E48" s="7" t="s">
        <v>303</v>
      </c>
      <c r="F48" s="7"/>
      <c r="G48" s="21" t="s">
        <v>2</v>
      </c>
      <c r="H48" s="30">
        <v>26</v>
      </c>
      <c r="I48" s="35">
        <v>26</v>
      </c>
      <c r="J48" s="16">
        <v>0</v>
      </c>
      <c r="K48" s="40">
        <v>7400</v>
      </c>
      <c r="L48" s="41">
        <v>0</v>
      </c>
      <c r="M48" s="40">
        <v>176</v>
      </c>
      <c r="N48" s="41">
        <v>0</v>
      </c>
      <c r="O48" s="43">
        <f t="shared" si="18"/>
        <v>7576</v>
      </c>
      <c r="P48" s="7">
        <f t="shared" si="19"/>
        <v>7400</v>
      </c>
      <c r="Q48" s="7">
        <f t="shared" si="20"/>
        <v>0</v>
      </c>
      <c r="R48" s="7">
        <f t="shared" si="21"/>
        <v>176</v>
      </c>
      <c r="S48" s="7">
        <f t="shared" si="22"/>
        <v>0</v>
      </c>
      <c r="T48" s="7">
        <f t="shared" si="23"/>
        <v>0</v>
      </c>
      <c r="U48" s="7">
        <v>0</v>
      </c>
      <c r="V48" s="7">
        <v>0</v>
      </c>
      <c r="W48" s="26">
        <f t="shared" si="24"/>
        <v>7576</v>
      </c>
      <c r="X48" s="10">
        <f t="shared" si="25"/>
        <v>888</v>
      </c>
      <c r="Y48" s="10">
        <f t="shared" si="26"/>
        <v>133</v>
      </c>
      <c r="Z48" s="11">
        <f t="shared" si="27"/>
        <v>0</v>
      </c>
      <c r="AA48" s="12">
        <v>0</v>
      </c>
      <c r="AB48" s="12">
        <v>0</v>
      </c>
      <c r="AC48" s="27">
        <f t="shared" si="28"/>
        <v>1021</v>
      </c>
      <c r="AD48" s="28">
        <f t="shared" si="29"/>
        <v>6555</v>
      </c>
      <c r="AE48" s="7"/>
      <c r="AF48" s="7"/>
      <c r="AG48" s="13">
        <f>ROUND(($O48/12)/$H48*($I48),0)</f>
        <v>631</v>
      </c>
      <c r="AH48" s="10">
        <f t="shared" si="30"/>
        <v>7400</v>
      </c>
      <c r="AI48" s="10">
        <f t="shared" si="31"/>
        <v>989</v>
      </c>
      <c r="AJ48" s="10">
        <f t="shared" si="32"/>
        <v>7576</v>
      </c>
      <c r="AK48" s="10">
        <f t="shared" si="33"/>
        <v>360</v>
      </c>
      <c r="AL48" s="14">
        <f t="shared" si="34"/>
        <v>9556</v>
      </c>
    </row>
    <row r="49" spans="1:38" s="4" customFormat="1" ht="12" x14ac:dyDescent="0.15">
      <c r="A49" s="15" t="s">
        <v>141</v>
      </c>
      <c r="B49" s="2" t="s">
        <v>139</v>
      </c>
      <c r="C49" s="7" t="s">
        <v>254</v>
      </c>
      <c r="D49" s="7">
        <v>46</v>
      </c>
      <c r="E49" s="7" t="s">
        <v>142</v>
      </c>
      <c r="F49" s="7"/>
      <c r="G49" s="20" t="s">
        <v>2</v>
      </c>
      <c r="H49" s="36">
        <v>26</v>
      </c>
      <c r="I49" s="35">
        <v>26</v>
      </c>
      <c r="J49" s="35">
        <v>0</v>
      </c>
      <c r="K49" s="40">
        <v>7546</v>
      </c>
      <c r="L49" s="40">
        <v>0</v>
      </c>
      <c r="M49" s="40">
        <v>0</v>
      </c>
      <c r="N49" s="40">
        <v>0</v>
      </c>
      <c r="O49" s="43">
        <f t="shared" si="18"/>
        <v>7546</v>
      </c>
      <c r="P49" s="7">
        <f t="shared" si="19"/>
        <v>7546</v>
      </c>
      <c r="Q49" s="7">
        <f t="shared" si="20"/>
        <v>0</v>
      </c>
      <c r="R49" s="7">
        <f t="shared" si="21"/>
        <v>0</v>
      </c>
      <c r="S49" s="7">
        <f t="shared" si="22"/>
        <v>0</v>
      </c>
      <c r="T49" s="7">
        <f t="shared" si="23"/>
        <v>0</v>
      </c>
      <c r="U49" s="7">
        <v>0</v>
      </c>
      <c r="V49" s="7">
        <v>0</v>
      </c>
      <c r="W49" s="26">
        <f t="shared" si="24"/>
        <v>7546</v>
      </c>
      <c r="X49" s="10">
        <f t="shared" si="25"/>
        <v>906</v>
      </c>
      <c r="Y49" s="10">
        <f t="shared" si="26"/>
        <v>133</v>
      </c>
      <c r="Z49" s="11">
        <f t="shared" si="27"/>
        <v>0</v>
      </c>
      <c r="AA49" s="12">
        <v>500</v>
      </c>
      <c r="AB49" s="12">
        <v>0</v>
      </c>
      <c r="AC49" s="27">
        <f t="shared" si="28"/>
        <v>1539</v>
      </c>
      <c r="AD49" s="28">
        <f t="shared" si="29"/>
        <v>6007</v>
      </c>
      <c r="AE49" s="7"/>
      <c r="AF49" s="7"/>
      <c r="AG49" s="13">
        <f>ROUND(($K49/12)/$H49*($I49),0)</f>
        <v>629</v>
      </c>
      <c r="AH49" s="10">
        <f t="shared" si="30"/>
        <v>7546</v>
      </c>
      <c r="AI49" s="10">
        <f t="shared" si="31"/>
        <v>1008</v>
      </c>
      <c r="AJ49" s="10">
        <f t="shared" si="32"/>
        <v>7546</v>
      </c>
      <c r="AK49" s="10">
        <f t="shared" si="33"/>
        <v>359</v>
      </c>
      <c r="AL49" s="14">
        <f t="shared" si="34"/>
        <v>9542</v>
      </c>
    </row>
    <row r="50" spans="1:38" s="4" customFormat="1" ht="12" x14ac:dyDescent="0.15">
      <c r="A50" s="15" t="s">
        <v>84</v>
      </c>
      <c r="B50" s="2" t="s">
        <v>10</v>
      </c>
      <c r="C50" s="7" t="s">
        <v>248</v>
      </c>
      <c r="D50" s="7">
        <v>47</v>
      </c>
      <c r="E50" s="7" t="s">
        <v>304</v>
      </c>
      <c r="F50" s="7"/>
      <c r="G50" s="21" t="s">
        <v>3</v>
      </c>
      <c r="H50" s="30">
        <v>26</v>
      </c>
      <c r="I50" s="35">
        <v>31</v>
      </c>
      <c r="J50" s="16">
        <v>0</v>
      </c>
      <c r="K50" s="40">
        <v>5509</v>
      </c>
      <c r="L50" s="40">
        <v>0</v>
      </c>
      <c r="M50" s="40">
        <v>2361</v>
      </c>
      <c r="N50" s="40">
        <v>0</v>
      </c>
      <c r="O50" s="43">
        <f t="shared" si="18"/>
        <v>7870</v>
      </c>
      <c r="P50" s="7">
        <f t="shared" si="19"/>
        <v>6568</v>
      </c>
      <c r="Q50" s="7">
        <f t="shared" si="20"/>
        <v>0</v>
      </c>
      <c r="R50" s="7">
        <f t="shared" si="21"/>
        <v>2815</v>
      </c>
      <c r="S50" s="7">
        <f t="shared" si="22"/>
        <v>0</v>
      </c>
      <c r="T50" s="7">
        <f t="shared" si="23"/>
        <v>0</v>
      </c>
      <c r="U50" s="7">
        <v>0</v>
      </c>
      <c r="V50" s="7">
        <v>0</v>
      </c>
      <c r="W50" s="26">
        <f t="shared" si="24"/>
        <v>9383</v>
      </c>
      <c r="X50" s="10">
        <f t="shared" si="25"/>
        <v>788</v>
      </c>
      <c r="Y50" s="10">
        <f t="shared" si="26"/>
        <v>165</v>
      </c>
      <c r="Z50" s="11">
        <f t="shared" si="27"/>
        <v>0</v>
      </c>
      <c r="AA50" s="12">
        <v>0</v>
      </c>
      <c r="AB50" s="12">
        <v>0</v>
      </c>
      <c r="AC50" s="27">
        <f t="shared" si="28"/>
        <v>953</v>
      </c>
      <c r="AD50" s="28">
        <f t="shared" si="29"/>
        <v>8430</v>
      </c>
      <c r="AE50" s="7"/>
      <c r="AF50" s="7"/>
      <c r="AG50" s="13">
        <f>ROUND(($O50/12)/$H50*($I50),0)</f>
        <v>782</v>
      </c>
      <c r="AH50" s="10">
        <f t="shared" si="30"/>
        <v>6568</v>
      </c>
      <c r="AI50" s="10">
        <f t="shared" si="31"/>
        <v>877</v>
      </c>
      <c r="AJ50" s="10">
        <f t="shared" si="32"/>
        <v>9383</v>
      </c>
      <c r="AK50" s="10">
        <f t="shared" si="33"/>
        <v>446</v>
      </c>
      <c r="AL50" s="14">
        <f t="shared" si="34"/>
        <v>11488</v>
      </c>
    </row>
    <row r="51" spans="1:38" s="4" customFormat="1" ht="12" x14ac:dyDescent="0.15">
      <c r="A51" s="15" t="s">
        <v>168</v>
      </c>
      <c r="B51" s="2" t="s">
        <v>165</v>
      </c>
      <c r="C51" s="7" t="s">
        <v>249</v>
      </c>
      <c r="D51" s="7">
        <v>48</v>
      </c>
      <c r="E51" s="7" t="s">
        <v>305</v>
      </c>
      <c r="F51" s="7"/>
      <c r="G51" s="21" t="s">
        <v>3</v>
      </c>
      <c r="H51" s="36">
        <v>26</v>
      </c>
      <c r="I51" s="35">
        <v>25</v>
      </c>
      <c r="J51" s="35">
        <v>0</v>
      </c>
      <c r="K51" s="40">
        <v>7546</v>
      </c>
      <c r="L51" s="40">
        <v>0</v>
      </c>
      <c r="M51" s="40">
        <v>1887</v>
      </c>
      <c r="N51" s="40">
        <v>0</v>
      </c>
      <c r="O51" s="43">
        <f t="shared" si="18"/>
        <v>9433</v>
      </c>
      <c r="P51" s="7">
        <f t="shared" si="19"/>
        <v>7256</v>
      </c>
      <c r="Q51" s="7">
        <f t="shared" si="20"/>
        <v>0</v>
      </c>
      <c r="R51" s="7">
        <f t="shared" si="21"/>
        <v>1814</v>
      </c>
      <c r="S51" s="7">
        <f t="shared" si="22"/>
        <v>0</v>
      </c>
      <c r="T51" s="7">
        <f t="shared" si="23"/>
        <v>0</v>
      </c>
      <c r="U51" s="7">
        <v>0</v>
      </c>
      <c r="V51" s="7">
        <v>0</v>
      </c>
      <c r="W51" s="26">
        <f t="shared" si="24"/>
        <v>9070</v>
      </c>
      <c r="X51" s="10">
        <f t="shared" si="25"/>
        <v>871</v>
      </c>
      <c r="Y51" s="10">
        <f t="shared" si="26"/>
        <v>159</v>
      </c>
      <c r="Z51" s="11">
        <f t="shared" si="27"/>
        <v>0</v>
      </c>
      <c r="AA51" s="12">
        <v>0</v>
      </c>
      <c r="AB51" s="12">
        <v>0</v>
      </c>
      <c r="AC51" s="27">
        <f t="shared" si="28"/>
        <v>1030</v>
      </c>
      <c r="AD51" s="28">
        <f t="shared" si="29"/>
        <v>8040</v>
      </c>
      <c r="AE51" s="7"/>
      <c r="AF51" s="7"/>
      <c r="AG51" s="13">
        <f>ROUND(($K51/12)/$H51*($I51),0)</f>
        <v>605</v>
      </c>
      <c r="AH51" s="10">
        <f t="shared" si="30"/>
        <v>7256</v>
      </c>
      <c r="AI51" s="10">
        <f t="shared" si="31"/>
        <v>969</v>
      </c>
      <c r="AJ51" s="10">
        <f t="shared" si="32"/>
        <v>9070</v>
      </c>
      <c r="AK51" s="10">
        <f t="shared" si="33"/>
        <v>431</v>
      </c>
      <c r="AL51" s="14">
        <f t="shared" si="34"/>
        <v>11075</v>
      </c>
    </row>
    <row r="52" spans="1:38" s="4" customFormat="1" ht="12" x14ac:dyDescent="0.15">
      <c r="A52" s="15" t="s">
        <v>194</v>
      </c>
      <c r="B52" s="3" t="s">
        <v>190</v>
      </c>
      <c r="C52" s="45" t="s">
        <v>319</v>
      </c>
      <c r="D52" s="7">
        <v>49</v>
      </c>
      <c r="E52" s="44" t="s">
        <v>195</v>
      </c>
      <c r="F52" s="7"/>
      <c r="G52" s="21" t="s">
        <v>3</v>
      </c>
      <c r="H52" s="36">
        <v>26</v>
      </c>
      <c r="I52" s="35">
        <v>3</v>
      </c>
      <c r="J52" s="35">
        <v>0</v>
      </c>
      <c r="K52" s="40">
        <v>7546</v>
      </c>
      <c r="L52" s="41">
        <v>0</v>
      </c>
      <c r="M52" s="40">
        <v>1887</v>
      </c>
      <c r="N52" s="41">
        <v>0</v>
      </c>
      <c r="O52" s="43">
        <f t="shared" si="18"/>
        <v>9433</v>
      </c>
      <c r="P52" s="7">
        <f t="shared" si="19"/>
        <v>871</v>
      </c>
      <c r="Q52" s="7">
        <f t="shared" si="20"/>
        <v>0</v>
      </c>
      <c r="R52" s="7">
        <f t="shared" si="21"/>
        <v>218</v>
      </c>
      <c r="S52" s="7">
        <f t="shared" si="22"/>
        <v>0</v>
      </c>
      <c r="T52" s="7">
        <f t="shared" si="23"/>
        <v>0</v>
      </c>
      <c r="U52" s="7">
        <v>0</v>
      </c>
      <c r="V52" s="7">
        <v>0</v>
      </c>
      <c r="W52" s="26">
        <f t="shared" si="24"/>
        <v>1089</v>
      </c>
      <c r="X52" s="10">
        <f t="shared" si="25"/>
        <v>105</v>
      </c>
      <c r="Y52" s="10">
        <f t="shared" si="26"/>
        <v>20</v>
      </c>
      <c r="Z52" s="11">
        <f t="shared" si="27"/>
        <v>0</v>
      </c>
      <c r="AA52" s="12">
        <v>0</v>
      </c>
      <c r="AB52" s="12">
        <v>0</v>
      </c>
      <c r="AC52" s="27">
        <f t="shared" si="28"/>
        <v>125</v>
      </c>
      <c r="AD52" s="28">
        <f t="shared" si="29"/>
        <v>964</v>
      </c>
      <c r="AE52" s="7"/>
      <c r="AF52" s="7"/>
      <c r="AG52" s="13">
        <f>ROUND(($K52/12)/$H52*($I52),0)</f>
        <v>73</v>
      </c>
      <c r="AH52" s="10">
        <f t="shared" si="30"/>
        <v>871</v>
      </c>
      <c r="AI52" s="10">
        <f t="shared" si="31"/>
        <v>116</v>
      </c>
      <c r="AJ52" s="10">
        <f t="shared" si="32"/>
        <v>1088</v>
      </c>
      <c r="AK52" s="10">
        <f t="shared" si="33"/>
        <v>52</v>
      </c>
      <c r="AL52" s="14">
        <f t="shared" si="34"/>
        <v>1330</v>
      </c>
    </row>
    <row r="53" spans="1:38" s="4" customFormat="1" ht="12" x14ac:dyDescent="0.15">
      <c r="A53" s="15" t="s">
        <v>77</v>
      </c>
      <c r="B53" s="2" t="s">
        <v>8</v>
      </c>
      <c r="C53" s="7" t="s">
        <v>255</v>
      </c>
      <c r="D53" s="7">
        <v>50</v>
      </c>
      <c r="E53" s="7" t="s">
        <v>306</v>
      </c>
      <c r="F53" s="7"/>
      <c r="G53" s="21" t="s">
        <v>2</v>
      </c>
      <c r="H53" s="30">
        <v>26</v>
      </c>
      <c r="I53" s="35">
        <v>26</v>
      </c>
      <c r="J53" s="16">
        <v>0</v>
      </c>
      <c r="K53" s="40">
        <v>5509</v>
      </c>
      <c r="L53" s="40">
        <v>0</v>
      </c>
      <c r="M53" s="40">
        <v>2361</v>
      </c>
      <c r="N53" s="40">
        <v>0</v>
      </c>
      <c r="O53" s="43">
        <f t="shared" si="18"/>
        <v>7870</v>
      </c>
      <c r="P53" s="7">
        <f t="shared" si="19"/>
        <v>5509</v>
      </c>
      <c r="Q53" s="7">
        <f t="shared" si="20"/>
        <v>0</v>
      </c>
      <c r="R53" s="7">
        <f t="shared" si="21"/>
        <v>2361</v>
      </c>
      <c r="S53" s="7">
        <f t="shared" si="22"/>
        <v>0</v>
      </c>
      <c r="T53" s="7">
        <f t="shared" si="23"/>
        <v>0</v>
      </c>
      <c r="U53" s="7">
        <v>0</v>
      </c>
      <c r="V53" s="7">
        <v>0</v>
      </c>
      <c r="W53" s="26">
        <f t="shared" si="24"/>
        <v>7870</v>
      </c>
      <c r="X53" s="10">
        <f t="shared" si="25"/>
        <v>661</v>
      </c>
      <c r="Y53" s="10">
        <f t="shared" si="26"/>
        <v>138</v>
      </c>
      <c r="Z53" s="11">
        <f t="shared" si="27"/>
        <v>0</v>
      </c>
      <c r="AA53" s="12">
        <v>0</v>
      </c>
      <c r="AB53" s="12">
        <v>0</v>
      </c>
      <c r="AC53" s="27">
        <f t="shared" si="28"/>
        <v>799</v>
      </c>
      <c r="AD53" s="28">
        <f t="shared" si="29"/>
        <v>7071</v>
      </c>
      <c r="AE53" s="7"/>
      <c r="AF53" s="7"/>
      <c r="AG53" s="13">
        <f>ROUND(($O53/12)/$H53*($I53),0)</f>
        <v>656</v>
      </c>
      <c r="AH53" s="10">
        <f t="shared" si="30"/>
        <v>5509</v>
      </c>
      <c r="AI53" s="10">
        <f t="shared" si="31"/>
        <v>736</v>
      </c>
      <c r="AJ53" s="10">
        <f t="shared" si="32"/>
        <v>7870</v>
      </c>
      <c r="AK53" s="10">
        <f t="shared" si="33"/>
        <v>374</v>
      </c>
      <c r="AL53" s="14">
        <f t="shared" si="34"/>
        <v>9636</v>
      </c>
    </row>
    <row r="54" spans="1:38" s="4" customFormat="1" ht="12" x14ac:dyDescent="0.15">
      <c r="A54" s="15" t="s">
        <v>64</v>
      </c>
      <c r="B54" s="2" t="s">
        <v>4</v>
      </c>
      <c r="C54" s="7" t="s">
        <v>256</v>
      </c>
      <c r="D54" s="7">
        <v>51</v>
      </c>
      <c r="E54" s="7" t="s">
        <v>49</v>
      </c>
      <c r="F54" s="7"/>
      <c r="G54" s="20" t="s">
        <v>2</v>
      </c>
      <c r="H54" s="36">
        <v>26</v>
      </c>
      <c r="I54" s="35">
        <v>23</v>
      </c>
      <c r="J54" s="16">
        <v>0</v>
      </c>
      <c r="K54" s="40">
        <v>5509</v>
      </c>
      <c r="L54" s="40">
        <v>0</v>
      </c>
      <c r="M54" s="40">
        <v>2361</v>
      </c>
      <c r="N54" s="40">
        <v>0</v>
      </c>
      <c r="O54" s="43">
        <f t="shared" si="18"/>
        <v>7870</v>
      </c>
      <c r="P54" s="7">
        <f t="shared" si="19"/>
        <v>4873</v>
      </c>
      <c r="Q54" s="7">
        <f t="shared" si="20"/>
        <v>0</v>
      </c>
      <c r="R54" s="7">
        <f t="shared" si="21"/>
        <v>2089</v>
      </c>
      <c r="S54" s="7">
        <f t="shared" si="22"/>
        <v>0</v>
      </c>
      <c r="T54" s="7">
        <f t="shared" si="23"/>
        <v>0</v>
      </c>
      <c r="U54" s="7">
        <v>0</v>
      </c>
      <c r="V54" s="7">
        <v>0</v>
      </c>
      <c r="W54" s="26">
        <f t="shared" si="24"/>
        <v>6962</v>
      </c>
      <c r="X54" s="10">
        <f t="shared" si="25"/>
        <v>585</v>
      </c>
      <c r="Y54" s="10">
        <f t="shared" si="26"/>
        <v>122</v>
      </c>
      <c r="Z54" s="11">
        <f t="shared" si="27"/>
        <v>0</v>
      </c>
      <c r="AA54" s="12">
        <v>2450</v>
      </c>
      <c r="AB54" s="12">
        <v>0</v>
      </c>
      <c r="AC54" s="27">
        <f t="shared" si="28"/>
        <v>3157</v>
      </c>
      <c r="AD54" s="28">
        <f t="shared" si="29"/>
        <v>3805</v>
      </c>
      <c r="AE54" s="7"/>
      <c r="AF54" s="7"/>
      <c r="AG54" s="13">
        <f>ROUND(($O54/12)/$H54*($I54),0)</f>
        <v>580</v>
      </c>
      <c r="AH54" s="10">
        <f t="shared" si="30"/>
        <v>4873</v>
      </c>
      <c r="AI54" s="10">
        <f t="shared" si="31"/>
        <v>651</v>
      </c>
      <c r="AJ54" s="10">
        <f t="shared" si="32"/>
        <v>6962</v>
      </c>
      <c r="AK54" s="10">
        <f t="shared" si="33"/>
        <v>331</v>
      </c>
      <c r="AL54" s="14">
        <f t="shared" si="34"/>
        <v>8524</v>
      </c>
    </row>
    <row r="55" spans="1:38" s="4" customFormat="1" ht="12" x14ac:dyDescent="0.15">
      <c r="A55" s="15" t="s">
        <v>184</v>
      </c>
      <c r="B55" s="3" t="s">
        <v>178</v>
      </c>
      <c r="C55" s="7" t="s">
        <v>257</v>
      </c>
      <c r="D55" s="7">
        <v>52</v>
      </c>
      <c r="E55" s="7" t="s">
        <v>307</v>
      </c>
      <c r="F55" s="7"/>
      <c r="G55" s="21" t="s">
        <v>3</v>
      </c>
      <c r="H55" s="36">
        <v>26</v>
      </c>
      <c r="I55" s="35">
        <v>26</v>
      </c>
      <c r="J55" s="35">
        <v>0</v>
      </c>
      <c r="K55" s="40">
        <v>7546</v>
      </c>
      <c r="L55" s="40">
        <v>0</v>
      </c>
      <c r="M55" s="40">
        <v>1887</v>
      </c>
      <c r="N55" s="40">
        <v>0</v>
      </c>
      <c r="O55" s="43">
        <f t="shared" si="18"/>
        <v>9433</v>
      </c>
      <c r="P55" s="7">
        <f t="shared" si="19"/>
        <v>7546</v>
      </c>
      <c r="Q55" s="7">
        <f t="shared" si="20"/>
        <v>0</v>
      </c>
      <c r="R55" s="7">
        <f t="shared" si="21"/>
        <v>1887</v>
      </c>
      <c r="S55" s="7">
        <f t="shared" si="22"/>
        <v>0</v>
      </c>
      <c r="T55" s="7">
        <f t="shared" si="23"/>
        <v>0</v>
      </c>
      <c r="U55" s="7">
        <v>0</v>
      </c>
      <c r="V55" s="7">
        <v>0</v>
      </c>
      <c r="W55" s="26">
        <f t="shared" si="24"/>
        <v>9433</v>
      </c>
      <c r="X55" s="10">
        <f t="shared" si="25"/>
        <v>906</v>
      </c>
      <c r="Y55" s="10">
        <f t="shared" si="26"/>
        <v>166</v>
      </c>
      <c r="Z55" s="11">
        <f t="shared" si="27"/>
        <v>0</v>
      </c>
      <c r="AA55" s="12">
        <v>0</v>
      </c>
      <c r="AB55" s="12">
        <v>0</v>
      </c>
      <c r="AC55" s="27">
        <f t="shared" si="28"/>
        <v>1072</v>
      </c>
      <c r="AD55" s="28">
        <f t="shared" si="29"/>
        <v>8361</v>
      </c>
      <c r="AE55" s="7"/>
      <c r="AF55" s="7"/>
      <c r="AG55" s="13">
        <f>ROUND(($K55/12)/$H55*($I55),0)</f>
        <v>629</v>
      </c>
      <c r="AH55" s="10">
        <f t="shared" si="30"/>
        <v>7546</v>
      </c>
      <c r="AI55" s="10">
        <f t="shared" si="31"/>
        <v>1008</v>
      </c>
      <c r="AJ55" s="10">
        <f t="shared" si="32"/>
        <v>9433</v>
      </c>
      <c r="AK55" s="10">
        <f t="shared" si="33"/>
        <v>449</v>
      </c>
      <c r="AL55" s="14">
        <f t="shared" si="34"/>
        <v>11519</v>
      </c>
    </row>
    <row r="56" spans="1:38" s="4" customFormat="1" ht="12" x14ac:dyDescent="0.15">
      <c r="A56" s="15" t="s">
        <v>98</v>
      </c>
      <c r="B56" s="3" t="s">
        <v>15</v>
      </c>
      <c r="C56" s="7" t="s">
        <v>258</v>
      </c>
      <c r="D56" s="7">
        <v>53</v>
      </c>
      <c r="E56" s="7" t="s">
        <v>99</v>
      </c>
      <c r="F56" s="7"/>
      <c r="G56" s="21" t="s">
        <v>3</v>
      </c>
      <c r="H56" s="30">
        <v>26</v>
      </c>
      <c r="I56" s="35">
        <v>29</v>
      </c>
      <c r="J56" s="16">
        <v>0</v>
      </c>
      <c r="K56" s="40">
        <v>4627</v>
      </c>
      <c r="L56" s="40">
        <v>0</v>
      </c>
      <c r="M56" s="40">
        <v>3084</v>
      </c>
      <c r="N56" s="40">
        <v>0</v>
      </c>
      <c r="O56" s="43">
        <f t="shared" si="18"/>
        <v>7711</v>
      </c>
      <c r="P56" s="7">
        <f t="shared" si="19"/>
        <v>5161</v>
      </c>
      <c r="Q56" s="7">
        <f t="shared" si="20"/>
        <v>0</v>
      </c>
      <c r="R56" s="7">
        <f t="shared" si="21"/>
        <v>3440</v>
      </c>
      <c r="S56" s="7">
        <f t="shared" si="22"/>
        <v>0</v>
      </c>
      <c r="T56" s="7">
        <f t="shared" si="23"/>
        <v>0</v>
      </c>
      <c r="U56" s="7">
        <v>0</v>
      </c>
      <c r="V56" s="7">
        <v>0</v>
      </c>
      <c r="W56" s="26">
        <f t="shared" si="24"/>
        <v>8601</v>
      </c>
      <c r="X56" s="10">
        <f t="shared" si="25"/>
        <v>619</v>
      </c>
      <c r="Y56" s="10">
        <f t="shared" si="26"/>
        <v>151</v>
      </c>
      <c r="Z56" s="11">
        <f t="shared" si="27"/>
        <v>0</v>
      </c>
      <c r="AA56" s="12">
        <v>0</v>
      </c>
      <c r="AB56" s="12">
        <v>0</v>
      </c>
      <c r="AC56" s="27">
        <f t="shared" si="28"/>
        <v>770</v>
      </c>
      <c r="AD56" s="28">
        <f t="shared" si="29"/>
        <v>7831</v>
      </c>
      <c r="AE56" s="7"/>
      <c r="AF56" s="7"/>
      <c r="AG56" s="13">
        <f>ROUND(($O56/12)/$H56*($I56),0)</f>
        <v>717</v>
      </c>
      <c r="AH56" s="10">
        <f t="shared" si="30"/>
        <v>5161</v>
      </c>
      <c r="AI56" s="10">
        <f t="shared" si="31"/>
        <v>690</v>
      </c>
      <c r="AJ56" s="10">
        <f t="shared" si="32"/>
        <v>8601</v>
      </c>
      <c r="AK56" s="10">
        <f t="shared" si="33"/>
        <v>409</v>
      </c>
      <c r="AL56" s="14">
        <f t="shared" si="34"/>
        <v>10417</v>
      </c>
    </row>
    <row r="57" spans="1:38" s="4" customFormat="1" ht="12" x14ac:dyDescent="0.15">
      <c r="A57" s="15" t="s">
        <v>167</v>
      </c>
      <c r="B57" s="2" t="s">
        <v>165</v>
      </c>
      <c r="C57" s="7" t="s">
        <v>259</v>
      </c>
      <c r="D57" s="7">
        <v>54</v>
      </c>
      <c r="E57" s="7" t="s">
        <v>308</v>
      </c>
      <c r="F57" s="7"/>
      <c r="G57" s="21" t="s">
        <v>3</v>
      </c>
      <c r="H57" s="36">
        <v>26</v>
      </c>
      <c r="I57" s="35">
        <v>26</v>
      </c>
      <c r="J57" s="35">
        <v>0</v>
      </c>
      <c r="K57" s="40">
        <v>7546</v>
      </c>
      <c r="L57" s="40">
        <v>0</v>
      </c>
      <c r="M57" s="40">
        <v>1887</v>
      </c>
      <c r="N57" s="40">
        <v>0</v>
      </c>
      <c r="O57" s="43">
        <f t="shared" si="18"/>
        <v>9433</v>
      </c>
      <c r="P57" s="7">
        <f t="shared" si="19"/>
        <v>7546</v>
      </c>
      <c r="Q57" s="7">
        <f t="shared" si="20"/>
        <v>0</v>
      </c>
      <c r="R57" s="7">
        <f t="shared" si="21"/>
        <v>1887</v>
      </c>
      <c r="S57" s="7">
        <f t="shared" si="22"/>
        <v>0</v>
      </c>
      <c r="T57" s="7">
        <f t="shared" si="23"/>
        <v>0</v>
      </c>
      <c r="U57" s="7">
        <v>0</v>
      </c>
      <c r="V57" s="7">
        <v>0</v>
      </c>
      <c r="W57" s="26">
        <f t="shared" si="24"/>
        <v>9433</v>
      </c>
      <c r="X57" s="10">
        <f t="shared" si="25"/>
        <v>906</v>
      </c>
      <c r="Y57" s="10">
        <f t="shared" si="26"/>
        <v>166</v>
      </c>
      <c r="Z57" s="11">
        <f t="shared" si="27"/>
        <v>0</v>
      </c>
      <c r="AA57" s="12">
        <v>0</v>
      </c>
      <c r="AB57" s="12">
        <v>0</v>
      </c>
      <c r="AC57" s="27">
        <f t="shared" si="28"/>
        <v>1072</v>
      </c>
      <c r="AD57" s="28">
        <f t="shared" si="29"/>
        <v>8361</v>
      </c>
      <c r="AE57" s="7"/>
      <c r="AF57" s="7"/>
      <c r="AG57" s="13">
        <f>ROUND(($K57/12)/$H57*($I57),0)</f>
        <v>629</v>
      </c>
      <c r="AH57" s="10">
        <f t="shared" si="30"/>
        <v>7546</v>
      </c>
      <c r="AI57" s="10">
        <f t="shared" si="31"/>
        <v>1008</v>
      </c>
      <c r="AJ57" s="10">
        <f t="shared" si="32"/>
        <v>9433</v>
      </c>
      <c r="AK57" s="10">
        <f t="shared" si="33"/>
        <v>449</v>
      </c>
      <c r="AL57" s="14">
        <f t="shared" si="34"/>
        <v>11519</v>
      </c>
    </row>
    <row r="58" spans="1:38" s="4" customFormat="1" ht="12" x14ac:dyDescent="0.15">
      <c r="A58" s="15" t="s">
        <v>92</v>
      </c>
      <c r="B58" s="3" t="s">
        <v>135</v>
      </c>
      <c r="C58" s="7" t="s">
        <v>260</v>
      </c>
      <c r="D58" s="7">
        <v>55</v>
      </c>
      <c r="E58" s="7" t="s">
        <v>93</v>
      </c>
      <c r="F58" s="7"/>
      <c r="G58" s="21" t="s">
        <v>2</v>
      </c>
      <c r="H58" s="30">
        <v>26</v>
      </c>
      <c r="I58" s="35">
        <v>29</v>
      </c>
      <c r="J58" s="16">
        <v>0</v>
      </c>
      <c r="K58" s="40">
        <v>3973</v>
      </c>
      <c r="L58" s="40">
        <v>0</v>
      </c>
      <c r="M58" s="40">
        <v>1703</v>
      </c>
      <c r="N58" s="40">
        <v>0</v>
      </c>
      <c r="O58" s="43">
        <f t="shared" si="18"/>
        <v>5676</v>
      </c>
      <c r="P58" s="7">
        <f t="shared" si="19"/>
        <v>4431</v>
      </c>
      <c r="Q58" s="7">
        <f t="shared" si="20"/>
        <v>0</v>
      </c>
      <c r="R58" s="7">
        <f t="shared" si="21"/>
        <v>1900</v>
      </c>
      <c r="S58" s="7">
        <f t="shared" si="22"/>
        <v>0</v>
      </c>
      <c r="T58" s="7">
        <f t="shared" si="23"/>
        <v>0</v>
      </c>
      <c r="U58" s="7">
        <v>0</v>
      </c>
      <c r="V58" s="7">
        <v>0</v>
      </c>
      <c r="W58" s="26">
        <f t="shared" si="24"/>
        <v>6331</v>
      </c>
      <c r="X58" s="10">
        <f t="shared" si="25"/>
        <v>532</v>
      </c>
      <c r="Y58" s="10">
        <f t="shared" si="26"/>
        <v>111</v>
      </c>
      <c r="Z58" s="11">
        <f t="shared" si="27"/>
        <v>0</v>
      </c>
      <c r="AA58" s="12">
        <v>0</v>
      </c>
      <c r="AB58" s="12">
        <v>0</v>
      </c>
      <c r="AC58" s="27">
        <f t="shared" si="28"/>
        <v>643</v>
      </c>
      <c r="AD58" s="28">
        <f t="shared" si="29"/>
        <v>5688</v>
      </c>
      <c r="AE58" s="7"/>
      <c r="AF58" s="7"/>
      <c r="AG58" s="13">
        <f>ROUND(($O58/12)/$H58*($I58),0)</f>
        <v>528</v>
      </c>
      <c r="AH58" s="10">
        <f t="shared" si="30"/>
        <v>4431</v>
      </c>
      <c r="AI58" s="10">
        <f t="shared" si="31"/>
        <v>592</v>
      </c>
      <c r="AJ58" s="10">
        <f t="shared" si="32"/>
        <v>6331</v>
      </c>
      <c r="AK58" s="10">
        <f t="shared" si="33"/>
        <v>301</v>
      </c>
      <c r="AL58" s="14">
        <f t="shared" si="34"/>
        <v>7752</v>
      </c>
    </row>
    <row r="59" spans="1:38" s="4" customFormat="1" ht="12" x14ac:dyDescent="0.15">
      <c r="A59" s="15" t="s">
        <v>147</v>
      </c>
      <c r="B59" s="2" t="s">
        <v>139</v>
      </c>
      <c r="C59" s="7" t="s">
        <v>261</v>
      </c>
      <c r="D59" s="7">
        <v>56</v>
      </c>
      <c r="E59" s="7" t="s">
        <v>148</v>
      </c>
      <c r="F59" s="7"/>
      <c r="G59" s="21" t="s">
        <v>2</v>
      </c>
      <c r="H59" s="36">
        <v>26</v>
      </c>
      <c r="I59" s="35">
        <v>26</v>
      </c>
      <c r="J59" s="35">
        <v>1</v>
      </c>
      <c r="K59" s="40">
        <v>7546</v>
      </c>
      <c r="L59" s="40">
        <v>0</v>
      </c>
      <c r="M59" s="40">
        <v>0</v>
      </c>
      <c r="N59" s="40">
        <v>0</v>
      </c>
      <c r="O59" s="43">
        <f t="shared" si="18"/>
        <v>7546</v>
      </c>
      <c r="P59" s="7">
        <f t="shared" si="19"/>
        <v>7546</v>
      </c>
      <c r="Q59" s="7">
        <f t="shared" si="20"/>
        <v>0</v>
      </c>
      <c r="R59" s="7">
        <f t="shared" si="21"/>
        <v>0</v>
      </c>
      <c r="S59" s="7">
        <f t="shared" si="22"/>
        <v>0</v>
      </c>
      <c r="T59" s="7">
        <f t="shared" si="23"/>
        <v>290</v>
      </c>
      <c r="U59" s="7">
        <v>0</v>
      </c>
      <c r="V59" s="7">
        <v>0</v>
      </c>
      <c r="W59" s="26">
        <f t="shared" si="24"/>
        <v>7836</v>
      </c>
      <c r="X59" s="10">
        <f t="shared" si="25"/>
        <v>906</v>
      </c>
      <c r="Y59" s="10">
        <f t="shared" si="26"/>
        <v>138</v>
      </c>
      <c r="Z59" s="11">
        <f t="shared" si="27"/>
        <v>0</v>
      </c>
      <c r="AA59" s="12">
        <v>0</v>
      </c>
      <c r="AB59" s="12">
        <v>0</v>
      </c>
      <c r="AC59" s="27">
        <f t="shared" si="28"/>
        <v>1044</v>
      </c>
      <c r="AD59" s="28">
        <f t="shared" si="29"/>
        <v>6792</v>
      </c>
      <c r="AE59" s="7"/>
      <c r="AF59" s="7"/>
      <c r="AG59" s="13">
        <f>ROUND(($K59/12)/$H59*($I59),0)</f>
        <v>629</v>
      </c>
      <c r="AH59" s="10">
        <f t="shared" si="30"/>
        <v>7546</v>
      </c>
      <c r="AI59" s="10">
        <f t="shared" si="31"/>
        <v>1008</v>
      </c>
      <c r="AJ59" s="10">
        <f t="shared" si="32"/>
        <v>7836</v>
      </c>
      <c r="AK59" s="10">
        <f t="shared" si="33"/>
        <v>373</v>
      </c>
      <c r="AL59" s="14">
        <f t="shared" si="34"/>
        <v>9846</v>
      </c>
    </row>
    <row r="60" spans="1:38" s="4" customFormat="1" ht="12" x14ac:dyDescent="0.15">
      <c r="A60" s="15" t="s">
        <v>61</v>
      </c>
      <c r="B60" s="2" t="s">
        <v>4</v>
      </c>
      <c r="C60" s="7" t="s">
        <v>263</v>
      </c>
      <c r="D60" s="7">
        <v>57</v>
      </c>
      <c r="E60" s="7" t="s">
        <v>46</v>
      </c>
      <c r="F60" s="7"/>
      <c r="G60" s="20" t="s">
        <v>2</v>
      </c>
      <c r="H60" s="36">
        <v>26</v>
      </c>
      <c r="I60" s="35">
        <v>26</v>
      </c>
      <c r="J60" s="16">
        <v>0</v>
      </c>
      <c r="K60" s="40">
        <v>5509</v>
      </c>
      <c r="L60" s="40">
        <v>0</v>
      </c>
      <c r="M60" s="40">
        <v>2361</v>
      </c>
      <c r="N60" s="40">
        <v>0</v>
      </c>
      <c r="O60" s="43">
        <f t="shared" si="18"/>
        <v>7870</v>
      </c>
      <c r="P60" s="7">
        <f t="shared" si="19"/>
        <v>5509</v>
      </c>
      <c r="Q60" s="7">
        <f t="shared" si="20"/>
        <v>0</v>
      </c>
      <c r="R60" s="7">
        <f t="shared" si="21"/>
        <v>2361</v>
      </c>
      <c r="S60" s="7">
        <f t="shared" si="22"/>
        <v>0</v>
      </c>
      <c r="T60" s="7">
        <f t="shared" si="23"/>
        <v>0</v>
      </c>
      <c r="U60" s="7">
        <v>0</v>
      </c>
      <c r="V60" s="7">
        <v>0</v>
      </c>
      <c r="W60" s="26">
        <f t="shared" si="24"/>
        <v>7870</v>
      </c>
      <c r="X60" s="10">
        <f t="shared" si="25"/>
        <v>661</v>
      </c>
      <c r="Y60" s="10">
        <f t="shared" si="26"/>
        <v>138</v>
      </c>
      <c r="Z60" s="11">
        <f t="shared" si="27"/>
        <v>0</v>
      </c>
      <c r="AA60" s="12">
        <v>0</v>
      </c>
      <c r="AB60" s="12">
        <v>500</v>
      </c>
      <c r="AC60" s="27">
        <f t="shared" si="28"/>
        <v>1299</v>
      </c>
      <c r="AD60" s="28">
        <f t="shared" si="29"/>
        <v>6571</v>
      </c>
      <c r="AE60" s="7"/>
      <c r="AF60" s="7"/>
      <c r="AG60" s="13">
        <f>ROUND(($O60/12)/$H60*($I60),0)</f>
        <v>656</v>
      </c>
      <c r="AH60" s="10">
        <f t="shared" si="30"/>
        <v>5509</v>
      </c>
      <c r="AI60" s="10">
        <f t="shared" si="31"/>
        <v>736</v>
      </c>
      <c r="AJ60" s="10">
        <f t="shared" si="32"/>
        <v>7870</v>
      </c>
      <c r="AK60" s="10">
        <f t="shared" si="33"/>
        <v>374</v>
      </c>
      <c r="AL60" s="14">
        <f t="shared" si="34"/>
        <v>9136</v>
      </c>
    </row>
    <row r="61" spans="1:38" s="4" customFormat="1" ht="12" x14ac:dyDescent="0.15">
      <c r="A61" s="15" t="s">
        <v>128</v>
      </c>
      <c r="B61" s="20" t="s">
        <v>24</v>
      </c>
      <c r="C61" s="7" t="s">
        <v>264</v>
      </c>
      <c r="D61" s="7">
        <v>58</v>
      </c>
      <c r="E61" s="7" t="s">
        <v>129</v>
      </c>
      <c r="F61" s="7"/>
      <c r="G61" s="21" t="s">
        <v>3</v>
      </c>
      <c r="H61" s="30">
        <v>30</v>
      </c>
      <c r="I61" s="35">
        <v>20</v>
      </c>
      <c r="J61" s="16">
        <v>0</v>
      </c>
      <c r="K61" s="40">
        <v>4528</v>
      </c>
      <c r="L61" s="40">
        <v>0</v>
      </c>
      <c r="M61" s="41">
        <v>3018</v>
      </c>
      <c r="N61" s="40">
        <v>0</v>
      </c>
      <c r="O61" s="43">
        <f t="shared" si="18"/>
        <v>7546</v>
      </c>
      <c r="P61" s="7">
        <f t="shared" si="19"/>
        <v>3019</v>
      </c>
      <c r="Q61" s="7">
        <f t="shared" si="20"/>
        <v>0</v>
      </c>
      <c r="R61" s="7">
        <f t="shared" si="21"/>
        <v>2012</v>
      </c>
      <c r="S61" s="7">
        <f t="shared" si="22"/>
        <v>0</v>
      </c>
      <c r="T61" s="7">
        <f t="shared" si="23"/>
        <v>0</v>
      </c>
      <c r="U61" s="7">
        <v>0</v>
      </c>
      <c r="V61" s="7">
        <v>0</v>
      </c>
      <c r="W61" s="26">
        <f t="shared" si="24"/>
        <v>5031</v>
      </c>
      <c r="X61" s="10">
        <f t="shared" si="25"/>
        <v>362</v>
      </c>
      <c r="Y61" s="10">
        <f t="shared" si="26"/>
        <v>89</v>
      </c>
      <c r="Z61" s="11">
        <f t="shared" si="27"/>
        <v>0</v>
      </c>
      <c r="AA61" s="12">
        <v>0</v>
      </c>
      <c r="AB61" s="12">
        <v>0</v>
      </c>
      <c r="AC61" s="27">
        <f t="shared" si="28"/>
        <v>451</v>
      </c>
      <c r="AD61" s="28">
        <f t="shared" si="29"/>
        <v>4580</v>
      </c>
      <c r="AE61" s="7"/>
      <c r="AF61" s="7"/>
      <c r="AG61" s="13">
        <f>ROUND(($O61/12)/$H61*($I61),0)</f>
        <v>419</v>
      </c>
      <c r="AH61" s="10">
        <f t="shared" si="30"/>
        <v>3019</v>
      </c>
      <c r="AI61" s="10">
        <f t="shared" si="31"/>
        <v>403</v>
      </c>
      <c r="AJ61" s="10">
        <f t="shared" si="32"/>
        <v>5031</v>
      </c>
      <c r="AK61" s="10">
        <f t="shared" si="33"/>
        <v>239</v>
      </c>
      <c r="AL61" s="14">
        <f t="shared" si="34"/>
        <v>6092</v>
      </c>
    </row>
    <row r="62" spans="1:38" s="4" customFormat="1" ht="12" x14ac:dyDescent="0.15">
      <c r="A62" s="15" t="s">
        <v>185</v>
      </c>
      <c r="B62" s="3" t="s">
        <v>178</v>
      </c>
      <c r="C62" s="7" t="s">
        <v>265</v>
      </c>
      <c r="D62" s="7">
        <v>59</v>
      </c>
      <c r="E62" s="7" t="s">
        <v>186</v>
      </c>
      <c r="F62" s="7"/>
      <c r="G62" s="21" t="s">
        <v>2</v>
      </c>
      <c r="H62" s="36">
        <v>26</v>
      </c>
      <c r="I62" s="35">
        <v>25</v>
      </c>
      <c r="J62" s="35">
        <v>0</v>
      </c>
      <c r="K62" s="40">
        <v>7546</v>
      </c>
      <c r="L62" s="41">
        <v>0</v>
      </c>
      <c r="M62" s="40">
        <v>0</v>
      </c>
      <c r="N62" s="41">
        <v>0</v>
      </c>
      <c r="O62" s="43">
        <f t="shared" si="18"/>
        <v>7546</v>
      </c>
      <c r="P62" s="7">
        <f t="shared" si="19"/>
        <v>7256</v>
      </c>
      <c r="Q62" s="7">
        <f t="shared" si="20"/>
        <v>0</v>
      </c>
      <c r="R62" s="7">
        <f t="shared" si="21"/>
        <v>0</v>
      </c>
      <c r="S62" s="7">
        <f t="shared" si="22"/>
        <v>0</v>
      </c>
      <c r="T62" s="7">
        <f t="shared" si="23"/>
        <v>0</v>
      </c>
      <c r="U62" s="7">
        <v>0</v>
      </c>
      <c r="V62" s="7">
        <v>0</v>
      </c>
      <c r="W62" s="26">
        <f t="shared" si="24"/>
        <v>7256</v>
      </c>
      <c r="X62" s="10">
        <f t="shared" si="25"/>
        <v>871</v>
      </c>
      <c r="Y62" s="10">
        <f t="shared" si="26"/>
        <v>127</v>
      </c>
      <c r="Z62" s="11">
        <f t="shared" si="27"/>
        <v>0</v>
      </c>
      <c r="AA62" s="12">
        <v>0</v>
      </c>
      <c r="AB62" s="12">
        <v>0</v>
      </c>
      <c r="AC62" s="27">
        <f t="shared" si="28"/>
        <v>998</v>
      </c>
      <c r="AD62" s="28">
        <f t="shared" si="29"/>
        <v>6258</v>
      </c>
      <c r="AE62" s="7"/>
      <c r="AF62" s="7"/>
      <c r="AG62" s="13">
        <f>ROUND(($K62/12)/$H62*($I62),0)</f>
        <v>605</v>
      </c>
      <c r="AH62" s="10">
        <f t="shared" si="30"/>
        <v>7256</v>
      </c>
      <c r="AI62" s="10">
        <f t="shared" si="31"/>
        <v>969</v>
      </c>
      <c r="AJ62" s="10">
        <f t="shared" si="32"/>
        <v>7256</v>
      </c>
      <c r="AK62" s="10">
        <f t="shared" si="33"/>
        <v>345</v>
      </c>
      <c r="AL62" s="14">
        <f t="shared" si="34"/>
        <v>9175</v>
      </c>
    </row>
    <row r="63" spans="1:38" s="4" customFormat="1" ht="12" x14ac:dyDescent="0.15">
      <c r="A63" s="15" t="s">
        <v>114</v>
      </c>
      <c r="B63" s="20" t="s">
        <v>19</v>
      </c>
      <c r="C63" s="7" t="s">
        <v>266</v>
      </c>
      <c r="D63" s="7">
        <v>60</v>
      </c>
      <c r="E63" s="7" t="s">
        <v>309</v>
      </c>
      <c r="F63" s="7"/>
      <c r="G63" s="21" t="s">
        <v>2</v>
      </c>
      <c r="H63" s="30">
        <v>26</v>
      </c>
      <c r="I63" s="35">
        <v>25</v>
      </c>
      <c r="J63" s="16">
        <v>0</v>
      </c>
      <c r="K63" s="40">
        <v>4420</v>
      </c>
      <c r="L63" s="40">
        <v>0</v>
      </c>
      <c r="M63" s="41">
        <v>780</v>
      </c>
      <c r="N63" s="40">
        <v>0</v>
      </c>
      <c r="O63" s="43">
        <f t="shared" si="18"/>
        <v>5200</v>
      </c>
      <c r="P63" s="7">
        <f t="shared" si="19"/>
        <v>4250</v>
      </c>
      <c r="Q63" s="7">
        <f t="shared" si="20"/>
        <v>0</v>
      </c>
      <c r="R63" s="7">
        <f t="shared" si="21"/>
        <v>750</v>
      </c>
      <c r="S63" s="7">
        <f t="shared" si="22"/>
        <v>0</v>
      </c>
      <c r="T63" s="7">
        <f t="shared" si="23"/>
        <v>0</v>
      </c>
      <c r="U63" s="7">
        <v>0</v>
      </c>
      <c r="V63" s="7">
        <v>0</v>
      </c>
      <c r="W63" s="26">
        <f t="shared" si="24"/>
        <v>5000</v>
      </c>
      <c r="X63" s="10">
        <f t="shared" si="25"/>
        <v>510</v>
      </c>
      <c r="Y63" s="10">
        <f t="shared" si="26"/>
        <v>88</v>
      </c>
      <c r="Z63" s="11">
        <f t="shared" si="27"/>
        <v>0</v>
      </c>
      <c r="AA63" s="12">
        <v>0</v>
      </c>
      <c r="AB63" s="12">
        <v>0</v>
      </c>
      <c r="AC63" s="27">
        <f t="shared" si="28"/>
        <v>598</v>
      </c>
      <c r="AD63" s="28">
        <f t="shared" si="29"/>
        <v>4402</v>
      </c>
      <c r="AE63" s="7"/>
      <c r="AF63" s="7"/>
      <c r="AG63" s="13">
        <f t="shared" ref="AG63:AG68" si="36">ROUND(($O63/12)/$H63*($I63),0)</f>
        <v>417</v>
      </c>
      <c r="AH63" s="10">
        <f t="shared" si="30"/>
        <v>4250</v>
      </c>
      <c r="AI63" s="10">
        <f t="shared" si="31"/>
        <v>568</v>
      </c>
      <c r="AJ63" s="10">
        <f t="shared" si="32"/>
        <v>5000</v>
      </c>
      <c r="AK63" s="10">
        <f t="shared" si="33"/>
        <v>238</v>
      </c>
      <c r="AL63" s="14">
        <f t="shared" si="34"/>
        <v>6223</v>
      </c>
    </row>
    <row r="64" spans="1:38" s="4" customFormat="1" ht="24" x14ac:dyDescent="0.15">
      <c r="A64" s="15" t="s">
        <v>109</v>
      </c>
      <c r="B64" s="3" t="s">
        <v>18</v>
      </c>
      <c r="C64" s="7" t="s">
        <v>267</v>
      </c>
      <c r="D64" s="7">
        <v>61</v>
      </c>
      <c r="E64" s="7" t="s">
        <v>110</v>
      </c>
      <c r="F64" s="7"/>
      <c r="G64" s="21" t="s">
        <v>136</v>
      </c>
      <c r="H64" s="30">
        <v>26</v>
      </c>
      <c r="I64" s="35">
        <v>29</v>
      </c>
      <c r="J64" s="16">
        <v>0</v>
      </c>
      <c r="K64" s="40">
        <v>7400</v>
      </c>
      <c r="L64" s="41">
        <v>0</v>
      </c>
      <c r="M64" s="40">
        <v>537</v>
      </c>
      <c r="N64" s="41">
        <v>0</v>
      </c>
      <c r="O64" s="43">
        <f t="shared" si="18"/>
        <v>7937</v>
      </c>
      <c r="P64" s="7">
        <f t="shared" si="19"/>
        <v>8254</v>
      </c>
      <c r="Q64" s="7">
        <f t="shared" si="20"/>
        <v>0</v>
      </c>
      <c r="R64" s="7">
        <f t="shared" si="21"/>
        <v>599</v>
      </c>
      <c r="S64" s="7">
        <f t="shared" si="22"/>
        <v>0</v>
      </c>
      <c r="T64" s="7">
        <f t="shared" si="23"/>
        <v>0</v>
      </c>
      <c r="U64" s="7">
        <v>0</v>
      </c>
      <c r="V64" s="7">
        <v>0</v>
      </c>
      <c r="W64" s="26">
        <f t="shared" si="24"/>
        <v>8853</v>
      </c>
      <c r="X64" s="10">
        <f t="shared" si="25"/>
        <v>990</v>
      </c>
      <c r="Y64" s="10">
        <f t="shared" si="26"/>
        <v>155</v>
      </c>
      <c r="Z64" s="11">
        <f t="shared" si="27"/>
        <v>0</v>
      </c>
      <c r="AA64" s="12">
        <v>0</v>
      </c>
      <c r="AB64" s="12">
        <v>0</v>
      </c>
      <c r="AC64" s="27">
        <f t="shared" si="28"/>
        <v>1145</v>
      </c>
      <c r="AD64" s="28">
        <f t="shared" si="29"/>
        <v>7708</v>
      </c>
      <c r="AE64" s="7"/>
      <c r="AF64" s="7"/>
      <c r="AG64" s="13">
        <f t="shared" si="36"/>
        <v>738</v>
      </c>
      <c r="AH64" s="10">
        <f t="shared" si="30"/>
        <v>8254</v>
      </c>
      <c r="AI64" s="10">
        <f t="shared" si="31"/>
        <v>1103</v>
      </c>
      <c r="AJ64" s="10">
        <f t="shared" si="32"/>
        <v>8853</v>
      </c>
      <c r="AK64" s="10">
        <f t="shared" si="33"/>
        <v>421</v>
      </c>
      <c r="AL64" s="14">
        <f t="shared" si="34"/>
        <v>11115</v>
      </c>
    </row>
    <row r="65" spans="1:38" s="4" customFormat="1" ht="12" x14ac:dyDescent="0.15">
      <c r="A65" s="15" t="s">
        <v>65</v>
      </c>
      <c r="B65" s="2" t="s">
        <v>4</v>
      </c>
      <c r="C65" s="7" t="s">
        <v>269</v>
      </c>
      <c r="D65" s="7">
        <v>62</v>
      </c>
      <c r="E65" s="7" t="s">
        <v>310</v>
      </c>
      <c r="F65" s="7"/>
      <c r="G65" s="21" t="s">
        <v>3</v>
      </c>
      <c r="H65" s="30">
        <v>26</v>
      </c>
      <c r="I65" s="35">
        <v>26</v>
      </c>
      <c r="J65" s="16">
        <v>0</v>
      </c>
      <c r="K65" s="40">
        <v>5509</v>
      </c>
      <c r="L65" s="40">
        <v>0</v>
      </c>
      <c r="M65" s="40">
        <v>2361</v>
      </c>
      <c r="N65" s="40">
        <v>0</v>
      </c>
      <c r="O65" s="43">
        <f t="shared" si="18"/>
        <v>7870</v>
      </c>
      <c r="P65" s="7">
        <f t="shared" si="19"/>
        <v>5509</v>
      </c>
      <c r="Q65" s="7">
        <f t="shared" si="20"/>
        <v>0</v>
      </c>
      <c r="R65" s="7">
        <f t="shared" si="21"/>
        <v>2361</v>
      </c>
      <c r="S65" s="7">
        <f t="shared" si="22"/>
        <v>0</v>
      </c>
      <c r="T65" s="7">
        <f t="shared" si="23"/>
        <v>0</v>
      </c>
      <c r="U65" s="7">
        <v>0</v>
      </c>
      <c r="V65" s="7">
        <v>0</v>
      </c>
      <c r="W65" s="26">
        <f t="shared" si="24"/>
        <v>7870</v>
      </c>
      <c r="X65" s="10">
        <f t="shared" si="25"/>
        <v>661</v>
      </c>
      <c r="Y65" s="10">
        <f t="shared" si="26"/>
        <v>138</v>
      </c>
      <c r="Z65" s="11">
        <f t="shared" si="27"/>
        <v>0</v>
      </c>
      <c r="AA65" s="12">
        <v>0</v>
      </c>
      <c r="AB65" s="12">
        <v>0</v>
      </c>
      <c r="AC65" s="27">
        <f t="shared" si="28"/>
        <v>799</v>
      </c>
      <c r="AD65" s="28">
        <f t="shared" si="29"/>
        <v>7071</v>
      </c>
      <c r="AE65" s="7"/>
      <c r="AF65" s="7"/>
      <c r="AG65" s="13">
        <f t="shared" si="36"/>
        <v>656</v>
      </c>
      <c r="AH65" s="10">
        <f t="shared" si="30"/>
        <v>5509</v>
      </c>
      <c r="AI65" s="10">
        <f t="shared" si="31"/>
        <v>736</v>
      </c>
      <c r="AJ65" s="10">
        <f t="shared" si="32"/>
        <v>7870</v>
      </c>
      <c r="AK65" s="10">
        <f t="shared" si="33"/>
        <v>374</v>
      </c>
      <c r="AL65" s="14">
        <f t="shared" si="34"/>
        <v>9636</v>
      </c>
    </row>
    <row r="66" spans="1:38" s="4" customFormat="1" ht="12" x14ac:dyDescent="0.15">
      <c r="A66" s="15" t="s">
        <v>97</v>
      </c>
      <c r="B66" s="20" t="s">
        <v>132</v>
      </c>
      <c r="C66" s="7" t="s">
        <v>268</v>
      </c>
      <c r="D66" s="7">
        <v>63</v>
      </c>
      <c r="E66" s="7" t="s">
        <v>311</v>
      </c>
      <c r="F66" s="7"/>
      <c r="G66" s="21" t="s">
        <v>3</v>
      </c>
      <c r="H66" s="30">
        <v>26</v>
      </c>
      <c r="I66" s="35">
        <v>29</v>
      </c>
      <c r="J66" s="16">
        <v>0</v>
      </c>
      <c r="K66" s="40">
        <v>4668</v>
      </c>
      <c r="L66" s="40">
        <v>0</v>
      </c>
      <c r="M66" s="40">
        <v>2001</v>
      </c>
      <c r="N66" s="40">
        <v>0</v>
      </c>
      <c r="O66" s="43">
        <f t="shared" si="18"/>
        <v>6669</v>
      </c>
      <c r="P66" s="7">
        <f t="shared" si="19"/>
        <v>5207</v>
      </c>
      <c r="Q66" s="7">
        <f t="shared" si="20"/>
        <v>0</v>
      </c>
      <c r="R66" s="7">
        <f t="shared" si="21"/>
        <v>2232</v>
      </c>
      <c r="S66" s="7">
        <f t="shared" si="22"/>
        <v>0</v>
      </c>
      <c r="T66" s="7">
        <f t="shared" si="23"/>
        <v>0</v>
      </c>
      <c r="U66" s="7">
        <v>0</v>
      </c>
      <c r="V66" s="7">
        <v>0</v>
      </c>
      <c r="W66" s="26">
        <f t="shared" si="24"/>
        <v>7439</v>
      </c>
      <c r="X66" s="10">
        <f t="shared" si="25"/>
        <v>625</v>
      </c>
      <c r="Y66" s="10">
        <f t="shared" si="26"/>
        <v>131</v>
      </c>
      <c r="Z66" s="11">
        <f t="shared" si="27"/>
        <v>0</v>
      </c>
      <c r="AA66" s="12">
        <v>0</v>
      </c>
      <c r="AB66" s="12">
        <v>0</v>
      </c>
      <c r="AC66" s="27">
        <f t="shared" si="28"/>
        <v>756</v>
      </c>
      <c r="AD66" s="28">
        <f t="shared" si="29"/>
        <v>6683</v>
      </c>
      <c r="AE66" s="7"/>
      <c r="AF66" s="7"/>
      <c r="AG66" s="13">
        <f t="shared" si="36"/>
        <v>620</v>
      </c>
      <c r="AH66" s="10">
        <f t="shared" si="30"/>
        <v>5207</v>
      </c>
      <c r="AI66" s="10">
        <f t="shared" si="31"/>
        <v>696</v>
      </c>
      <c r="AJ66" s="10">
        <f t="shared" si="32"/>
        <v>7439</v>
      </c>
      <c r="AK66" s="10">
        <f t="shared" si="33"/>
        <v>354</v>
      </c>
      <c r="AL66" s="14">
        <f t="shared" si="34"/>
        <v>9109</v>
      </c>
    </row>
    <row r="67" spans="1:38" s="4" customFormat="1" ht="12" x14ac:dyDescent="0.15">
      <c r="A67" s="15" t="s">
        <v>74</v>
      </c>
      <c r="B67" s="2" t="s">
        <v>6</v>
      </c>
      <c r="C67" s="7" t="s">
        <v>262</v>
      </c>
      <c r="D67" s="7">
        <v>64</v>
      </c>
      <c r="E67" s="7" t="s">
        <v>312</v>
      </c>
      <c r="F67" s="7"/>
      <c r="G67" s="21" t="s">
        <v>2</v>
      </c>
      <c r="H67" s="30">
        <v>26</v>
      </c>
      <c r="I67" s="35">
        <v>29</v>
      </c>
      <c r="J67" s="16">
        <v>0</v>
      </c>
      <c r="K67" s="40">
        <v>5509</v>
      </c>
      <c r="L67" s="40">
        <v>0</v>
      </c>
      <c r="M67" s="40">
        <v>2361</v>
      </c>
      <c r="N67" s="40">
        <v>0</v>
      </c>
      <c r="O67" s="43">
        <f t="shared" si="18"/>
        <v>7870</v>
      </c>
      <c r="P67" s="7">
        <f t="shared" si="19"/>
        <v>6145</v>
      </c>
      <c r="Q67" s="7">
        <f t="shared" si="20"/>
        <v>0</v>
      </c>
      <c r="R67" s="7">
        <f t="shared" si="21"/>
        <v>2633</v>
      </c>
      <c r="S67" s="7">
        <f t="shared" si="22"/>
        <v>0</v>
      </c>
      <c r="T67" s="7">
        <f t="shared" si="23"/>
        <v>0</v>
      </c>
      <c r="U67" s="7">
        <v>0</v>
      </c>
      <c r="V67" s="7">
        <v>0</v>
      </c>
      <c r="W67" s="26">
        <f t="shared" si="24"/>
        <v>8778</v>
      </c>
      <c r="X67" s="10">
        <f t="shared" si="25"/>
        <v>737</v>
      </c>
      <c r="Y67" s="10">
        <f t="shared" si="26"/>
        <v>154</v>
      </c>
      <c r="Z67" s="11">
        <f t="shared" si="27"/>
        <v>0</v>
      </c>
      <c r="AA67" s="12">
        <v>0</v>
      </c>
      <c r="AB67" s="12">
        <v>0</v>
      </c>
      <c r="AC67" s="27">
        <f t="shared" si="28"/>
        <v>891</v>
      </c>
      <c r="AD67" s="28">
        <f t="shared" si="29"/>
        <v>7887</v>
      </c>
      <c r="AE67" s="7"/>
      <c r="AF67" s="7"/>
      <c r="AG67" s="13">
        <f t="shared" si="36"/>
        <v>732</v>
      </c>
      <c r="AH67" s="10">
        <f t="shared" si="30"/>
        <v>6145</v>
      </c>
      <c r="AI67" s="10">
        <f t="shared" si="31"/>
        <v>821</v>
      </c>
      <c r="AJ67" s="10">
        <f t="shared" si="32"/>
        <v>8778</v>
      </c>
      <c r="AK67" s="10">
        <f t="shared" si="33"/>
        <v>417</v>
      </c>
      <c r="AL67" s="14">
        <f t="shared" si="34"/>
        <v>10748</v>
      </c>
    </row>
    <row r="68" spans="1:38" s="4" customFormat="1" ht="12" x14ac:dyDescent="0.15">
      <c r="A68" s="15" t="s">
        <v>90</v>
      </c>
      <c r="B68" s="2" t="s">
        <v>13</v>
      </c>
      <c r="C68" s="45" t="s">
        <v>320</v>
      </c>
      <c r="D68" s="7">
        <v>65</v>
      </c>
      <c r="E68" s="44" t="s">
        <v>137</v>
      </c>
      <c r="F68" s="7"/>
      <c r="G68" s="21" t="s">
        <v>2</v>
      </c>
      <c r="H68" s="30">
        <v>26</v>
      </c>
      <c r="I68" s="35">
        <v>23</v>
      </c>
      <c r="J68" s="16">
        <v>0</v>
      </c>
      <c r="K68" s="40">
        <v>5509</v>
      </c>
      <c r="L68" s="40">
        <v>0</v>
      </c>
      <c r="M68" s="40">
        <v>2361</v>
      </c>
      <c r="N68" s="40">
        <v>0</v>
      </c>
      <c r="O68" s="43">
        <f t="shared" ref="O68:O85" si="37">SUM(K68:N68)</f>
        <v>7870</v>
      </c>
      <c r="P68" s="7">
        <f t="shared" ref="P68:P85" si="38">ROUND(K68/$H68*$I68,0)</f>
        <v>4873</v>
      </c>
      <c r="Q68" s="7">
        <f t="shared" ref="Q68:Q85" si="39">ROUND(L68/$H68*$I68,0)</f>
        <v>0</v>
      </c>
      <c r="R68" s="7">
        <f t="shared" ref="R68:R85" si="40">ROUND(M68/$H68*$I68,0)</f>
        <v>2089</v>
      </c>
      <c r="S68" s="7">
        <f t="shared" ref="S68:S85" si="41">ROUND(N68/$H68*$I68,0)</f>
        <v>0</v>
      </c>
      <c r="T68" s="7">
        <f t="shared" ref="T68:T85" si="42">ROUND($O68/$H68*$J68,0)</f>
        <v>0</v>
      </c>
      <c r="U68" s="7">
        <v>0</v>
      </c>
      <c r="V68" s="7">
        <v>0</v>
      </c>
      <c r="W68" s="26">
        <f t="shared" ref="W68:W85" si="43">SUM(P68:V68)</f>
        <v>6962</v>
      </c>
      <c r="X68" s="10">
        <f t="shared" ref="X68:X85" si="44">ROUND($AH68*12%,0)</f>
        <v>585</v>
      </c>
      <c r="Y68" s="10">
        <f t="shared" ref="Y68:Y85" si="45">ROUNDUP($AJ68*1.75%,0)</f>
        <v>122</v>
      </c>
      <c r="Z68" s="11">
        <f t="shared" ref="Z68:Z85" si="46">IF(W68&gt;40000,200,IF(W68&gt;25000,150,IF(W68&gt;15000,130,IF(W68&gt;10000,110,IF(W68&gt;8500,0,)))))</f>
        <v>0</v>
      </c>
      <c r="AA68" s="12">
        <v>0</v>
      </c>
      <c r="AB68" s="12">
        <v>0</v>
      </c>
      <c r="AC68" s="27">
        <f t="shared" ref="AC68:AC85" si="47">SUM(X68:AB68)</f>
        <v>707</v>
      </c>
      <c r="AD68" s="28">
        <f t="shared" ref="AD68:AD85" si="48">W68-AC68</f>
        <v>6255</v>
      </c>
      <c r="AE68" s="7"/>
      <c r="AF68" s="7"/>
      <c r="AG68" s="13">
        <f t="shared" si="36"/>
        <v>580</v>
      </c>
      <c r="AH68" s="10">
        <f t="shared" ref="AH68:AH85" si="49">ROUND(IF(($P68)&gt;15000,15000,IF(($P68)&lt;=15000,($P68))),0)</f>
        <v>4873</v>
      </c>
      <c r="AI68" s="10">
        <f t="shared" ref="AI68:AI85" si="50">ROUND(AH68*13.36%,0)</f>
        <v>651</v>
      </c>
      <c r="AJ68" s="10">
        <f t="shared" ref="AJ68:AJ85" si="51">ROUND($O68/$H68*($I68+$J68),0)</f>
        <v>6962</v>
      </c>
      <c r="AK68" s="10">
        <f t="shared" ref="AK68:AK85" si="52">ROUNDUP(AJ68*4.75%,0)</f>
        <v>331</v>
      </c>
      <c r="AL68" s="14">
        <f t="shared" ref="AL68:AL85" si="53">AK68+AI68+AG68+W68-AB68</f>
        <v>8524</v>
      </c>
    </row>
    <row r="69" spans="1:38" s="4" customFormat="1" ht="12" x14ac:dyDescent="0.15">
      <c r="A69" s="15" t="s">
        <v>120</v>
      </c>
      <c r="B69" s="20" t="s">
        <v>20</v>
      </c>
      <c r="C69" s="7" t="s">
        <v>270</v>
      </c>
      <c r="D69" s="7">
        <v>66</v>
      </c>
      <c r="E69" s="7" t="s">
        <v>121</v>
      </c>
      <c r="F69" s="7"/>
      <c r="G69" s="21" t="s">
        <v>3</v>
      </c>
      <c r="H69" s="30">
        <v>30</v>
      </c>
      <c r="I69" s="35">
        <v>30</v>
      </c>
      <c r="J69" s="16">
        <v>0</v>
      </c>
      <c r="K69" s="40">
        <v>5081</v>
      </c>
      <c r="L69" s="40">
        <v>0</v>
      </c>
      <c r="M69" s="41">
        <v>2178</v>
      </c>
      <c r="N69" s="40">
        <v>0</v>
      </c>
      <c r="O69" s="43">
        <f t="shared" si="37"/>
        <v>7259</v>
      </c>
      <c r="P69" s="7">
        <f t="shared" si="38"/>
        <v>5081</v>
      </c>
      <c r="Q69" s="7">
        <f t="shared" si="39"/>
        <v>0</v>
      </c>
      <c r="R69" s="7">
        <f t="shared" si="40"/>
        <v>2178</v>
      </c>
      <c r="S69" s="7">
        <f t="shared" si="41"/>
        <v>0</v>
      </c>
      <c r="T69" s="7">
        <f t="shared" si="42"/>
        <v>0</v>
      </c>
      <c r="U69" s="7">
        <v>0</v>
      </c>
      <c r="V69" s="7">
        <v>0</v>
      </c>
      <c r="W69" s="26">
        <f t="shared" si="43"/>
        <v>7259</v>
      </c>
      <c r="X69" s="10">
        <f t="shared" si="44"/>
        <v>610</v>
      </c>
      <c r="Y69" s="10">
        <f t="shared" si="45"/>
        <v>128</v>
      </c>
      <c r="Z69" s="11">
        <f t="shared" si="46"/>
        <v>0</v>
      </c>
      <c r="AA69" s="12">
        <v>0</v>
      </c>
      <c r="AB69" s="12">
        <v>0</v>
      </c>
      <c r="AC69" s="27">
        <f t="shared" si="47"/>
        <v>738</v>
      </c>
      <c r="AD69" s="28">
        <f t="shared" si="48"/>
        <v>6521</v>
      </c>
      <c r="AE69" s="7"/>
      <c r="AF69" s="7"/>
      <c r="AG69" s="13">
        <v>0</v>
      </c>
      <c r="AH69" s="10">
        <f t="shared" si="49"/>
        <v>5081</v>
      </c>
      <c r="AI69" s="10">
        <f t="shared" si="50"/>
        <v>679</v>
      </c>
      <c r="AJ69" s="10">
        <f t="shared" si="51"/>
        <v>7259</v>
      </c>
      <c r="AK69" s="10">
        <f t="shared" si="52"/>
        <v>345</v>
      </c>
      <c r="AL69" s="14">
        <f t="shared" si="53"/>
        <v>8283</v>
      </c>
    </row>
    <row r="70" spans="1:38" s="4" customFormat="1" ht="12" x14ac:dyDescent="0.15">
      <c r="A70" s="15" t="s">
        <v>111</v>
      </c>
      <c r="B70" s="3" t="s">
        <v>18</v>
      </c>
      <c r="C70" s="7" t="s">
        <v>271</v>
      </c>
      <c r="D70" s="7">
        <v>67</v>
      </c>
      <c r="E70" s="7" t="s">
        <v>112</v>
      </c>
      <c r="F70" s="7"/>
      <c r="G70" s="21" t="s">
        <v>2</v>
      </c>
      <c r="H70" s="30">
        <v>26</v>
      </c>
      <c r="I70" s="35">
        <v>19</v>
      </c>
      <c r="J70" s="16">
        <v>0</v>
      </c>
      <c r="K70" s="40">
        <v>7400</v>
      </c>
      <c r="L70" s="41">
        <v>0</v>
      </c>
      <c r="M70" s="40">
        <v>176</v>
      </c>
      <c r="N70" s="41">
        <v>0</v>
      </c>
      <c r="O70" s="43">
        <f t="shared" si="37"/>
        <v>7576</v>
      </c>
      <c r="P70" s="7">
        <f t="shared" si="38"/>
        <v>5408</v>
      </c>
      <c r="Q70" s="7">
        <f t="shared" si="39"/>
        <v>0</v>
      </c>
      <c r="R70" s="7">
        <f t="shared" si="40"/>
        <v>129</v>
      </c>
      <c r="S70" s="7">
        <f t="shared" si="41"/>
        <v>0</v>
      </c>
      <c r="T70" s="7">
        <f t="shared" si="42"/>
        <v>0</v>
      </c>
      <c r="U70" s="7">
        <v>0</v>
      </c>
      <c r="V70" s="7">
        <v>0</v>
      </c>
      <c r="W70" s="26">
        <f t="shared" si="43"/>
        <v>5537</v>
      </c>
      <c r="X70" s="10">
        <f t="shared" si="44"/>
        <v>649</v>
      </c>
      <c r="Y70" s="10">
        <f t="shared" si="45"/>
        <v>97</v>
      </c>
      <c r="Z70" s="11">
        <f t="shared" si="46"/>
        <v>0</v>
      </c>
      <c r="AA70" s="12">
        <v>0</v>
      </c>
      <c r="AB70" s="12">
        <v>0</v>
      </c>
      <c r="AC70" s="27">
        <f t="shared" si="47"/>
        <v>746</v>
      </c>
      <c r="AD70" s="28">
        <f t="shared" si="48"/>
        <v>4791</v>
      </c>
      <c r="AE70" s="7"/>
      <c r="AF70" s="7"/>
      <c r="AG70" s="13">
        <f>ROUND(($O70/12)/$H70*($I70),0)</f>
        <v>461</v>
      </c>
      <c r="AH70" s="10">
        <f t="shared" si="49"/>
        <v>5408</v>
      </c>
      <c r="AI70" s="10">
        <f t="shared" si="50"/>
        <v>723</v>
      </c>
      <c r="AJ70" s="10">
        <f t="shared" si="51"/>
        <v>5536</v>
      </c>
      <c r="AK70" s="10">
        <f t="shared" si="52"/>
        <v>263</v>
      </c>
      <c r="AL70" s="14">
        <f t="shared" si="53"/>
        <v>6984</v>
      </c>
    </row>
    <row r="71" spans="1:38" s="4" customFormat="1" ht="12" x14ac:dyDescent="0.15">
      <c r="A71" s="15" t="s">
        <v>198</v>
      </c>
      <c r="B71" s="20" t="s">
        <v>196</v>
      </c>
      <c r="C71" s="7" t="s">
        <v>272</v>
      </c>
      <c r="D71" s="7">
        <v>68</v>
      </c>
      <c r="E71" s="7" t="s">
        <v>199</v>
      </c>
      <c r="F71" s="7"/>
      <c r="G71" s="21" t="s">
        <v>2</v>
      </c>
      <c r="H71" s="36">
        <v>26</v>
      </c>
      <c r="I71" s="35">
        <v>25</v>
      </c>
      <c r="J71" s="35">
        <v>0</v>
      </c>
      <c r="K71" s="40">
        <v>7546</v>
      </c>
      <c r="L71" s="40">
        <v>0</v>
      </c>
      <c r="M71" s="41">
        <v>0</v>
      </c>
      <c r="N71" s="40">
        <v>0</v>
      </c>
      <c r="O71" s="43">
        <f t="shared" si="37"/>
        <v>7546</v>
      </c>
      <c r="P71" s="7">
        <f t="shared" si="38"/>
        <v>7256</v>
      </c>
      <c r="Q71" s="7">
        <f t="shared" si="39"/>
        <v>0</v>
      </c>
      <c r="R71" s="7">
        <f t="shared" si="40"/>
        <v>0</v>
      </c>
      <c r="S71" s="7">
        <f t="shared" si="41"/>
        <v>0</v>
      </c>
      <c r="T71" s="7">
        <f t="shared" si="42"/>
        <v>0</v>
      </c>
      <c r="U71" s="7">
        <v>0</v>
      </c>
      <c r="V71" s="7">
        <v>0</v>
      </c>
      <c r="W71" s="26">
        <f t="shared" si="43"/>
        <v>7256</v>
      </c>
      <c r="X71" s="10">
        <f t="shared" si="44"/>
        <v>871</v>
      </c>
      <c r="Y71" s="10">
        <f t="shared" si="45"/>
        <v>127</v>
      </c>
      <c r="Z71" s="11">
        <f t="shared" si="46"/>
        <v>0</v>
      </c>
      <c r="AA71" s="12">
        <v>0</v>
      </c>
      <c r="AB71" s="12">
        <v>0</v>
      </c>
      <c r="AC71" s="27">
        <f t="shared" si="47"/>
        <v>998</v>
      </c>
      <c r="AD71" s="28">
        <f t="shared" si="48"/>
        <v>6258</v>
      </c>
      <c r="AE71" s="7"/>
      <c r="AF71" s="7"/>
      <c r="AG71" s="13">
        <f>ROUND(($K71/12)/$H71*($I71),0)</f>
        <v>605</v>
      </c>
      <c r="AH71" s="10">
        <f t="shared" si="49"/>
        <v>7256</v>
      </c>
      <c r="AI71" s="10">
        <f t="shared" si="50"/>
        <v>969</v>
      </c>
      <c r="AJ71" s="10">
        <f t="shared" si="51"/>
        <v>7256</v>
      </c>
      <c r="AK71" s="10">
        <f t="shared" si="52"/>
        <v>345</v>
      </c>
      <c r="AL71" s="14">
        <f t="shared" si="53"/>
        <v>9175</v>
      </c>
    </row>
    <row r="72" spans="1:38" s="4" customFormat="1" ht="12" x14ac:dyDescent="0.15">
      <c r="A72" s="15" t="s">
        <v>197</v>
      </c>
      <c r="B72" s="20" t="s">
        <v>196</v>
      </c>
      <c r="C72" s="7" t="s">
        <v>273</v>
      </c>
      <c r="D72" s="7">
        <v>69</v>
      </c>
      <c r="E72" s="7" t="s">
        <v>313</v>
      </c>
      <c r="F72" s="7"/>
      <c r="G72" s="21" t="s">
        <v>3</v>
      </c>
      <c r="H72" s="36">
        <v>26</v>
      </c>
      <c r="I72" s="35">
        <v>26</v>
      </c>
      <c r="J72" s="35">
        <v>0</v>
      </c>
      <c r="K72" s="40">
        <v>7546</v>
      </c>
      <c r="L72" s="40">
        <v>0</v>
      </c>
      <c r="M72" s="40">
        <v>1887</v>
      </c>
      <c r="N72" s="40">
        <v>0</v>
      </c>
      <c r="O72" s="43">
        <f t="shared" si="37"/>
        <v>9433</v>
      </c>
      <c r="P72" s="7">
        <f t="shared" si="38"/>
        <v>7546</v>
      </c>
      <c r="Q72" s="7">
        <f t="shared" si="39"/>
        <v>0</v>
      </c>
      <c r="R72" s="7">
        <f t="shared" si="40"/>
        <v>1887</v>
      </c>
      <c r="S72" s="7">
        <f t="shared" si="41"/>
        <v>0</v>
      </c>
      <c r="T72" s="7">
        <f t="shared" si="42"/>
        <v>0</v>
      </c>
      <c r="U72" s="7">
        <v>0</v>
      </c>
      <c r="V72" s="7">
        <v>0</v>
      </c>
      <c r="W72" s="26">
        <f t="shared" si="43"/>
        <v>9433</v>
      </c>
      <c r="X72" s="10">
        <f t="shared" si="44"/>
        <v>906</v>
      </c>
      <c r="Y72" s="10">
        <f t="shared" si="45"/>
        <v>166</v>
      </c>
      <c r="Z72" s="11">
        <f t="shared" si="46"/>
        <v>0</v>
      </c>
      <c r="AA72" s="12">
        <v>0</v>
      </c>
      <c r="AB72" s="12">
        <v>0</v>
      </c>
      <c r="AC72" s="27">
        <f t="shared" si="47"/>
        <v>1072</v>
      </c>
      <c r="AD72" s="28">
        <f t="shared" si="48"/>
        <v>8361</v>
      </c>
      <c r="AE72" s="7"/>
      <c r="AF72" s="7"/>
      <c r="AG72" s="13">
        <f>ROUND(($K72/12)/$H72*($I72),0)</f>
        <v>629</v>
      </c>
      <c r="AH72" s="10">
        <f t="shared" si="49"/>
        <v>7546</v>
      </c>
      <c r="AI72" s="10">
        <f t="shared" si="50"/>
        <v>1008</v>
      </c>
      <c r="AJ72" s="10">
        <f t="shared" si="51"/>
        <v>9433</v>
      </c>
      <c r="AK72" s="10">
        <f t="shared" si="52"/>
        <v>449</v>
      </c>
      <c r="AL72" s="14">
        <f t="shared" si="53"/>
        <v>11519</v>
      </c>
    </row>
    <row r="73" spans="1:38" s="4" customFormat="1" ht="12" x14ac:dyDescent="0.15">
      <c r="A73" s="15" t="s">
        <v>75</v>
      </c>
      <c r="B73" s="2" t="s">
        <v>7</v>
      </c>
      <c r="C73" s="7" t="s">
        <v>274</v>
      </c>
      <c r="D73" s="7">
        <v>70</v>
      </c>
      <c r="E73" s="7" t="s">
        <v>76</v>
      </c>
      <c r="F73" s="7"/>
      <c r="G73" s="21" t="s">
        <v>2</v>
      </c>
      <c r="H73" s="30">
        <v>26</v>
      </c>
      <c r="I73" s="35">
        <v>31</v>
      </c>
      <c r="J73" s="16">
        <v>0</v>
      </c>
      <c r="K73" s="40">
        <v>5509</v>
      </c>
      <c r="L73" s="40">
        <v>0</v>
      </c>
      <c r="M73" s="40">
        <v>2361</v>
      </c>
      <c r="N73" s="40">
        <v>0</v>
      </c>
      <c r="O73" s="43">
        <f t="shared" si="37"/>
        <v>7870</v>
      </c>
      <c r="P73" s="7">
        <f t="shared" si="38"/>
        <v>6568</v>
      </c>
      <c r="Q73" s="7">
        <f t="shared" si="39"/>
        <v>0</v>
      </c>
      <c r="R73" s="7">
        <f t="shared" si="40"/>
        <v>2815</v>
      </c>
      <c r="S73" s="7">
        <f t="shared" si="41"/>
        <v>0</v>
      </c>
      <c r="T73" s="7">
        <f t="shared" si="42"/>
        <v>0</v>
      </c>
      <c r="U73" s="7">
        <v>0</v>
      </c>
      <c r="V73" s="7">
        <v>0</v>
      </c>
      <c r="W73" s="26">
        <f t="shared" si="43"/>
        <v>9383</v>
      </c>
      <c r="X73" s="10">
        <f t="shared" si="44"/>
        <v>788</v>
      </c>
      <c r="Y73" s="10">
        <f t="shared" si="45"/>
        <v>165</v>
      </c>
      <c r="Z73" s="11">
        <f t="shared" si="46"/>
        <v>0</v>
      </c>
      <c r="AA73" s="12">
        <v>1000</v>
      </c>
      <c r="AB73" s="12">
        <v>0</v>
      </c>
      <c r="AC73" s="27">
        <f t="shared" si="47"/>
        <v>1953</v>
      </c>
      <c r="AD73" s="28">
        <f t="shared" si="48"/>
        <v>7430</v>
      </c>
      <c r="AE73" s="7"/>
      <c r="AF73" s="7"/>
      <c r="AG73" s="13">
        <f>ROUND(($O73/12)/$H73*($I73),0)</f>
        <v>782</v>
      </c>
      <c r="AH73" s="10">
        <f t="shared" si="49"/>
        <v>6568</v>
      </c>
      <c r="AI73" s="10">
        <f t="shared" si="50"/>
        <v>877</v>
      </c>
      <c r="AJ73" s="10">
        <f t="shared" si="51"/>
        <v>9383</v>
      </c>
      <c r="AK73" s="10">
        <f t="shared" si="52"/>
        <v>446</v>
      </c>
      <c r="AL73" s="14">
        <f t="shared" si="53"/>
        <v>11488</v>
      </c>
    </row>
    <row r="74" spans="1:38" s="4" customFormat="1" ht="12" x14ac:dyDescent="0.15">
      <c r="A74" s="15" t="s">
        <v>175</v>
      </c>
      <c r="B74" s="2" t="s">
        <v>165</v>
      </c>
      <c r="C74" s="7" t="s">
        <v>275</v>
      </c>
      <c r="D74" s="7">
        <v>71</v>
      </c>
      <c r="E74" s="7" t="s">
        <v>176</v>
      </c>
      <c r="F74" s="7"/>
      <c r="G74" s="21" t="s">
        <v>2</v>
      </c>
      <c r="H74" s="36">
        <v>26</v>
      </c>
      <c r="I74" s="35">
        <v>26</v>
      </c>
      <c r="J74" s="35">
        <v>0</v>
      </c>
      <c r="K74" s="40">
        <v>7546</v>
      </c>
      <c r="L74" s="40">
        <v>0</v>
      </c>
      <c r="M74" s="40">
        <v>0</v>
      </c>
      <c r="N74" s="40">
        <v>0</v>
      </c>
      <c r="O74" s="43">
        <f t="shared" si="37"/>
        <v>7546</v>
      </c>
      <c r="P74" s="7">
        <f t="shared" si="38"/>
        <v>7546</v>
      </c>
      <c r="Q74" s="7">
        <f t="shared" si="39"/>
        <v>0</v>
      </c>
      <c r="R74" s="7">
        <f t="shared" si="40"/>
        <v>0</v>
      </c>
      <c r="S74" s="7">
        <f t="shared" si="41"/>
        <v>0</v>
      </c>
      <c r="T74" s="7">
        <f t="shared" si="42"/>
        <v>0</v>
      </c>
      <c r="U74" s="7">
        <v>0</v>
      </c>
      <c r="V74" s="7">
        <v>0</v>
      </c>
      <c r="W74" s="26">
        <f t="shared" si="43"/>
        <v>7546</v>
      </c>
      <c r="X74" s="10">
        <f t="shared" si="44"/>
        <v>906</v>
      </c>
      <c r="Y74" s="10">
        <f t="shared" si="45"/>
        <v>133</v>
      </c>
      <c r="Z74" s="11">
        <f t="shared" si="46"/>
        <v>0</v>
      </c>
      <c r="AA74" s="12">
        <v>0</v>
      </c>
      <c r="AB74" s="12">
        <v>0</v>
      </c>
      <c r="AC74" s="27">
        <f t="shared" si="47"/>
        <v>1039</v>
      </c>
      <c r="AD74" s="28">
        <f t="shared" si="48"/>
        <v>6507</v>
      </c>
      <c r="AE74" s="7"/>
      <c r="AF74" s="7"/>
      <c r="AG74" s="13">
        <f>ROUND(($K74/12)/$H74*($I74),0)</f>
        <v>629</v>
      </c>
      <c r="AH74" s="10">
        <f t="shared" si="49"/>
        <v>7546</v>
      </c>
      <c r="AI74" s="10">
        <f t="shared" si="50"/>
        <v>1008</v>
      </c>
      <c r="AJ74" s="10">
        <f t="shared" si="51"/>
        <v>7546</v>
      </c>
      <c r="AK74" s="10">
        <f t="shared" si="52"/>
        <v>359</v>
      </c>
      <c r="AL74" s="14">
        <f t="shared" si="53"/>
        <v>9542</v>
      </c>
    </row>
    <row r="75" spans="1:38" s="4" customFormat="1" ht="12" x14ac:dyDescent="0.15">
      <c r="A75" s="15" t="s">
        <v>202</v>
      </c>
      <c r="B75" s="20" t="s">
        <v>196</v>
      </c>
      <c r="C75" s="7" t="s">
        <v>276</v>
      </c>
      <c r="D75" s="7">
        <v>72</v>
      </c>
      <c r="E75" s="7" t="s">
        <v>203</v>
      </c>
      <c r="F75" s="7"/>
      <c r="G75" s="21" t="s">
        <v>2</v>
      </c>
      <c r="H75" s="36">
        <v>26</v>
      </c>
      <c r="I75" s="35">
        <v>24</v>
      </c>
      <c r="J75" s="35">
        <v>0</v>
      </c>
      <c r="K75" s="40">
        <v>7546</v>
      </c>
      <c r="L75" s="40">
        <v>0</v>
      </c>
      <c r="M75" s="41">
        <v>0</v>
      </c>
      <c r="N75" s="40">
        <v>0</v>
      </c>
      <c r="O75" s="43">
        <f t="shared" si="37"/>
        <v>7546</v>
      </c>
      <c r="P75" s="7">
        <f t="shared" si="38"/>
        <v>6966</v>
      </c>
      <c r="Q75" s="7">
        <f t="shared" si="39"/>
        <v>0</v>
      </c>
      <c r="R75" s="7">
        <f t="shared" si="40"/>
        <v>0</v>
      </c>
      <c r="S75" s="7">
        <f t="shared" si="41"/>
        <v>0</v>
      </c>
      <c r="T75" s="7">
        <f t="shared" si="42"/>
        <v>0</v>
      </c>
      <c r="U75" s="7">
        <v>0</v>
      </c>
      <c r="V75" s="7">
        <v>0</v>
      </c>
      <c r="W75" s="26">
        <f t="shared" si="43"/>
        <v>6966</v>
      </c>
      <c r="X75" s="10">
        <f t="shared" si="44"/>
        <v>836</v>
      </c>
      <c r="Y75" s="10">
        <f t="shared" si="45"/>
        <v>122</v>
      </c>
      <c r="Z75" s="11">
        <f t="shared" si="46"/>
        <v>0</v>
      </c>
      <c r="AA75" s="12">
        <v>0</v>
      </c>
      <c r="AB75" s="12">
        <v>0</v>
      </c>
      <c r="AC75" s="27">
        <f t="shared" si="47"/>
        <v>958</v>
      </c>
      <c r="AD75" s="28">
        <f t="shared" si="48"/>
        <v>6008</v>
      </c>
      <c r="AE75" s="7"/>
      <c r="AF75" s="7"/>
      <c r="AG75" s="13">
        <f>ROUND(($K75/12)/$H75*($I75),0)</f>
        <v>580</v>
      </c>
      <c r="AH75" s="10">
        <f t="shared" si="49"/>
        <v>6966</v>
      </c>
      <c r="AI75" s="10">
        <f t="shared" si="50"/>
        <v>931</v>
      </c>
      <c r="AJ75" s="10">
        <f t="shared" si="51"/>
        <v>6966</v>
      </c>
      <c r="AK75" s="10">
        <f t="shared" si="52"/>
        <v>331</v>
      </c>
      <c r="AL75" s="14">
        <f t="shared" si="53"/>
        <v>8808</v>
      </c>
    </row>
    <row r="76" spans="1:38" s="4" customFormat="1" ht="12" x14ac:dyDescent="0.15">
      <c r="A76" s="15" t="s">
        <v>189</v>
      </c>
      <c r="B76" s="3" t="s">
        <v>190</v>
      </c>
      <c r="C76" s="7" t="s">
        <v>277</v>
      </c>
      <c r="D76" s="7">
        <v>73</v>
      </c>
      <c r="E76" s="7" t="s">
        <v>191</v>
      </c>
      <c r="F76" s="7"/>
      <c r="G76" s="21" t="s">
        <v>3</v>
      </c>
      <c r="H76" s="36">
        <v>26</v>
      </c>
      <c r="I76" s="35">
        <v>26</v>
      </c>
      <c r="J76" s="35">
        <v>0</v>
      </c>
      <c r="K76" s="40">
        <v>7546</v>
      </c>
      <c r="L76" s="41">
        <v>0</v>
      </c>
      <c r="M76" s="40">
        <v>1887</v>
      </c>
      <c r="N76" s="41">
        <v>0</v>
      </c>
      <c r="O76" s="43">
        <f t="shared" si="37"/>
        <v>9433</v>
      </c>
      <c r="P76" s="7">
        <f t="shared" si="38"/>
        <v>7546</v>
      </c>
      <c r="Q76" s="7">
        <f t="shared" si="39"/>
        <v>0</v>
      </c>
      <c r="R76" s="7">
        <f t="shared" si="40"/>
        <v>1887</v>
      </c>
      <c r="S76" s="7">
        <f t="shared" si="41"/>
        <v>0</v>
      </c>
      <c r="T76" s="7">
        <f t="shared" si="42"/>
        <v>0</v>
      </c>
      <c r="U76" s="7">
        <v>0</v>
      </c>
      <c r="V76" s="7">
        <v>0</v>
      </c>
      <c r="W76" s="26">
        <f t="shared" si="43"/>
        <v>9433</v>
      </c>
      <c r="X76" s="10">
        <f t="shared" si="44"/>
        <v>906</v>
      </c>
      <c r="Y76" s="10">
        <f t="shared" si="45"/>
        <v>166</v>
      </c>
      <c r="Z76" s="11">
        <f t="shared" si="46"/>
        <v>0</v>
      </c>
      <c r="AA76" s="12">
        <v>0</v>
      </c>
      <c r="AB76" s="12">
        <v>0</v>
      </c>
      <c r="AC76" s="27">
        <f t="shared" si="47"/>
        <v>1072</v>
      </c>
      <c r="AD76" s="28">
        <f t="shared" si="48"/>
        <v>8361</v>
      </c>
      <c r="AE76" s="7"/>
      <c r="AF76" s="7"/>
      <c r="AG76" s="13">
        <f>ROUND(($K76/12)/$H76*($I76),0)</f>
        <v>629</v>
      </c>
      <c r="AH76" s="10">
        <f t="shared" si="49"/>
        <v>7546</v>
      </c>
      <c r="AI76" s="10">
        <f t="shared" si="50"/>
        <v>1008</v>
      </c>
      <c r="AJ76" s="10">
        <f t="shared" si="51"/>
        <v>9433</v>
      </c>
      <c r="AK76" s="10">
        <f t="shared" si="52"/>
        <v>449</v>
      </c>
      <c r="AL76" s="14">
        <f t="shared" si="53"/>
        <v>11519</v>
      </c>
    </row>
    <row r="77" spans="1:38" s="4" customFormat="1" ht="12" x14ac:dyDescent="0.15">
      <c r="A77" s="15" t="s">
        <v>124</v>
      </c>
      <c r="B77" s="20" t="s">
        <v>22</v>
      </c>
      <c r="C77" s="7" t="s">
        <v>278</v>
      </c>
      <c r="D77" s="7">
        <v>74</v>
      </c>
      <c r="E77" s="7" t="s">
        <v>125</v>
      </c>
      <c r="F77" s="7"/>
      <c r="G77" s="21" t="s">
        <v>2</v>
      </c>
      <c r="H77" s="30">
        <v>26</v>
      </c>
      <c r="I77" s="35">
        <v>25</v>
      </c>
      <c r="J77" s="16">
        <v>0</v>
      </c>
      <c r="K77" s="40">
        <v>2450</v>
      </c>
      <c r="L77" s="40">
        <v>0</v>
      </c>
      <c r="M77" s="41">
        <v>2450</v>
      </c>
      <c r="N77" s="40">
        <v>0</v>
      </c>
      <c r="O77" s="43">
        <f t="shared" si="37"/>
        <v>4900</v>
      </c>
      <c r="P77" s="7">
        <f t="shared" si="38"/>
        <v>2356</v>
      </c>
      <c r="Q77" s="7">
        <f t="shared" si="39"/>
        <v>0</v>
      </c>
      <c r="R77" s="7">
        <f t="shared" si="40"/>
        <v>2356</v>
      </c>
      <c r="S77" s="7">
        <f t="shared" si="41"/>
        <v>0</v>
      </c>
      <c r="T77" s="7">
        <f t="shared" si="42"/>
        <v>0</v>
      </c>
      <c r="U77" s="7">
        <v>0</v>
      </c>
      <c r="V77" s="7">
        <v>0</v>
      </c>
      <c r="W77" s="26">
        <f t="shared" si="43"/>
        <v>4712</v>
      </c>
      <c r="X77" s="10">
        <f t="shared" si="44"/>
        <v>283</v>
      </c>
      <c r="Y77" s="10">
        <f t="shared" si="45"/>
        <v>83</v>
      </c>
      <c r="Z77" s="11">
        <f t="shared" si="46"/>
        <v>0</v>
      </c>
      <c r="AA77" s="12">
        <v>0</v>
      </c>
      <c r="AB77" s="12">
        <v>0</v>
      </c>
      <c r="AC77" s="27">
        <f t="shared" si="47"/>
        <v>366</v>
      </c>
      <c r="AD77" s="28">
        <f t="shared" si="48"/>
        <v>4346</v>
      </c>
      <c r="AE77" s="7"/>
      <c r="AF77" s="7"/>
      <c r="AG77" s="13">
        <f>ROUND(($O77/12)/$H77*($I77),0)</f>
        <v>393</v>
      </c>
      <c r="AH77" s="10">
        <f t="shared" si="49"/>
        <v>2356</v>
      </c>
      <c r="AI77" s="10">
        <f t="shared" si="50"/>
        <v>315</v>
      </c>
      <c r="AJ77" s="10">
        <f t="shared" si="51"/>
        <v>4712</v>
      </c>
      <c r="AK77" s="10">
        <f t="shared" si="52"/>
        <v>224</v>
      </c>
      <c r="AL77" s="14">
        <f t="shared" si="53"/>
        <v>5644</v>
      </c>
    </row>
    <row r="78" spans="1:38" s="4" customFormat="1" ht="12" x14ac:dyDescent="0.15">
      <c r="A78" s="15" t="s">
        <v>171</v>
      </c>
      <c r="B78" s="2" t="s">
        <v>165</v>
      </c>
      <c r="C78" s="7" t="s">
        <v>279</v>
      </c>
      <c r="D78" s="7">
        <v>75</v>
      </c>
      <c r="E78" s="7" t="s">
        <v>314</v>
      </c>
      <c r="F78" s="7"/>
      <c r="G78" s="21" t="s">
        <v>3</v>
      </c>
      <c r="H78" s="36">
        <v>26</v>
      </c>
      <c r="I78" s="35">
        <v>26</v>
      </c>
      <c r="J78" s="35">
        <v>0</v>
      </c>
      <c r="K78" s="40">
        <v>7546</v>
      </c>
      <c r="L78" s="40">
        <v>0</v>
      </c>
      <c r="M78" s="40">
        <v>1887</v>
      </c>
      <c r="N78" s="40">
        <v>0</v>
      </c>
      <c r="O78" s="43">
        <f t="shared" si="37"/>
        <v>9433</v>
      </c>
      <c r="P78" s="7">
        <f t="shared" si="38"/>
        <v>7546</v>
      </c>
      <c r="Q78" s="7">
        <f t="shared" si="39"/>
        <v>0</v>
      </c>
      <c r="R78" s="7">
        <f t="shared" si="40"/>
        <v>1887</v>
      </c>
      <c r="S78" s="7">
        <f t="shared" si="41"/>
        <v>0</v>
      </c>
      <c r="T78" s="7">
        <f t="shared" si="42"/>
        <v>0</v>
      </c>
      <c r="U78" s="7">
        <v>0</v>
      </c>
      <c r="V78" s="7">
        <v>0</v>
      </c>
      <c r="W78" s="26">
        <f t="shared" si="43"/>
        <v>9433</v>
      </c>
      <c r="X78" s="10">
        <f t="shared" si="44"/>
        <v>906</v>
      </c>
      <c r="Y78" s="10">
        <f t="shared" si="45"/>
        <v>166</v>
      </c>
      <c r="Z78" s="11">
        <f t="shared" si="46"/>
        <v>0</v>
      </c>
      <c r="AA78" s="12">
        <v>0</v>
      </c>
      <c r="AB78" s="12">
        <v>0</v>
      </c>
      <c r="AC78" s="27">
        <f t="shared" si="47"/>
        <v>1072</v>
      </c>
      <c r="AD78" s="28">
        <f t="shared" si="48"/>
        <v>8361</v>
      </c>
      <c r="AE78" s="7"/>
      <c r="AF78" s="7"/>
      <c r="AG78" s="13">
        <f>ROUND(($K78/12)/$H78*($I78),0)</f>
        <v>629</v>
      </c>
      <c r="AH78" s="10">
        <f t="shared" si="49"/>
        <v>7546</v>
      </c>
      <c r="AI78" s="10">
        <f t="shared" si="50"/>
        <v>1008</v>
      </c>
      <c r="AJ78" s="10">
        <f t="shared" si="51"/>
        <v>9433</v>
      </c>
      <c r="AK78" s="10">
        <f t="shared" si="52"/>
        <v>449</v>
      </c>
      <c r="AL78" s="14">
        <f t="shared" si="53"/>
        <v>11519</v>
      </c>
    </row>
    <row r="79" spans="1:38" s="4" customFormat="1" ht="12" x14ac:dyDescent="0.15">
      <c r="A79" s="15" t="s">
        <v>70</v>
      </c>
      <c r="B79" s="2" t="s">
        <v>5</v>
      </c>
      <c r="C79" s="7" t="s">
        <v>280</v>
      </c>
      <c r="D79" s="7">
        <v>76</v>
      </c>
      <c r="E79" s="7" t="s">
        <v>71</v>
      </c>
      <c r="F79" s="7"/>
      <c r="G79" s="21" t="s">
        <v>2</v>
      </c>
      <c r="H79" s="30">
        <v>26</v>
      </c>
      <c r="I79" s="35">
        <v>26</v>
      </c>
      <c r="J79" s="16">
        <v>0</v>
      </c>
      <c r="K79" s="40">
        <v>5509</v>
      </c>
      <c r="L79" s="40">
        <v>0</v>
      </c>
      <c r="M79" s="40">
        <v>2361</v>
      </c>
      <c r="N79" s="40">
        <v>0</v>
      </c>
      <c r="O79" s="43">
        <f t="shared" si="37"/>
        <v>7870</v>
      </c>
      <c r="P79" s="7">
        <f t="shared" si="38"/>
        <v>5509</v>
      </c>
      <c r="Q79" s="7">
        <f t="shared" si="39"/>
        <v>0</v>
      </c>
      <c r="R79" s="7">
        <f t="shared" si="40"/>
        <v>2361</v>
      </c>
      <c r="S79" s="7">
        <f t="shared" si="41"/>
        <v>0</v>
      </c>
      <c r="T79" s="7">
        <f t="shared" si="42"/>
        <v>0</v>
      </c>
      <c r="U79" s="7">
        <v>0</v>
      </c>
      <c r="V79" s="7">
        <v>0</v>
      </c>
      <c r="W79" s="26">
        <f t="shared" si="43"/>
        <v>7870</v>
      </c>
      <c r="X79" s="10">
        <f t="shared" si="44"/>
        <v>661</v>
      </c>
      <c r="Y79" s="10">
        <f t="shared" si="45"/>
        <v>138</v>
      </c>
      <c r="Z79" s="11">
        <f t="shared" si="46"/>
        <v>0</v>
      </c>
      <c r="AA79" s="12">
        <v>0</v>
      </c>
      <c r="AB79" s="12">
        <v>0</v>
      </c>
      <c r="AC79" s="27">
        <f t="shared" si="47"/>
        <v>799</v>
      </c>
      <c r="AD79" s="28">
        <f t="shared" si="48"/>
        <v>7071</v>
      </c>
      <c r="AE79" s="7"/>
      <c r="AF79" s="7"/>
      <c r="AG79" s="13">
        <f>ROUND(($O79/12)/$H79*($I79),0)</f>
        <v>656</v>
      </c>
      <c r="AH79" s="10">
        <f t="shared" si="49"/>
        <v>5509</v>
      </c>
      <c r="AI79" s="10">
        <f t="shared" si="50"/>
        <v>736</v>
      </c>
      <c r="AJ79" s="10">
        <f t="shared" si="51"/>
        <v>7870</v>
      </c>
      <c r="AK79" s="10">
        <f t="shared" si="52"/>
        <v>374</v>
      </c>
      <c r="AL79" s="14">
        <f t="shared" si="53"/>
        <v>9636</v>
      </c>
    </row>
    <row r="80" spans="1:38" s="4" customFormat="1" ht="12" x14ac:dyDescent="0.15">
      <c r="A80" s="15" t="s">
        <v>100</v>
      </c>
      <c r="B80" s="3" t="s">
        <v>16</v>
      </c>
      <c r="C80" s="7" t="s">
        <v>281</v>
      </c>
      <c r="D80" s="7">
        <v>77</v>
      </c>
      <c r="E80" s="7" t="s">
        <v>101</v>
      </c>
      <c r="F80" s="7"/>
      <c r="G80" s="21" t="s">
        <v>2</v>
      </c>
      <c r="H80" s="30">
        <v>26</v>
      </c>
      <c r="I80" s="35">
        <v>27</v>
      </c>
      <c r="J80" s="16">
        <v>0</v>
      </c>
      <c r="K80" s="40">
        <v>4627</v>
      </c>
      <c r="L80" s="40">
        <v>0</v>
      </c>
      <c r="M80" s="40">
        <v>3084</v>
      </c>
      <c r="N80" s="40">
        <v>0</v>
      </c>
      <c r="O80" s="43">
        <f t="shared" si="37"/>
        <v>7711</v>
      </c>
      <c r="P80" s="7">
        <f t="shared" si="38"/>
        <v>4805</v>
      </c>
      <c r="Q80" s="7">
        <f t="shared" si="39"/>
        <v>0</v>
      </c>
      <c r="R80" s="7">
        <f t="shared" si="40"/>
        <v>3203</v>
      </c>
      <c r="S80" s="7">
        <f t="shared" si="41"/>
        <v>0</v>
      </c>
      <c r="T80" s="7">
        <f t="shared" si="42"/>
        <v>0</v>
      </c>
      <c r="U80" s="7">
        <v>0</v>
      </c>
      <c r="V80" s="7">
        <v>0</v>
      </c>
      <c r="W80" s="26">
        <f t="shared" si="43"/>
        <v>8008</v>
      </c>
      <c r="X80" s="10">
        <f t="shared" si="44"/>
        <v>577</v>
      </c>
      <c r="Y80" s="10">
        <f t="shared" si="45"/>
        <v>141</v>
      </c>
      <c r="Z80" s="11">
        <f t="shared" si="46"/>
        <v>0</v>
      </c>
      <c r="AA80" s="12">
        <v>0</v>
      </c>
      <c r="AB80" s="12">
        <v>0</v>
      </c>
      <c r="AC80" s="27">
        <f t="shared" si="47"/>
        <v>718</v>
      </c>
      <c r="AD80" s="28">
        <f t="shared" si="48"/>
        <v>7290</v>
      </c>
      <c r="AE80" s="7"/>
      <c r="AF80" s="7"/>
      <c r="AG80" s="13">
        <f>ROUND(($O80/12)/$H80*($I80),0)</f>
        <v>667</v>
      </c>
      <c r="AH80" s="10">
        <f t="shared" si="49"/>
        <v>4805</v>
      </c>
      <c r="AI80" s="10">
        <f t="shared" si="50"/>
        <v>642</v>
      </c>
      <c r="AJ80" s="10">
        <f t="shared" si="51"/>
        <v>8008</v>
      </c>
      <c r="AK80" s="10">
        <f t="shared" si="52"/>
        <v>381</v>
      </c>
      <c r="AL80" s="14">
        <f t="shared" si="53"/>
        <v>9698</v>
      </c>
    </row>
    <row r="81" spans="1:38" s="4" customFormat="1" ht="12" x14ac:dyDescent="0.15">
      <c r="A81" s="15" t="s">
        <v>117</v>
      </c>
      <c r="B81" s="20" t="s">
        <v>20</v>
      </c>
      <c r="C81" s="7" t="s">
        <v>282</v>
      </c>
      <c r="D81" s="7">
        <v>78</v>
      </c>
      <c r="E81" s="7" t="s">
        <v>118</v>
      </c>
      <c r="F81" s="7"/>
      <c r="G81" s="21" t="s">
        <v>2</v>
      </c>
      <c r="H81" s="30">
        <v>30</v>
      </c>
      <c r="I81" s="35">
        <v>30</v>
      </c>
      <c r="J81" s="16">
        <v>0</v>
      </c>
      <c r="K81" s="40">
        <v>5081</v>
      </c>
      <c r="L81" s="40">
        <v>0</v>
      </c>
      <c r="M81" s="41">
        <v>2178</v>
      </c>
      <c r="N81" s="40">
        <v>0</v>
      </c>
      <c r="O81" s="43">
        <f t="shared" si="37"/>
        <v>7259</v>
      </c>
      <c r="P81" s="7">
        <f t="shared" si="38"/>
        <v>5081</v>
      </c>
      <c r="Q81" s="7">
        <f t="shared" si="39"/>
        <v>0</v>
      </c>
      <c r="R81" s="7">
        <f t="shared" si="40"/>
        <v>2178</v>
      </c>
      <c r="S81" s="7">
        <f t="shared" si="41"/>
        <v>0</v>
      </c>
      <c r="T81" s="7">
        <f t="shared" si="42"/>
        <v>0</v>
      </c>
      <c r="U81" s="7">
        <v>0</v>
      </c>
      <c r="V81" s="7">
        <v>0</v>
      </c>
      <c r="W81" s="26">
        <f t="shared" si="43"/>
        <v>7259</v>
      </c>
      <c r="X81" s="10">
        <f t="shared" si="44"/>
        <v>610</v>
      </c>
      <c r="Y81" s="10">
        <f t="shared" si="45"/>
        <v>128</v>
      </c>
      <c r="Z81" s="11">
        <f t="shared" si="46"/>
        <v>0</v>
      </c>
      <c r="AA81" s="12">
        <v>0</v>
      </c>
      <c r="AB81" s="12">
        <v>0</v>
      </c>
      <c r="AC81" s="27">
        <f t="shared" si="47"/>
        <v>738</v>
      </c>
      <c r="AD81" s="28">
        <f t="shared" si="48"/>
        <v>6521</v>
      </c>
      <c r="AE81" s="7"/>
      <c r="AF81" s="7"/>
      <c r="AG81" s="13">
        <v>0</v>
      </c>
      <c r="AH81" s="10">
        <f t="shared" si="49"/>
        <v>5081</v>
      </c>
      <c r="AI81" s="10">
        <f t="shared" si="50"/>
        <v>679</v>
      </c>
      <c r="AJ81" s="10">
        <f t="shared" si="51"/>
        <v>7259</v>
      </c>
      <c r="AK81" s="10">
        <f t="shared" si="52"/>
        <v>345</v>
      </c>
      <c r="AL81" s="14">
        <f t="shared" si="53"/>
        <v>8283</v>
      </c>
    </row>
    <row r="82" spans="1:38" s="4" customFormat="1" ht="12" x14ac:dyDescent="0.15">
      <c r="A82" s="15" t="s">
        <v>78</v>
      </c>
      <c r="B82" s="2" t="s">
        <v>8</v>
      </c>
      <c r="C82" s="7" t="s">
        <v>283</v>
      </c>
      <c r="D82" s="7">
        <v>79</v>
      </c>
      <c r="E82" s="7" t="s">
        <v>79</v>
      </c>
      <c r="F82" s="7"/>
      <c r="G82" s="21" t="s">
        <v>2</v>
      </c>
      <c r="H82" s="30">
        <v>26</v>
      </c>
      <c r="I82" s="35">
        <v>23</v>
      </c>
      <c r="J82" s="16">
        <v>0</v>
      </c>
      <c r="K82" s="40">
        <v>5509</v>
      </c>
      <c r="L82" s="40">
        <v>0</v>
      </c>
      <c r="M82" s="40">
        <v>2361</v>
      </c>
      <c r="N82" s="40">
        <v>0</v>
      </c>
      <c r="O82" s="43">
        <f t="shared" si="37"/>
        <v>7870</v>
      </c>
      <c r="P82" s="7">
        <f t="shared" si="38"/>
        <v>4873</v>
      </c>
      <c r="Q82" s="7">
        <f t="shared" si="39"/>
        <v>0</v>
      </c>
      <c r="R82" s="7">
        <f t="shared" si="40"/>
        <v>2089</v>
      </c>
      <c r="S82" s="7">
        <f t="shared" si="41"/>
        <v>0</v>
      </c>
      <c r="T82" s="7">
        <f t="shared" si="42"/>
        <v>0</v>
      </c>
      <c r="U82" s="7">
        <v>0</v>
      </c>
      <c r="V82" s="7">
        <v>0</v>
      </c>
      <c r="W82" s="26">
        <f t="shared" si="43"/>
        <v>6962</v>
      </c>
      <c r="X82" s="10">
        <f t="shared" si="44"/>
        <v>585</v>
      </c>
      <c r="Y82" s="10">
        <f t="shared" si="45"/>
        <v>122</v>
      </c>
      <c r="Z82" s="11">
        <f t="shared" si="46"/>
        <v>0</v>
      </c>
      <c r="AA82" s="12">
        <v>500</v>
      </c>
      <c r="AB82" s="12">
        <v>0</v>
      </c>
      <c r="AC82" s="27">
        <f t="shared" si="47"/>
        <v>1207</v>
      </c>
      <c r="AD82" s="28">
        <f t="shared" si="48"/>
        <v>5755</v>
      </c>
      <c r="AE82" s="7"/>
      <c r="AF82" s="7"/>
      <c r="AG82" s="13">
        <f>ROUND(($O82/12)/$H82*($I82),0)</f>
        <v>580</v>
      </c>
      <c r="AH82" s="10">
        <f t="shared" si="49"/>
        <v>4873</v>
      </c>
      <c r="AI82" s="10">
        <f t="shared" si="50"/>
        <v>651</v>
      </c>
      <c r="AJ82" s="10">
        <f t="shared" si="51"/>
        <v>6962</v>
      </c>
      <c r="AK82" s="10">
        <f t="shared" si="52"/>
        <v>331</v>
      </c>
      <c r="AL82" s="14">
        <f t="shared" si="53"/>
        <v>8524</v>
      </c>
    </row>
    <row r="83" spans="1:38" s="4" customFormat="1" ht="12" x14ac:dyDescent="0.15">
      <c r="A83" s="15" t="s">
        <v>122</v>
      </c>
      <c r="B83" s="20" t="s">
        <v>21</v>
      </c>
      <c r="C83" s="7" t="s">
        <v>284</v>
      </c>
      <c r="D83" s="7">
        <v>80</v>
      </c>
      <c r="E83" s="7" t="s">
        <v>123</v>
      </c>
      <c r="F83" s="7"/>
      <c r="G83" s="21" t="s">
        <v>2</v>
      </c>
      <c r="H83" s="30">
        <v>30</v>
      </c>
      <c r="I83" s="35">
        <v>29</v>
      </c>
      <c r="J83" s="16">
        <v>0</v>
      </c>
      <c r="K83" s="40">
        <v>2500</v>
      </c>
      <c r="L83" s="40">
        <v>0</v>
      </c>
      <c r="M83" s="41">
        <v>1500</v>
      </c>
      <c r="N83" s="40">
        <v>0</v>
      </c>
      <c r="O83" s="43">
        <f t="shared" si="37"/>
        <v>4000</v>
      </c>
      <c r="P83" s="7">
        <f t="shared" si="38"/>
        <v>2417</v>
      </c>
      <c r="Q83" s="7">
        <f t="shared" si="39"/>
        <v>0</v>
      </c>
      <c r="R83" s="7">
        <f t="shared" si="40"/>
        <v>1450</v>
      </c>
      <c r="S83" s="7">
        <f t="shared" si="41"/>
        <v>0</v>
      </c>
      <c r="T83" s="7">
        <f t="shared" si="42"/>
        <v>0</v>
      </c>
      <c r="U83" s="7">
        <v>0</v>
      </c>
      <c r="V83" s="7">
        <v>0</v>
      </c>
      <c r="W83" s="26">
        <f t="shared" si="43"/>
        <v>3867</v>
      </c>
      <c r="X83" s="10">
        <f t="shared" si="44"/>
        <v>290</v>
      </c>
      <c r="Y83" s="10">
        <f t="shared" si="45"/>
        <v>68</v>
      </c>
      <c r="Z83" s="11">
        <f t="shared" si="46"/>
        <v>0</v>
      </c>
      <c r="AA83" s="12">
        <v>0</v>
      </c>
      <c r="AB83" s="12">
        <v>0</v>
      </c>
      <c r="AC83" s="27">
        <f t="shared" si="47"/>
        <v>358</v>
      </c>
      <c r="AD83" s="28">
        <f t="shared" si="48"/>
        <v>3509</v>
      </c>
      <c r="AE83" s="7"/>
      <c r="AF83" s="7"/>
      <c r="AG83" s="13">
        <f>ROUND(($O83/12)/$H83*($I83),0)</f>
        <v>322</v>
      </c>
      <c r="AH83" s="10">
        <f t="shared" si="49"/>
        <v>2417</v>
      </c>
      <c r="AI83" s="10">
        <f t="shared" si="50"/>
        <v>323</v>
      </c>
      <c r="AJ83" s="10">
        <f t="shared" si="51"/>
        <v>3867</v>
      </c>
      <c r="AK83" s="10">
        <f t="shared" si="52"/>
        <v>184</v>
      </c>
      <c r="AL83" s="14">
        <f t="shared" si="53"/>
        <v>4696</v>
      </c>
    </row>
    <row r="84" spans="1:38" s="4" customFormat="1" ht="12" x14ac:dyDescent="0.15">
      <c r="A84" s="15" t="s">
        <v>102</v>
      </c>
      <c r="B84" s="3" t="s">
        <v>17</v>
      </c>
      <c r="C84" s="7" t="s">
        <v>285</v>
      </c>
      <c r="D84" s="7">
        <v>81</v>
      </c>
      <c r="E84" s="7" t="s">
        <v>315</v>
      </c>
      <c r="F84" s="7"/>
      <c r="G84" s="21" t="s">
        <v>2</v>
      </c>
      <c r="H84" s="30">
        <v>26</v>
      </c>
      <c r="I84" s="35">
        <v>27</v>
      </c>
      <c r="J84" s="16">
        <v>0</v>
      </c>
      <c r="K84" s="40">
        <v>7400</v>
      </c>
      <c r="L84" s="41">
        <v>0</v>
      </c>
      <c r="M84" s="40">
        <v>176</v>
      </c>
      <c r="N84" s="41">
        <v>0</v>
      </c>
      <c r="O84" s="43">
        <f t="shared" si="37"/>
        <v>7576</v>
      </c>
      <c r="P84" s="7">
        <f t="shared" si="38"/>
        <v>7685</v>
      </c>
      <c r="Q84" s="7">
        <f t="shared" si="39"/>
        <v>0</v>
      </c>
      <c r="R84" s="7">
        <f t="shared" si="40"/>
        <v>183</v>
      </c>
      <c r="S84" s="7">
        <f t="shared" si="41"/>
        <v>0</v>
      </c>
      <c r="T84" s="7">
        <f t="shared" si="42"/>
        <v>0</v>
      </c>
      <c r="U84" s="7">
        <v>0</v>
      </c>
      <c r="V84" s="7">
        <v>0</v>
      </c>
      <c r="W84" s="26">
        <f t="shared" si="43"/>
        <v>7868</v>
      </c>
      <c r="X84" s="10">
        <f t="shared" si="44"/>
        <v>922</v>
      </c>
      <c r="Y84" s="10">
        <f t="shared" si="45"/>
        <v>138</v>
      </c>
      <c r="Z84" s="11">
        <f t="shared" si="46"/>
        <v>0</v>
      </c>
      <c r="AA84" s="12">
        <v>0</v>
      </c>
      <c r="AB84" s="12">
        <v>0</v>
      </c>
      <c r="AC84" s="27">
        <f t="shared" si="47"/>
        <v>1060</v>
      </c>
      <c r="AD84" s="28">
        <f t="shared" si="48"/>
        <v>6808</v>
      </c>
      <c r="AE84" s="7"/>
      <c r="AF84" s="7"/>
      <c r="AG84" s="13">
        <f>ROUND(($O84/12)/$H84*($I84),0)</f>
        <v>656</v>
      </c>
      <c r="AH84" s="10">
        <f t="shared" si="49"/>
        <v>7685</v>
      </c>
      <c r="AI84" s="10">
        <f t="shared" si="50"/>
        <v>1027</v>
      </c>
      <c r="AJ84" s="10">
        <f t="shared" si="51"/>
        <v>7867</v>
      </c>
      <c r="AK84" s="10">
        <f t="shared" si="52"/>
        <v>374</v>
      </c>
      <c r="AL84" s="14">
        <f t="shared" si="53"/>
        <v>9925</v>
      </c>
    </row>
    <row r="85" spans="1:38" s="4" customFormat="1" ht="12" x14ac:dyDescent="0.15">
      <c r="A85" s="15" t="s">
        <v>108</v>
      </c>
      <c r="B85" s="3" t="s">
        <v>17</v>
      </c>
      <c r="C85" s="7" t="s">
        <v>286</v>
      </c>
      <c r="D85" s="7">
        <v>82</v>
      </c>
      <c r="E85" s="7" t="s">
        <v>316</v>
      </c>
      <c r="F85" s="7"/>
      <c r="G85" s="21" t="s">
        <v>3</v>
      </c>
      <c r="H85" s="30">
        <v>26</v>
      </c>
      <c r="I85" s="35">
        <v>29</v>
      </c>
      <c r="J85" s="16">
        <v>0</v>
      </c>
      <c r="K85" s="40">
        <v>7400</v>
      </c>
      <c r="L85" s="41">
        <v>0</v>
      </c>
      <c r="M85" s="40">
        <v>537</v>
      </c>
      <c r="N85" s="41">
        <v>0</v>
      </c>
      <c r="O85" s="43">
        <f t="shared" si="37"/>
        <v>7937</v>
      </c>
      <c r="P85" s="7">
        <f t="shared" si="38"/>
        <v>8254</v>
      </c>
      <c r="Q85" s="7">
        <f t="shared" si="39"/>
        <v>0</v>
      </c>
      <c r="R85" s="7">
        <f t="shared" si="40"/>
        <v>599</v>
      </c>
      <c r="S85" s="7">
        <f t="shared" si="41"/>
        <v>0</v>
      </c>
      <c r="T85" s="7">
        <f t="shared" si="42"/>
        <v>0</v>
      </c>
      <c r="U85" s="7">
        <v>0</v>
      </c>
      <c r="V85" s="7">
        <v>0</v>
      </c>
      <c r="W85" s="26">
        <f t="shared" si="43"/>
        <v>8853</v>
      </c>
      <c r="X85" s="10">
        <f t="shared" si="44"/>
        <v>990</v>
      </c>
      <c r="Y85" s="10">
        <f t="shared" si="45"/>
        <v>155</v>
      </c>
      <c r="Z85" s="11">
        <f t="shared" si="46"/>
        <v>0</v>
      </c>
      <c r="AA85" s="12">
        <v>0</v>
      </c>
      <c r="AB85" s="12">
        <v>0</v>
      </c>
      <c r="AC85" s="27">
        <f t="shared" si="47"/>
        <v>1145</v>
      </c>
      <c r="AD85" s="28">
        <f t="shared" si="48"/>
        <v>7708</v>
      </c>
      <c r="AE85" s="7"/>
      <c r="AF85" s="7"/>
      <c r="AG85" s="13">
        <f>ROUND(($O85/12)/$H85*($I85),0)</f>
        <v>738</v>
      </c>
      <c r="AH85" s="10">
        <f t="shared" si="49"/>
        <v>8254</v>
      </c>
      <c r="AI85" s="10">
        <f t="shared" si="50"/>
        <v>1103</v>
      </c>
      <c r="AJ85" s="10">
        <f t="shared" si="51"/>
        <v>8853</v>
      </c>
      <c r="AK85" s="10">
        <f t="shared" si="52"/>
        <v>421</v>
      </c>
      <c r="AL85" s="14">
        <f t="shared" si="53"/>
        <v>11115</v>
      </c>
    </row>
    <row r="86" spans="1:38" s="4" customFormat="1" ht="12" x14ac:dyDescent="0.15">
      <c r="A86" s="7"/>
      <c r="B86" s="21"/>
      <c r="C86" s="21"/>
      <c r="D86" s="7"/>
      <c r="E86" s="7"/>
      <c r="F86" s="7"/>
      <c r="G86" s="21"/>
      <c r="H86" s="30"/>
      <c r="I86" s="16"/>
      <c r="J86" s="16"/>
      <c r="K86" s="31"/>
      <c r="L86" s="31"/>
      <c r="M86" s="32"/>
      <c r="N86" s="31"/>
      <c r="O86" s="25"/>
      <c r="P86" s="7"/>
      <c r="Q86" s="7"/>
      <c r="R86" s="7"/>
      <c r="S86" s="7"/>
      <c r="T86" s="7"/>
      <c r="U86" s="7"/>
      <c r="V86" s="7"/>
      <c r="W86" s="26"/>
      <c r="X86" s="10"/>
      <c r="Y86" s="10"/>
      <c r="Z86" s="11"/>
      <c r="AA86" s="12"/>
      <c r="AB86" s="12"/>
      <c r="AC86" s="27"/>
      <c r="AD86" s="28"/>
      <c r="AE86" s="7"/>
      <c r="AF86" s="7"/>
      <c r="AG86" s="13"/>
      <c r="AH86" s="10"/>
      <c r="AI86" s="10"/>
      <c r="AJ86" s="10"/>
      <c r="AK86" s="10"/>
      <c r="AL86" s="14"/>
    </row>
    <row r="87" spans="1:38" s="4" customFormat="1" ht="12" x14ac:dyDescent="0.15">
      <c r="A87" s="17"/>
      <c r="B87" s="22"/>
      <c r="C87" s="22"/>
      <c r="D87" s="17"/>
      <c r="E87" s="17"/>
      <c r="F87" s="17"/>
      <c r="G87" s="22"/>
      <c r="H87" s="39"/>
      <c r="I87" s="29">
        <f t="shared" ref="I87:AL87" si="54">SUBTOTAL(109,I4:I86)</f>
        <v>2011</v>
      </c>
      <c r="J87" s="29">
        <f t="shared" si="54"/>
        <v>1</v>
      </c>
      <c r="K87" s="29">
        <f t="shared" si="54"/>
        <v>524083</v>
      </c>
      <c r="L87" s="29">
        <f t="shared" si="54"/>
        <v>0</v>
      </c>
      <c r="M87" s="29">
        <f t="shared" si="54"/>
        <v>128258</v>
      </c>
      <c r="N87" s="29">
        <f t="shared" si="54"/>
        <v>0</v>
      </c>
      <c r="O87" s="29">
        <f t="shared" si="54"/>
        <v>652341</v>
      </c>
      <c r="P87" s="29">
        <f t="shared" si="54"/>
        <v>484158</v>
      </c>
      <c r="Q87" s="29">
        <f t="shared" si="54"/>
        <v>0</v>
      </c>
      <c r="R87" s="29">
        <f t="shared" si="54"/>
        <v>119366</v>
      </c>
      <c r="S87" s="29">
        <f t="shared" si="54"/>
        <v>0</v>
      </c>
      <c r="T87" s="29">
        <f t="shared" si="54"/>
        <v>290</v>
      </c>
      <c r="U87" s="29">
        <f t="shared" si="54"/>
        <v>0</v>
      </c>
      <c r="V87" s="29">
        <f t="shared" si="54"/>
        <v>0</v>
      </c>
      <c r="W87" s="29">
        <f t="shared" si="54"/>
        <v>603814</v>
      </c>
      <c r="X87" s="29">
        <f t="shared" si="54"/>
        <v>58109</v>
      </c>
      <c r="Y87" s="29">
        <f t="shared" si="54"/>
        <v>10611</v>
      </c>
      <c r="Z87" s="29">
        <f t="shared" si="54"/>
        <v>110</v>
      </c>
      <c r="AA87" s="29">
        <f t="shared" si="54"/>
        <v>15950</v>
      </c>
      <c r="AB87" s="29">
        <f t="shared" si="54"/>
        <v>500</v>
      </c>
      <c r="AC87" s="29">
        <f t="shared" si="54"/>
        <v>85280</v>
      </c>
      <c r="AD87" s="29">
        <f t="shared" si="54"/>
        <v>518534</v>
      </c>
      <c r="AE87" s="29">
        <f t="shared" si="54"/>
        <v>0</v>
      </c>
      <c r="AF87" s="29">
        <f t="shared" si="54"/>
        <v>0</v>
      </c>
      <c r="AG87" s="29">
        <f t="shared" si="54"/>
        <v>45723</v>
      </c>
      <c r="AH87" s="29">
        <f t="shared" si="54"/>
        <v>484158</v>
      </c>
      <c r="AI87" s="29">
        <f t="shared" si="54"/>
        <v>64682</v>
      </c>
      <c r="AJ87" s="29">
        <f t="shared" si="54"/>
        <v>603809</v>
      </c>
      <c r="AK87" s="29">
        <f t="shared" si="54"/>
        <v>28717</v>
      </c>
      <c r="AL87" s="29">
        <f t="shared" si="54"/>
        <v>742436</v>
      </c>
    </row>
    <row r="88" spans="1:38" x14ac:dyDescent="0.25">
      <c r="AH88" s="33">
        <v>7546</v>
      </c>
      <c r="AI88" s="33"/>
    </row>
    <row r="89" spans="1:38" x14ac:dyDescent="0.25">
      <c r="AC89" s="33">
        <v>9200</v>
      </c>
      <c r="AD89" s="33">
        <f>4700+5100</f>
        <v>9800</v>
      </c>
      <c r="AH89" s="33">
        <f>+AH87+AH88</f>
        <v>491704</v>
      </c>
      <c r="AI89" s="34"/>
    </row>
    <row r="90" spans="1:38" x14ac:dyDescent="0.25">
      <c r="X90" s="1">
        <v>905</v>
      </c>
      <c r="Y90" s="1">
        <v>155</v>
      </c>
      <c r="AC90" s="33">
        <v>866</v>
      </c>
      <c r="AD90" s="34">
        <f>X47+Y47+X48+Y48</f>
        <v>2093</v>
      </c>
      <c r="AH90" s="42">
        <f>AH89*25.36%</f>
        <v>124696.1344</v>
      </c>
      <c r="AI90" s="34"/>
    </row>
    <row r="91" spans="1:38" x14ac:dyDescent="0.25">
      <c r="AC91" s="33">
        <v>1272</v>
      </c>
      <c r="AD91" s="34">
        <f>AI47+AI48+AK47+AK48</f>
        <v>2806</v>
      </c>
      <c r="AH91" s="33"/>
      <c r="AI91" s="34"/>
    </row>
    <row r="92" spans="1:38" x14ac:dyDescent="0.25">
      <c r="AC92" s="33">
        <v>916</v>
      </c>
      <c r="AD92" s="34">
        <f>AG47+AG48</f>
        <v>1260</v>
      </c>
      <c r="AH92" s="33"/>
      <c r="AI92" s="33"/>
      <c r="AJ92" s="33"/>
    </row>
    <row r="93" spans="1:38" x14ac:dyDescent="0.25">
      <c r="AC93" s="33">
        <f>SUM(AC89:AC92)</f>
        <v>12254</v>
      </c>
      <c r="AD93" s="33">
        <f>SUM(AD89:AD92)</f>
        <v>15959</v>
      </c>
      <c r="AE93" s="33">
        <f>AD93-AC93</f>
        <v>3705</v>
      </c>
      <c r="AH93" s="33"/>
      <c r="AI93" s="33"/>
      <c r="AJ93" s="33"/>
    </row>
    <row r="94" spans="1:38" x14ac:dyDescent="0.25">
      <c r="AB94" s="33"/>
      <c r="AC94" s="33">
        <v>15000</v>
      </c>
      <c r="AD94" s="33">
        <v>16000</v>
      </c>
      <c r="AE94" s="33">
        <f t="shared" ref="AE94:AE95" si="55">AD94-AC94</f>
        <v>1000</v>
      </c>
      <c r="AH94" s="33"/>
      <c r="AI94" s="33"/>
      <c r="AJ94" s="33"/>
    </row>
    <row r="95" spans="1:38" x14ac:dyDescent="0.25">
      <c r="AB95" s="33"/>
      <c r="AC95" s="33">
        <f>AC94-AC93</f>
        <v>2746</v>
      </c>
      <c r="AD95" s="33">
        <f>+AD94-AD93</f>
        <v>41</v>
      </c>
      <c r="AE95" s="33">
        <f t="shared" si="55"/>
        <v>-2705</v>
      </c>
      <c r="AH95" s="33"/>
      <c r="AI95" s="33"/>
    </row>
    <row r="96" spans="1:38" x14ac:dyDescent="0.25">
      <c r="AB96" s="33"/>
      <c r="AC96" s="33"/>
      <c r="AD96" s="33"/>
    </row>
  </sheetData>
  <autoFilter ref="B3:I85"/>
  <sortState ref="A4:AL89">
    <sortCondition ref="E4:E89"/>
  </sortState>
  <mergeCells count="3">
    <mergeCell ref="P1:W1"/>
    <mergeCell ref="X1:AC1"/>
    <mergeCell ref="K1:N1"/>
  </mergeCells>
  <conditionalFormatting sqref="E4:E86 C4:C85">
    <cfRule type="duplicateValues" dxfId="1" priority="5"/>
  </conditionalFormatting>
  <printOptions horizontalCentered="1"/>
  <pageMargins left="0" right="0" top="0.25" bottom="0" header="0" footer="0"/>
  <pageSetup paperSize="9" scale="5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O92"/>
  <sheetViews>
    <sheetView zoomScaleNormal="100" zoomScaleSheetLayoutView="100" workbookViewId="0">
      <pane xSplit="5" ySplit="1" topLeftCell="F63" activePane="bottomRight" state="frozen"/>
      <selection pane="topRight" activeCell="E1" sqref="E1"/>
      <selection pane="bottomLeft" activeCell="A4" sqref="A4"/>
      <selection pane="bottomRight" activeCell="L85" sqref="L85:M85"/>
    </sheetView>
  </sheetViews>
  <sheetFormatPr defaultRowHeight="15.75" x14ac:dyDescent="0.25"/>
  <cols>
    <col min="1" max="1" width="26.28515625" style="1" hidden="1" customWidth="1"/>
    <col min="2" max="3" width="17.7109375" style="18" hidden="1" customWidth="1"/>
    <col min="4" max="4" width="4.5703125" style="1" customWidth="1"/>
    <col min="5" max="5" width="19.28515625" style="1" bestFit="1" customWidth="1"/>
    <col min="6" max="6" width="13.5703125" style="18" customWidth="1"/>
    <col min="7" max="7" width="6.28515625" style="1" customWidth="1"/>
    <col min="8" max="8" width="7.7109375" style="1" customWidth="1"/>
    <col min="9" max="9" width="7.28515625" style="1" customWidth="1"/>
    <col min="10" max="10" width="9.28515625" style="9" customWidth="1"/>
    <col min="11" max="11" width="7.42578125" style="1" customWidth="1"/>
    <col min="12" max="12" width="6.5703125" style="1" bestFit="1" customWidth="1"/>
    <col min="13" max="13" width="10" style="1" customWidth="1"/>
    <col min="14" max="14" width="2.7109375" style="1" customWidth="1"/>
    <col min="15" max="16384" width="9.140625" style="1"/>
  </cols>
  <sheetData>
    <row r="1" spans="1:15" s="5" customFormat="1" ht="36" x14ac:dyDescent="0.25">
      <c r="A1" s="24" t="s">
        <v>59</v>
      </c>
      <c r="B1" s="24" t="s">
        <v>60</v>
      </c>
      <c r="C1" s="24" t="s">
        <v>207</v>
      </c>
      <c r="D1" s="24" t="s">
        <v>25</v>
      </c>
      <c r="E1" s="24" t="s">
        <v>26</v>
      </c>
      <c r="F1" s="24" t="s">
        <v>28</v>
      </c>
      <c r="G1" s="24" t="s">
        <v>52</v>
      </c>
      <c r="H1" s="24" t="s">
        <v>51</v>
      </c>
      <c r="I1" s="24" t="s">
        <v>29</v>
      </c>
      <c r="J1" s="24" t="s">
        <v>133</v>
      </c>
      <c r="K1" s="24" t="s">
        <v>0</v>
      </c>
      <c r="L1" s="24" t="s">
        <v>36</v>
      </c>
      <c r="M1" s="24" t="s">
        <v>56</v>
      </c>
      <c r="O1" s="24" t="s">
        <v>55</v>
      </c>
    </row>
    <row r="2" spans="1:15" s="6" customFormat="1" ht="12" x14ac:dyDescent="0.2">
      <c r="A2" s="15" t="s">
        <v>68</v>
      </c>
      <c r="B2" s="2" t="s">
        <v>5</v>
      </c>
      <c r="C2" s="7" t="s">
        <v>208</v>
      </c>
      <c r="D2" s="7">
        <v>1</v>
      </c>
      <c r="E2" s="7" t="s">
        <v>69</v>
      </c>
      <c r="F2" s="21" t="s">
        <v>2</v>
      </c>
      <c r="G2" s="35">
        <v>26</v>
      </c>
      <c r="H2" s="47">
        <v>26</v>
      </c>
      <c r="I2" s="39">
        <v>0</v>
      </c>
      <c r="J2" s="49">
        <f>VLOOKUP($C2,'Register of wages'!$C$3:$AL$86,MATCH(ESI!J$1,'Register of wages'!$C$3:$AL$3,0),0)</f>
        <v>7870</v>
      </c>
      <c r="K2" s="48">
        <f>VLOOKUP($C2,'Register of wages'!$C$3:$AL$86,MATCH(ESI!K$1,'Register of wages'!$C$3:$AL$3,0),0)</f>
        <v>7870</v>
      </c>
      <c r="L2" s="10">
        <f t="shared" ref="L2:L33" si="0">ROUNDUP($O2*1.75%,0)</f>
        <v>138</v>
      </c>
      <c r="M2" s="10">
        <f t="shared" ref="M2:M33" si="1">ROUNDUP(O2*4.75%,0)</f>
        <v>374</v>
      </c>
      <c r="O2" s="10">
        <f t="shared" ref="O2:O33" si="2">ROUND($J2/$G2*($H2+$I2),0)</f>
        <v>7870</v>
      </c>
    </row>
    <row r="3" spans="1:15" s="6" customFormat="1" ht="12" x14ac:dyDescent="0.2">
      <c r="A3" s="15" t="s">
        <v>162</v>
      </c>
      <c r="B3" s="2" t="s">
        <v>206</v>
      </c>
      <c r="C3" s="7" t="s">
        <v>209</v>
      </c>
      <c r="D3" s="7">
        <v>2</v>
      </c>
      <c r="E3" s="7" t="s">
        <v>288</v>
      </c>
      <c r="F3" s="21" t="s">
        <v>163</v>
      </c>
      <c r="G3" s="46">
        <v>26</v>
      </c>
      <c r="H3" s="47">
        <v>13</v>
      </c>
      <c r="I3" s="47">
        <v>0</v>
      </c>
      <c r="J3" s="49">
        <f>VLOOKUP($C3,'Register of wages'!$C$3:$AL$86,MATCH(ESI!J$1,'Register of wages'!$C$3:$AL$3,0),0)</f>
        <v>11415</v>
      </c>
      <c r="K3" s="48">
        <f>VLOOKUP($C3,'Register of wages'!$C$3:$AL$86,MATCH(ESI!K$1,'Register of wages'!$C$3:$AL$3,0),0)</f>
        <v>5708</v>
      </c>
      <c r="L3" s="10">
        <f t="shared" si="0"/>
        <v>100</v>
      </c>
      <c r="M3" s="10">
        <f t="shared" si="1"/>
        <v>272</v>
      </c>
      <c r="O3" s="10">
        <f t="shared" si="2"/>
        <v>5708</v>
      </c>
    </row>
    <row r="4" spans="1:15" s="6" customFormat="1" ht="12" x14ac:dyDescent="0.2">
      <c r="A4" s="15" t="s">
        <v>87</v>
      </c>
      <c r="B4" s="2" t="s">
        <v>12</v>
      </c>
      <c r="C4" s="7" t="s">
        <v>210</v>
      </c>
      <c r="D4" s="7">
        <v>3</v>
      </c>
      <c r="E4" s="7" t="s">
        <v>50</v>
      </c>
      <c r="F4" s="21" t="s">
        <v>2</v>
      </c>
      <c r="G4" s="35">
        <v>26</v>
      </c>
      <c r="H4" s="47">
        <v>30</v>
      </c>
      <c r="I4" s="39">
        <v>0</v>
      </c>
      <c r="J4" s="49">
        <f>VLOOKUP($C4,'Register of wages'!$C$3:$AL$86,MATCH(ESI!J$1,'Register of wages'!$C$3:$AL$3,0),0)</f>
        <v>7870</v>
      </c>
      <c r="K4" s="48">
        <f>VLOOKUP($C4,'Register of wages'!$C$3:$AL$86,MATCH(ESI!K$1,'Register of wages'!$C$3:$AL$3,0),0)</f>
        <v>9081</v>
      </c>
      <c r="L4" s="10">
        <f t="shared" si="0"/>
        <v>159</v>
      </c>
      <c r="M4" s="10">
        <f t="shared" si="1"/>
        <v>432</v>
      </c>
      <c r="O4" s="10">
        <f t="shared" si="2"/>
        <v>9081</v>
      </c>
    </row>
    <row r="5" spans="1:15" s="6" customFormat="1" ht="12" x14ac:dyDescent="0.2">
      <c r="A5" s="15" t="s">
        <v>152</v>
      </c>
      <c r="B5" s="2" t="s">
        <v>139</v>
      </c>
      <c r="C5" s="7" t="s">
        <v>211</v>
      </c>
      <c r="D5" s="7">
        <v>4</v>
      </c>
      <c r="E5" s="7" t="s">
        <v>153</v>
      </c>
      <c r="F5" s="21" t="s">
        <v>2</v>
      </c>
      <c r="G5" s="46">
        <v>26</v>
      </c>
      <c r="H5" s="47">
        <v>26</v>
      </c>
      <c r="I5" s="47">
        <v>0</v>
      </c>
      <c r="J5" s="49">
        <f>VLOOKUP($C5,'Register of wages'!$C$3:$AL$86,MATCH(ESI!J$1,'Register of wages'!$C$3:$AL$3,0),0)</f>
        <v>7546</v>
      </c>
      <c r="K5" s="48">
        <f>VLOOKUP($C5,'Register of wages'!$C$3:$AL$86,MATCH(ESI!K$1,'Register of wages'!$C$3:$AL$3,0),0)</f>
        <v>7546</v>
      </c>
      <c r="L5" s="10">
        <f t="shared" si="0"/>
        <v>133</v>
      </c>
      <c r="M5" s="10">
        <f t="shared" si="1"/>
        <v>359</v>
      </c>
      <c r="O5" s="10">
        <f t="shared" si="2"/>
        <v>7546</v>
      </c>
    </row>
    <row r="6" spans="1:15" s="6" customFormat="1" ht="12" x14ac:dyDescent="0.2">
      <c r="A6" s="15" t="s">
        <v>146</v>
      </c>
      <c r="B6" s="2" t="s">
        <v>139</v>
      </c>
      <c r="C6" s="7" t="s">
        <v>212</v>
      </c>
      <c r="D6" s="7">
        <v>5</v>
      </c>
      <c r="E6" s="7" t="s">
        <v>287</v>
      </c>
      <c r="F6" s="21" t="s">
        <v>2</v>
      </c>
      <c r="G6" s="46">
        <v>26</v>
      </c>
      <c r="H6" s="47">
        <v>26</v>
      </c>
      <c r="I6" s="47">
        <v>0</v>
      </c>
      <c r="J6" s="49">
        <f>VLOOKUP($C6,'Register of wages'!$C$3:$AL$86,MATCH(ESI!J$1,'Register of wages'!$C$3:$AL$3,0),0)</f>
        <v>7546</v>
      </c>
      <c r="K6" s="48">
        <f>VLOOKUP($C6,'Register of wages'!$C$3:$AL$86,MATCH(ESI!K$1,'Register of wages'!$C$3:$AL$3,0),0)</f>
        <v>7546</v>
      </c>
      <c r="L6" s="10">
        <f t="shared" si="0"/>
        <v>133</v>
      </c>
      <c r="M6" s="10">
        <f t="shared" si="1"/>
        <v>359</v>
      </c>
      <c r="O6" s="10">
        <f t="shared" si="2"/>
        <v>7546</v>
      </c>
    </row>
    <row r="7" spans="1:15" s="6" customFormat="1" ht="12" x14ac:dyDescent="0.2">
      <c r="A7" s="15" t="s">
        <v>127</v>
      </c>
      <c r="B7" s="20" t="s">
        <v>23</v>
      </c>
      <c r="C7" s="7" t="s">
        <v>213</v>
      </c>
      <c r="D7" s="7">
        <v>6</v>
      </c>
      <c r="E7" s="7" t="s">
        <v>289</v>
      </c>
      <c r="F7" s="21" t="s">
        <v>3</v>
      </c>
      <c r="G7" s="35">
        <v>26</v>
      </c>
      <c r="H7" s="47">
        <v>4</v>
      </c>
      <c r="I7" s="39">
        <v>0</v>
      </c>
      <c r="J7" s="49">
        <f>VLOOKUP($C7,'Register of wages'!$C$3:$AL$86,MATCH(ESI!J$1,'Register of wages'!$C$3:$AL$3,0),0)</f>
        <v>10100</v>
      </c>
      <c r="K7" s="48">
        <f>VLOOKUP($C7,'Register of wages'!$C$3:$AL$86,MATCH(ESI!K$1,'Register of wages'!$C$3:$AL$3,0),0)</f>
        <v>1554</v>
      </c>
      <c r="L7" s="10">
        <f t="shared" si="0"/>
        <v>28</v>
      </c>
      <c r="M7" s="10">
        <f t="shared" si="1"/>
        <v>74</v>
      </c>
      <c r="O7" s="10">
        <f t="shared" si="2"/>
        <v>1554</v>
      </c>
    </row>
    <row r="8" spans="1:15" s="6" customFormat="1" ht="24" x14ac:dyDescent="0.2">
      <c r="A8" s="15" t="s">
        <v>156</v>
      </c>
      <c r="B8" s="2" t="s">
        <v>139</v>
      </c>
      <c r="C8" s="7" t="s">
        <v>214</v>
      </c>
      <c r="D8" s="7">
        <v>7</v>
      </c>
      <c r="E8" s="7" t="s">
        <v>298</v>
      </c>
      <c r="F8" s="21" t="s">
        <v>157</v>
      </c>
      <c r="G8" s="46">
        <v>26</v>
      </c>
      <c r="H8" s="47">
        <v>24</v>
      </c>
      <c r="I8" s="47">
        <v>0</v>
      </c>
      <c r="J8" s="49">
        <f>VLOOKUP($C8,'Register of wages'!$C$3:$AL$86,MATCH(ESI!J$1,'Register of wages'!$C$3:$AL$3,0),0)</f>
        <v>8301</v>
      </c>
      <c r="K8" s="48">
        <f>VLOOKUP($C8,'Register of wages'!$C$3:$AL$86,MATCH(ESI!K$1,'Register of wages'!$C$3:$AL$3,0),0)</f>
        <v>7662</v>
      </c>
      <c r="L8" s="10">
        <f t="shared" si="0"/>
        <v>135</v>
      </c>
      <c r="M8" s="10">
        <f t="shared" si="1"/>
        <v>364</v>
      </c>
      <c r="O8" s="10">
        <f t="shared" si="2"/>
        <v>7662</v>
      </c>
    </row>
    <row r="9" spans="1:15" s="6" customFormat="1" ht="12" x14ac:dyDescent="0.2">
      <c r="A9" s="15" t="s">
        <v>91</v>
      </c>
      <c r="B9" s="2" t="s">
        <v>14</v>
      </c>
      <c r="C9" s="7" t="s">
        <v>216</v>
      </c>
      <c r="D9" s="7">
        <v>8</v>
      </c>
      <c r="E9" s="7" t="s">
        <v>290</v>
      </c>
      <c r="F9" s="21" t="s">
        <v>2</v>
      </c>
      <c r="G9" s="35">
        <v>26</v>
      </c>
      <c r="H9" s="47">
        <v>26</v>
      </c>
      <c r="I9" s="39">
        <v>0</v>
      </c>
      <c r="J9" s="49">
        <f>VLOOKUP($C9,'Register of wages'!$C$3:$AL$86,MATCH(ESI!J$1,'Register of wages'!$C$3:$AL$3,0),0)</f>
        <v>7870</v>
      </c>
      <c r="K9" s="48">
        <f>VLOOKUP($C9,'Register of wages'!$C$3:$AL$86,MATCH(ESI!K$1,'Register of wages'!$C$3:$AL$3,0),0)</f>
        <v>7870</v>
      </c>
      <c r="L9" s="10">
        <f t="shared" si="0"/>
        <v>138</v>
      </c>
      <c r="M9" s="10">
        <f t="shared" si="1"/>
        <v>374</v>
      </c>
      <c r="O9" s="10">
        <f t="shared" si="2"/>
        <v>7870</v>
      </c>
    </row>
    <row r="10" spans="1:15" s="6" customFormat="1" ht="12" x14ac:dyDescent="0.2">
      <c r="A10" s="15" t="s">
        <v>63</v>
      </c>
      <c r="B10" s="2" t="s">
        <v>4</v>
      </c>
      <c r="C10" s="7" t="s">
        <v>215</v>
      </c>
      <c r="D10" s="7">
        <v>9</v>
      </c>
      <c r="E10" s="7" t="s">
        <v>48</v>
      </c>
      <c r="F10" s="20" t="s">
        <v>2</v>
      </c>
      <c r="G10" s="46">
        <v>26</v>
      </c>
      <c r="H10" s="47">
        <v>26</v>
      </c>
      <c r="I10" s="39">
        <v>0</v>
      </c>
      <c r="J10" s="49">
        <f>VLOOKUP($C10,'Register of wages'!$C$3:$AL$86,MATCH(ESI!J$1,'Register of wages'!$C$3:$AL$3,0),0)</f>
        <v>7870</v>
      </c>
      <c r="K10" s="48">
        <f>VLOOKUP($C10,'Register of wages'!$C$3:$AL$86,MATCH(ESI!K$1,'Register of wages'!$C$3:$AL$3,0),0)</f>
        <v>7870</v>
      </c>
      <c r="L10" s="10">
        <f t="shared" si="0"/>
        <v>138</v>
      </c>
      <c r="M10" s="10">
        <f t="shared" si="1"/>
        <v>374</v>
      </c>
      <c r="O10" s="10">
        <f t="shared" si="2"/>
        <v>7870</v>
      </c>
    </row>
    <row r="11" spans="1:15" s="6" customFormat="1" ht="12" x14ac:dyDescent="0.2">
      <c r="A11" s="15" t="s">
        <v>85</v>
      </c>
      <c r="B11" s="2" t="s">
        <v>11</v>
      </c>
      <c r="C11" s="7" t="s">
        <v>217</v>
      </c>
      <c r="D11" s="7">
        <v>10</v>
      </c>
      <c r="E11" s="7" t="s">
        <v>86</v>
      </c>
      <c r="F11" s="21" t="s">
        <v>2</v>
      </c>
      <c r="G11" s="35">
        <v>26</v>
      </c>
      <c r="H11" s="47">
        <v>20</v>
      </c>
      <c r="I11" s="39">
        <v>0</v>
      </c>
      <c r="J11" s="49">
        <f>VLOOKUP($C11,'Register of wages'!$C$3:$AL$86,MATCH(ESI!J$1,'Register of wages'!$C$3:$AL$3,0),0)</f>
        <v>7870</v>
      </c>
      <c r="K11" s="48">
        <f>VLOOKUP($C11,'Register of wages'!$C$3:$AL$86,MATCH(ESI!K$1,'Register of wages'!$C$3:$AL$3,0),0)</f>
        <v>6054</v>
      </c>
      <c r="L11" s="10">
        <f t="shared" si="0"/>
        <v>106</v>
      </c>
      <c r="M11" s="10">
        <f t="shared" si="1"/>
        <v>288</v>
      </c>
      <c r="O11" s="10">
        <f t="shared" si="2"/>
        <v>6054</v>
      </c>
    </row>
    <row r="12" spans="1:15" s="6" customFormat="1" ht="12" x14ac:dyDescent="0.2">
      <c r="A12" s="15" t="s">
        <v>138</v>
      </c>
      <c r="B12" s="2" t="s">
        <v>139</v>
      </c>
      <c r="C12" s="7" t="s">
        <v>218</v>
      </c>
      <c r="D12" s="7">
        <v>11</v>
      </c>
      <c r="E12" s="7" t="s">
        <v>140</v>
      </c>
      <c r="F12" s="20" t="s">
        <v>2</v>
      </c>
      <c r="G12" s="46">
        <v>26</v>
      </c>
      <c r="H12" s="47">
        <v>20</v>
      </c>
      <c r="I12" s="47">
        <v>0</v>
      </c>
      <c r="J12" s="49">
        <f>VLOOKUP($C12,'Register of wages'!$C$3:$AL$86,MATCH(ESI!J$1,'Register of wages'!$C$3:$AL$3,0),0)</f>
        <v>7546</v>
      </c>
      <c r="K12" s="48">
        <f>VLOOKUP($C12,'Register of wages'!$C$3:$AL$86,MATCH(ESI!K$1,'Register of wages'!$C$3:$AL$3,0),0)</f>
        <v>5805</v>
      </c>
      <c r="L12" s="10">
        <f t="shared" si="0"/>
        <v>102</v>
      </c>
      <c r="M12" s="10">
        <f t="shared" si="1"/>
        <v>276</v>
      </c>
      <c r="O12" s="10">
        <f t="shared" si="2"/>
        <v>5805</v>
      </c>
    </row>
    <row r="13" spans="1:15" s="4" customFormat="1" ht="12" x14ac:dyDescent="0.15">
      <c r="A13" s="15" t="s">
        <v>82</v>
      </c>
      <c r="B13" s="2" t="s">
        <v>9</v>
      </c>
      <c r="C13" s="7" t="s">
        <v>219</v>
      </c>
      <c r="D13" s="7">
        <v>12</v>
      </c>
      <c r="E13" s="7" t="s">
        <v>83</v>
      </c>
      <c r="F13" s="21" t="s">
        <v>2</v>
      </c>
      <c r="G13" s="35">
        <v>26</v>
      </c>
      <c r="H13" s="47">
        <v>31</v>
      </c>
      <c r="I13" s="39">
        <v>0</v>
      </c>
      <c r="J13" s="49">
        <f>VLOOKUP($C13,'Register of wages'!$C$3:$AL$86,MATCH(ESI!J$1,'Register of wages'!$C$3:$AL$3,0),0)</f>
        <v>7870</v>
      </c>
      <c r="K13" s="48">
        <f>VLOOKUP($C13,'Register of wages'!$C$3:$AL$86,MATCH(ESI!K$1,'Register of wages'!$C$3:$AL$3,0),0)</f>
        <v>9383</v>
      </c>
      <c r="L13" s="10">
        <f t="shared" si="0"/>
        <v>165</v>
      </c>
      <c r="M13" s="10">
        <f t="shared" si="1"/>
        <v>446</v>
      </c>
      <c r="O13" s="10">
        <f t="shared" si="2"/>
        <v>9383</v>
      </c>
    </row>
    <row r="14" spans="1:15" s="4" customFormat="1" ht="12" x14ac:dyDescent="0.15">
      <c r="A14" s="15" t="s">
        <v>66</v>
      </c>
      <c r="B14" s="2" t="s">
        <v>5</v>
      </c>
      <c r="C14" s="7" t="s">
        <v>220</v>
      </c>
      <c r="D14" s="7">
        <v>13</v>
      </c>
      <c r="E14" s="7" t="s">
        <v>67</v>
      </c>
      <c r="F14" s="21" t="s">
        <v>2</v>
      </c>
      <c r="G14" s="35">
        <v>26</v>
      </c>
      <c r="H14" s="47">
        <v>26</v>
      </c>
      <c r="I14" s="39">
        <v>0</v>
      </c>
      <c r="J14" s="49">
        <f>VLOOKUP($C14,'Register of wages'!$C$3:$AL$86,MATCH(ESI!J$1,'Register of wages'!$C$3:$AL$3,0),0)</f>
        <v>7870</v>
      </c>
      <c r="K14" s="48">
        <f>VLOOKUP($C14,'Register of wages'!$C$3:$AL$86,MATCH(ESI!K$1,'Register of wages'!$C$3:$AL$3,0),0)</f>
        <v>7870</v>
      </c>
      <c r="L14" s="10">
        <f t="shared" si="0"/>
        <v>138</v>
      </c>
      <c r="M14" s="10">
        <f t="shared" si="1"/>
        <v>374</v>
      </c>
      <c r="O14" s="10">
        <f t="shared" si="2"/>
        <v>7870</v>
      </c>
    </row>
    <row r="15" spans="1:15" s="4" customFormat="1" ht="12" x14ac:dyDescent="0.15">
      <c r="A15" s="15" t="s">
        <v>145</v>
      </c>
      <c r="B15" s="2" t="s">
        <v>139</v>
      </c>
      <c r="C15" s="7" t="s">
        <v>221</v>
      </c>
      <c r="D15" s="7">
        <v>14</v>
      </c>
      <c r="E15" s="7" t="s">
        <v>291</v>
      </c>
      <c r="F15" s="20" t="s">
        <v>2</v>
      </c>
      <c r="G15" s="46">
        <v>26</v>
      </c>
      <c r="H15" s="47">
        <v>26</v>
      </c>
      <c r="I15" s="47">
        <v>0</v>
      </c>
      <c r="J15" s="49">
        <f>VLOOKUP($C15,'Register of wages'!$C$3:$AL$86,MATCH(ESI!J$1,'Register of wages'!$C$3:$AL$3,0),0)</f>
        <v>7546</v>
      </c>
      <c r="K15" s="48">
        <f>VLOOKUP($C15,'Register of wages'!$C$3:$AL$86,MATCH(ESI!K$1,'Register of wages'!$C$3:$AL$3,0),0)</f>
        <v>7546</v>
      </c>
      <c r="L15" s="10">
        <f t="shared" si="0"/>
        <v>133</v>
      </c>
      <c r="M15" s="10">
        <f t="shared" si="1"/>
        <v>359</v>
      </c>
      <c r="O15" s="10">
        <f t="shared" si="2"/>
        <v>7546</v>
      </c>
    </row>
    <row r="16" spans="1:15" s="4" customFormat="1" ht="12" x14ac:dyDescent="0.15">
      <c r="A16" s="15" t="s">
        <v>115</v>
      </c>
      <c r="B16" s="20" t="s">
        <v>19</v>
      </c>
      <c r="C16" s="7" t="s">
        <v>222</v>
      </c>
      <c r="D16" s="7">
        <v>15</v>
      </c>
      <c r="E16" s="7" t="s">
        <v>116</v>
      </c>
      <c r="F16" s="21" t="s">
        <v>3</v>
      </c>
      <c r="G16" s="35">
        <v>26</v>
      </c>
      <c r="H16" s="47">
        <v>26</v>
      </c>
      <c r="I16" s="39">
        <v>0</v>
      </c>
      <c r="J16" s="49">
        <f>VLOOKUP($C16,'Register of wages'!$C$3:$AL$86,MATCH(ESI!J$1,'Register of wages'!$C$3:$AL$3,0),0)</f>
        <v>6100</v>
      </c>
      <c r="K16" s="48">
        <f>VLOOKUP($C16,'Register of wages'!$C$3:$AL$86,MATCH(ESI!K$1,'Register of wages'!$C$3:$AL$3,0),0)</f>
        <v>6100</v>
      </c>
      <c r="L16" s="10">
        <f t="shared" si="0"/>
        <v>107</v>
      </c>
      <c r="M16" s="10">
        <f t="shared" si="1"/>
        <v>290</v>
      </c>
      <c r="O16" s="10">
        <f t="shared" si="2"/>
        <v>6100</v>
      </c>
    </row>
    <row r="17" spans="1:15" s="4" customFormat="1" ht="12" x14ac:dyDescent="0.15">
      <c r="A17" s="15" t="s">
        <v>88</v>
      </c>
      <c r="B17" s="2" t="s">
        <v>12</v>
      </c>
      <c r="C17" s="7" t="s">
        <v>223</v>
      </c>
      <c r="D17" s="7">
        <v>16</v>
      </c>
      <c r="E17" s="7" t="s">
        <v>89</v>
      </c>
      <c r="F17" s="21" t="s">
        <v>2</v>
      </c>
      <c r="G17" s="35">
        <v>26</v>
      </c>
      <c r="H17" s="47">
        <v>30</v>
      </c>
      <c r="I17" s="39">
        <v>0</v>
      </c>
      <c r="J17" s="49">
        <f>VLOOKUP($C17,'Register of wages'!$C$3:$AL$86,MATCH(ESI!J$1,'Register of wages'!$C$3:$AL$3,0),0)</f>
        <v>7870</v>
      </c>
      <c r="K17" s="48">
        <f>VLOOKUP($C17,'Register of wages'!$C$3:$AL$86,MATCH(ESI!K$1,'Register of wages'!$C$3:$AL$3,0),0)</f>
        <v>9081</v>
      </c>
      <c r="L17" s="10">
        <f t="shared" si="0"/>
        <v>159</v>
      </c>
      <c r="M17" s="10">
        <f t="shared" si="1"/>
        <v>432</v>
      </c>
      <c r="O17" s="10">
        <f t="shared" si="2"/>
        <v>9081</v>
      </c>
    </row>
    <row r="18" spans="1:15" s="4" customFormat="1" ht="12" x14ac:dyDescent="0.15">
      <c r="A18" s="15" t="s">
        <v>72</v>
      </c>
      <c r="B18" s="2" t="s">
        <v>6</v>
      </c>
      <c r="C18" s="7" t="s">
        <v>224</v>
      </c>
      <c r="D18" s="7">
        <v>17</v>
      </c>
      <c r="E18" s="7" t="s">
        <v>73</v>
      </c>
      <c r="F18" s="21" t="s">
        <v>2</v>
      </c>
      <c r="G18" s="35">
        <v>26</v>
      </c>
      <c r="H18" s="47">
        <v>27</v>
      </c>
      <c r="I18" s="39">
        <v>0</v>
      </c>
      <c r="J18" s="49">
        <f>VLOOKUP($C18,'Register of wages'!$C$3:$AL$86,MATCH(ESI!J$1,'Register of wages'!$C$3:$AL$3,0),0)</f>
        <v>7870</v>
      </c>
      <c r="K18" s="48">
        <f>VLOOKUP($C18,'Register of wages'!$C$3:$AL$86,MATCH(ESI!K$1,'Register of wages'!$C$3:$AL$3,0),0)</f>
        <v>8173</v>
      </c>
      <c r="L18" s="10">
        <f t="shared" si="0"/>
        <v>144</v>
      </c>
      <c r="M18" s="10">
        <f t="shared" si="1"/>
        <v>389</v>
      </c>
      <c r="O18" s="10">
        <f t="shared" si="2"/>
        <v>8173</v>
      </c>
    </row>
    <row r="19" spans="1:15" s="4" customFormat="1" ht="12" x14ac:dyDescent="0.15">
      <c r="A19" s="15" t="s">
        <v>62</v>
      </c>
      <c r="B19" s="2" t="s">
        <v>4</v>
      </c>
      <c r="C19" s="7" t="s">
        <v>225</v>
      </c>
      <c r="D19" s="7">
        <v>18</v>
      </c>
      <c r="E19" s="7" t="s">
        <v>47</v>
      </c>
      <c r="F19" s="20" t="s">
        <v>2</v>
      </c>
      <c r="G19" s="46">
        <v>26</v>
      </c>
      <c r="H19" s="47">
        <v>26</v>
      </c>
      <c r="I19" s="39">
        <v>0</v>
      </c>
      <c r="J19" s="49">
        <f>VLOOKUP($C19,'Register of wages'!$C$3:$AL$86,MATCH(ESI!J$1,'Register of wages'!$C$3:$AL$3,0),0)</f>
        <v>7870</v>
      </c>
      <c r="K19" s="48">
        <f>VLOOKUP($C19,'Register of wages'!$C$3:$AL$86,MATCH(ESI!K$1,'Register of wages'!$C$3:$AL$3,0),0)</f>
        <v>7870</v>
      </c>
      <c r="L19" s="10">
        <f t="shared" si="0"/>
        <v>138</v>
      </c>
      <c r="M19" s="10">
        <f t="shared" si="1"/>
        <v>374</v>
      </c>
      <c r="O19" s="10">
        <f t="shared" si="2"/>
        <v>7870</v>
      </c>
    </row>
    <row r="20" spans="1:15" s="4" customFormat="1" ht="12" x14ac:dyDescent="0.15">
      <c r="A20" s="15" t="s">
        <v>80</v>
      </c>
      <c r="B20" s="2" t="s">
        <v>8</v>
      </c>
      <c r="C20" s="7" t="s">
        <v>226</v>
      </c>
      <c r="D20" s="7">
        <v>19</v>
      </c>
      <c r="E20" s="7" t="s">
        <v>81</v>
      </c>
      <c r="F20" s="21" t="s">
        <v>2</v>
      </c>
      <c r="G20" s="35">
        <v>26</v>
      </c>
      <c r="H20" s="47">
        <v>22</v>
      </c>
      <c r="I20" s="39">
        <v>0</v>
      </c>
      <c r="J20" s="49">
        <f>VLOOKUP($C20,'Register of wages'!$C$3:$AL$86,MATCH(ESI!J$1,'Register of wages'!$C$3:$AL$3,0),0)</f>
        <v>7870</v>
      </c>
      <c r="K20" s="48">
        <f>VLOOKUP($C20,'Register of wages'!$C$3:$AL$86,MATCH(ESI!K$1,'Register of wages'!$C$3:$AL$3,0),0)</f>
        <v>6659</v>
      </c>
      <c r="L20" s="10">
        <f t="shared" si="0"/>
        <v>117</v>
      </c>
      <c r="M20" s="10">
        <f t="shared" si="1"/>
        <v>317</v>
      </c>
      <c r="O20" s="10">
        <f t="shared" si="2"/>
        <v>6659</v>
      </c>
    </row>
    <row r="21" spans="1:15" s="4" customFormat="1" ht="24" x14ac:dyDescent="0.15">
      <c r="A21" s="15" t="s">
        <v>172</v>
      </c>
      <c r="B21" s="2" t="s">
        <v>165</v>
      </c>
      <c r="C21" s="7" t="s">
        <v>318</v>
      </c>
      <c r="D21" s="7">
        <v>20</v>
      </c>
      <c r="E21" s="44" t="s">
        <v>173</v>
      </c>
      <c r="F21" s="21" t="s">
        <v>174</v>
      </c>
      <c r="G21" s="46">
        <v>26</v>
      </c>
      <c r="H21" s="47">
        <v>21</v>
      </c>
      <c r="I21" s="47">
        <v>0</v>
      </c>
      <c r="J21" s="49">
        <f>VLOOKUP($C21,'Register of wages'!$C$3:$AL$86,MATCH(ESI!J$1,'Register of wages'!$C$3:$AL$3,0),0)</f>
        <v>9433</v>
      </c>
      <c r="K21" s="48">
        <f>VLOOKUP($C21,'Register of wages'!$C$3:$AL$86,MATCH(ESI!K$1,'Register of wages'!$C$3:$AL$3,0),0)</f>
        <v>7619</v>
      </c>
      <c r="L21" s="10">
        <f t="shared" si="0"/>
        <v>134</v>
      </c>
      <c r="M21" s="10">
        <f t="shared" si="1"/>
        <v>362</v>
      </c>
      <c r="O21" s="10">
        <f t="shared" si="2"/>
        <v>7619</v>
      </c>
    </row>
    <row r="22" spans="1:15" s="4" customFormat="1" ht="12" x14ac:dyDescent="0.15">
      <c r="A22" s="15" t="s">
        <v>105</v>
      </c>
      <c r="B22" s="3" t="s">
        <v>17</v>
      </c>
      <c r="C22" s="7" t="s">
        <v>227</v>
      </c>
      <c r="D22" s="7">
        <v>21</v>
      </c>
      <c r="E22" s="7" t="s">
        <v>106</v>
      </c>
      <c r="F22" s="21" t="s">
        <v>2</v>
      </c>
      <c r="G22" s="35">
        <v>26</v>
      </c>
      <c r="H22" s="47">
        <v>21</v>
      </c>
      <c r="I22" s="39">
        <v>0</v>
      </c>
      <c r="J22" s="49">
        <f>VLOOKUP($C22,'Register of wages'!$C$3:$AL$86,MATCH(ESI!J$1,'Register of wages'!$C$3:$AL$3,0),0)</f>
        <v>7576</v>
      </c>
      <c r="K22" s="48">
        <f>VLOOKUP($C22,'Register of wages'!$C$3:$AL$86,MATCH(ESI!K$1,'Register of wages'!$C$3:$AL$3,0),0)</f>
        <v>6119</v>
      </c>
      <c r="L22" s="10">
        <f t="shared" si="0"/>
        <v>108</v>
      </c>
      <c r="M22" s="10">
        <f t="shared" si="1"/>
        <v>291</v>
      </c>
      <c r="O22" s="10">
        <f t="shared" si="2"/>
        <v>6119</v>
      </c>
    </row>
    <row r="23" spans="1:15" s="4" customFormat="1" ht="12" x14ac:dyDescent="0.15">
      <c r="A23" s="15" t="s">
        <v>149</v>
      </c>
      <c r="B23" s="2" t="s">
        <v>139</v>
      </c>
      <c r="C23" s="7" t="s">
        <v>228</v>
      </c>
      <c r="D23" s="7">
        <v>22</v>
      </c>
      <c r="E23" s="7" t="s">
        <v>150</v>
      </c>
      <c r="F23" s="21" t="s">
        <v>2</v>
      </c>
      <c r="G23" s="46">
        <v>26</v>
      </c>
      <c r="H23" s="47">
        <v>26</v>
      </c>
      <c r="I23" s="47">
        <v>0</v>
      </c>
      <c r="J23" s="49">
        <f>VLOOKUP($C23,'Register of wages'!$C$3:$AL$86,MATCH(ESI!J$1,'Register of wages'!$C$3:$AL$3,0),0)</f>
        <v>7546</v>
      </c>
      <c r="K23" s="48">
        <f>VLOOKUP($C23,'Register of wages'!$C$3:$AL$86,MATCH(ESI!K$1,'Register of wages'!$C$3:$AL$3,0),0)</f>
        <v>7546</v>
      </c>
      <c r="L23" s="10">
        <f t="shared" si="0"/>
        <v>133</v>
      </c>
      <c r="M23" s="10">
        <f t="shared" si="1"/>
        <v>359</v>
      </c>
      <c r="O23" s="10">
        <f t="shared" si="2"/>
        <v>7546</v>
      </c>
    </row>
    <row r="24" spans="1:15" s="4" customFormat="1" ht="12" x14ac:dyDescent="0.15">
      <c r="A24" s="15" t="s">
        <v>158</v>
      </c>
      <c r="B24" s="2" t="s">
        <v>139</v>
      </c>
      <c r="C24" s="7" t="s">
        <v>229</v>
      </c>
      <c r="D24" s="7">
        <v>23</v>
      </c>
      <c r="E24" s="7" t="s">
        <v>292</v>
      </c>
      <c r="F24" s="21" t="s">
        <v>159</v>
      </c>
      <c r="G24" s="46">
        <v>26</v>
      </c>
      <c r="H24" s="47">
        <v>25</v>
      </c>
      <c r="I24" s="47">
        <v>0</v>
      </c>
      <c r="J24" s="49">
        <f>VLOOKUP($C24,'Register of wages'!$C$3:$AL$86,MATCH(ESI!J$1,'Register of wages'!$C$3:$AL$3,0),0)</f>
        <v>9682</v>
      </c>
      <c r="K24" s="48">
        <f>VLOOKUP($C24,'Register of wages'!$C$3:$AL$86,MATCH(ESI!K$1,'Register of wages'!$C$3:$AL$3,0),0)</f>
        <v>9310</v>
      </c>
      <c r="L24" s="10">
        <f t="shared" si="0"/>
        <v>163</v>
      </c>
      <c r="M24" s="10">
        <f t="shared" si="1"/>
        <v>443</v>
      </c>
      <c r="O24" s="10">
        <f t="shared" si="2"/>
        <v>9310</v>
      </c>
    </row>
    <row r="25" spans="1:15" s="4" customFormat="1" ht="12" x14ac:dyDescent="0.15">
      <c r="A25" s="15" t="s">
        <v>179</v>
      </c>
      <c r="B25" s="3" t="s">
        <v>178</v>
      </c>
      <c r="C25" s="7" t="s">
        <v>230</v>
      </c>
      <c r="D25" s="7">
        <v>24</v>
      </c>
      <c r="E25" s="7" t="s">
        <v>180</v>
      </c>
      <c r="F25" s="21" t="s">
        <v>3</v>
      </c>
      <c r="G25" s="46">
        <v>26</v>
      </c>
      <c r="H25" s="47">
        <v>25</v>
      </c>
      <c r="I25" s="47">
        <v>0</v>
      </c>
      <c r="J25" s="49">
        <f>VLOOKUP($C25,'Register of wages'!$C$3:$AL$86,MATCH(ESI!J$1,'Register of wages'!$C$3:$AL$3,0),0)</f>
        <v>9433</v>
      </c>
      <c r="K25" s="48">
        <f>VLOOKUP($C25,'Register of wages'!$C$3:$AL$86,MATCH(ESI!K$1,'Register of wages'!$C$3:$AL$3,0),0)</f>
        <v>9070</v>
      </c>
      <c r="L25" s="10">
        <f t="shared" si="0"/>
        <v>159</v>
      </c>
      <c r="M25" s="10">
        <f t="shared" si="1"/>
        <v>431</v>
      </c>
      <c r="O25" s="10">
        <f t="shared" si="2"/>
        <v>9070</v>
      </c>
    </row>
    <row r="26" spans="1:15" s="4" customFormat="1" ht="12" x14ac:dyDescent="0.15">
      <c r="A26" s="15" t="s">
        <v>160</v>
      </c>
      <c r="B26" s="2" t="s">
        <v>206</v>
      </c>
      <c r="C26" s="7" t="s">
        <v>231</v>
      </c>
      <c r="D26" s="7">
        <v>25</v>
      </c>
      <c r="E26" s="7" t="s">
        <v>293</v>
      </c>
      <c r="F26" s="37" t="s">
        <v>161</v>
      </c>
      <c r="G26" s="46">
        <v>26</v>
      </c>
      <c r="H26" s="47">
        <v>25</v>
      </c>
      <c r="I26" s="47">
        <v>0</v>
      </c>
      <c r="J26" s="49">
        <f>VLOOKUP($C26,'Register of wages'!$C$3:$AL$86,MATCH(ESI!J$1,'Register of wages'!$C$3:$AL$3,0),0)</f>
        <v>14626</v>
      </c>
      <c r="K26" s="48">
        <f>VLOOKUP($C26,'Register of wages'!$C$3:$AL$86,MATCH(ESI!K$1,'Register of wages'!$C$3:$AL$3,0),0)</f>
        <v>14064</v>
      </c>
      <c r="L26" s="10">
        <f t="shared" si="0"/>
        <v>247</v>
      </c>
      <c r="M26" s="10">
        <f t="shared" si="1"/>
        <v>668</v>
      </c>
      <c r="O26" s="10">
        <f t="shared" si="2"/>
        <v>14063</v>
      </c>
    </row>
    <row r="27" spans="1:15" s="4" customFormat="1" ht="12" x14ac:dyDescent="0.15">
      <c r="A27" s="15" t="s">
        <v>151</v>
      </c>
      <c r="B27" s="2" t="s">
        <v>139</v>
      </c>
      <c r="C27" s="7" t="s">
        <v>232</v>
      </c>
      <c r="D27" s="7">
        <v>26</v>
      </c>
      <c r="E27" s="7" t="s">
        <v>294</v>
      </c>
      <c r="F27" s="21" t="s">
        <v>2</v>
      </c>
      <c r="G27" s="46">
        <v>26</v>
      </c>
      <c r="H27" s="47">
        <v>26</v>
      </c>
      <c r="I27" s="47">
        <v>0</v>
      </c>
      <c r="J27" s="49">
        <f>VLOOKUP($C27,'Register of wages'!$C$3:$AL$86,MATCH(ESI!J$1,'Register of wages'!$C$3:$AL$3,0),0)</f>
        <v>7546</v>
      </c>
      <c r="K27" s="48">
        <f>VLOOKUP($C27,'Register of wages'!$C$3:$AL$86,MATCH(ESI!K$1,'Register of wages'!$C$3:$AL$3,0),0)</f>
        <v>7546</v>
      </c>
      <c r="L27" s="10">
        <f t="shared" si="0"/>
        <v>133</v>
      </c>
      <c r="M27" s="10">
        <f t="shared" si="1"/>
        <v>359</v>
      </c>
      <c r="O27" s="10">
        <f t="shared" si="2"/>
        <v>7546</v>
      </c>
    </row>
    <row r="28" spans="1:15" s="4" customFormat="1" ht="12" x14ac:dyDescent="0.15">
      <c r="A28" s="15" t="s">
        <v>181</v>
      </c>
      <c r="B28" s="3" t="s">
        <v>178</v>
      </c>
      <c r="C28" s="7" t="s">
        <v>233</v>
      </c>
      <c r="D28" s="7">
        <v>27</v>
      </c>
      <c r="E28" s="7" t="s">
        <v>295</v>
      </c>
      <c r="F28" s="21" t="s">
        <v>3</v>
      </c>
      <c r="G28" s="46">
        <v>26</v>
      </c>
      <c r="H28" s="47">
        <v>26</v>
      </c>
      <c r="I28" s="47">
        <v>0</v>
      </c>
      <c r="J28" s="49">
        <f>VLOOKUP($C28,'Register of wages'!$C$3:$AL$86,MATCH(ESI!J$1,'Register of wages'!$C$3:$AL$3,0),0)</f>
        <v>9433</v>
      </c>
      <c r="K28" s="48">
        <f>VLOOKUP($C28,'Register of wages'!$C$3:$AL$86,MATCH(ESI!K$1,'Register of wages'!$C$3:$AL$3,0),0)</f>
        <v>9433</v>
      </c>
      <c r="L28" s="10">
        <f t="shared" si="0"/>
        <v>166</v>
      </c>
      <c r="M28" s="10">
        <f t="shared" si="1"/>
        <v>449</v>
      </c>
      <c r="O28" s="10">
        <f t="shared" si="2"/>
        <v>9433</v>
      </c>
    </row>
    <row r="29" spans="1:15" s="4" customFormat="1" ht="12" x14ac:dyDescent="0.15">
      <c r="A29" s="15" t="s">
        <v>126</v>
      </c>
      <c r="B29" s="20" t="s">
        <v>22</v>
      </c>
      <c r="C29" s="7" t="s">
        <v>234</v>
      </c>
      <c r="D29" s="7">
        <v>28</v>
      </c>
      <c r="E29" s="7" t="s">
        <v>296</v>
      </c>
      <c r="F29" s="21" t="s">
        <v>3</v>
      </c>
      <c r="G29" s="35">
        <v>26</v>
      </c>
      <c r="H29" s="47">
        <v>13</v>
      </c>
      <c r="I29" s="39">
        <v>0</v>
      </c>
      <c r="J29" s="49">
        <f>VLOOKUP($C29,'Register of wages'!$C$3:$AL$86,MATCH(ESI!J$1,'Register of wages'!$C$3:$AL$3,0),0)</f>
        <v>5425</v>
      </c>
      <c r="K29" s="48">
        <f>VLOOKUP($C29,'Register of wages'!$C$3:$AL$86,MATCH(ESI!K$1,'Register of wages'!$C$3:$AL$3,0),0)</f>
        <v>2713</v>
      </c>
      <c r="L29" s="10">
        <f t="shared" si="0"/>
        <v>48</v>
      </c>
      <c r="M29" s="10">
        <f t="shared" si="1"/>
        <v>129</v>
      </c>
      <c r="O29" s="10">
        <f t="shared" si="2"/>
        <v>2713</v>
      </c>
    </row>
    <row r="30" spans="1:15" s="4" customFormat="1" ht="12" x14ac:dyDescent="0.15">
      <c r="A30" s="15" t="s">
        <v>177</v>
      </c>
      <c r="B30" s="3" t="s">
        <v>178</v>
      </c>
      <c r="C30" s="7" t="s">
        <v>238</v>
      </c>
      <c r="D30" s="7">
        <v>29</v>
      </c>
      <c r="E30" s="7" t="s">
        <v>299</v>
      </c>
      <c r="F30" s="21" t="s">
        <v>3</v>
      </c>
      <c r="G30" s="46">
        <v>26</v>
      </c>
      <c r="H30" s="47">
        <v>26</v>
      </c>
      <c r="I30" s="47">
        <v>0</v>
      </c>
      <c r="J30" s="49">
        <f>VLOOKUP($C30,'Register of wages'!$C$3:$AL$86,MATCH(ESI!J$1,'Register of wages'!$C$3:$AL$3,0),0)</f>
        <v>9433</v>
      </c>
      <c r="K30" s="48">
        <f>VLOOKUP($C30,'Register of wages'!$C$3:$AL$86,MATCH(ESI!K$1,'Register of wages'!$C$3:$AL$3,0),0)</f>
        <v>9433</v>
      </c>
      <c r="L30" s="10">
        <f t="shared" si="0"/>
        <v>166</v>
      </c>
      <c r="M30" s="10">
        <f t="shared" si="1"/>
        <v>449</v>
      </c>
      <c r="O30" s="10">
        <f t="shared" si="2"/>
        <v>9433</v>
      </c>
    </row>
    <row r="31" spans="1:15" s="4" customFormat="1" ht="12" x14ac:dyDescent="0.15">
      <c r="A31" s="15" t="s">
        <v>169</v>
      </c>
      <c r="B31" s="2" t="s">
        <v>165</v>
      </c>
      <c r="C31" s="7" t="s">
        <v>236</v>
      </c>
      <c r="D31" s="7">
        <v>30</v>
      </c>
      <c r="E31" s="7" t="s">
        <v>170</v>
      </c>
      <c r="F31" s="21" t="s">
        <v>3</v>
      </c>
      <c r="G31" s="46">
        <v>26</v>
      </c>
      <c r="H31" s="47">
        <v>26</v>
      </c>
      <c r="I31" s="47">
        <v>0</v>
      </c>
      <c r="J31" s="49">
        <f>VLOOKUP($C31,'Register of wages'!$C$3:$AL$86,MATCH(ESI!J$1,'Register of wages'!$C$3:$AL$3,0),0)</f>
        <v>9433</v>
      </c>
      <c r="K31" s="48">
        <f>VLOOKUP($C31,'Register of wages'!$C$3:$AL$86,MATCH(ESI!K$1,'Register of wages'!$C$3:$AL$3,0),0)</f>
        <v>9433</v>
      </c>
      <c r="L31" s="10">
        <f t="shared" si="0"/>
        <v>166</v>
      </c>
      <c r="M31" s="10">
        <f t="shared" si="1"/>
        <v>449</v>
      </c>
      <c r="O31" s="10">
        <f t="shared" si="2"/>
        <v>9433</v>
      </c>
    </row>
    <row r="32" spans="1:15" s="4" customFormat="1" ht="12" x14ac:dyDescent="0.15">
      <c r="A32" s="15" t="s">
        <v>94</v>
      </c>
      <c r="B32" s="3" t="s">
        <v>135</v>
      </c>
      <c r="C32" s="7" t="s">
        <v>235</v>
      </c>
      <c r="D32" s="7">
        <v>31</v>
      </c>
      <c r="E32" s="7" t="s">
        <v>297</v>
      </c>
      <c r="F32" s="21" t="s">
        <v>3</v>
      </c>
      <c r="G32" s="35">
        <v>26</v>
      </c>
      <c r="H32" s="47">
        <v>31</v>
      </c>
      <c r="I32" s="39">
        <v>0</v>
      </c>
      <c r="J32" s="49">
        <f>VLOOKUP($C32,'Register of wages'!$C$3:$AL$86,MATCH(ESI!J$1,'Register of wages'!$C$3:$AL$3,0),0)</f>
        <v>6669</v>
      </c>
      <c r="K32" s="48">
        <f>VLOOKUP($C32,'Register of wages'!$C$3:$AL$86,MATCH(ESI!K$1,'Register of wages'!$C$3:$AL$3,0),0)</f>
        <v>7952</v>
      </c>
      <c r="L32" s="10">
        <f t="shared" si="0"/>
        <v>140</v>
      </c>
      <c r="M32" s="10">
        <f t="shared" si="1"/>
        <v>378</v>
      </c>
      <c r="O32" s="10">
        <f t="shared" si="2"/>
        <v>7952</v>
      </c>
    </row>
    <row r="33" spans="1:15" s="4" customFormat="1" ht="12" x14ac:dyDescent="0.15">
      <c r="A33" s="15" t="s">
        <v>192</v>
      </c>
      <c r="B33" s="3" t="s">
        <v>190</v>
      </c>
      <c r="C33" s="7" t="s">
        <v>237</v>
      </c>
      <c r="D33" s="7">
        <v>32</v>
      </c>
      <c r="E33" s="7" t="s">
        <v>193</v>
      </c>
      <c r="F33" s="21" t="s">
        <v>3</v>
      </c>
      <c r="G33" s="46">
        <v>26</v>
      </c>
      <c r="H33" s="47">
        <v>1</v>
      </c>
      <c r="I33" s="47">
        <v>0</v>
      </c>
      <c r="J33" s="49">
        <f>VLOOKUP($C33,'Register of wages'!$C$3:$AL$86,MATCH(ESI!J$1,'Register of wages'!$C$3:$AL$3,0),0)</f>
        <v>9433</v>
      </c>
      <c r="K33" s="48">
        <f>VLOOKUP($C33,'Register of wages'!$C$3:$AL$86,MATCH(ESI!K$1,'Register of wages'!$C$3:$AL$3,0),0)</f>
        <v>363</v>
      </c>
      <c r="L33" s="10">
        <f t="shared" si="0"/>
        <v>7</v>
      </c>
      <c r="M33" s="10">
        <f t="shared" si="1"/>
        <v>18</v>
      </c>
      <c r="O33" s="10">
        <f t="shared" si="2"/>
        <v>363</v>
      </c>
    </row>
    <row r="34" spans="1:15" s="4" customFormat="1" ht="12" x14ac:dyDescent="0.15">
      <c r="A34" s="15" t="s">
        <v>119</v>
      </c>
      <c r="B34" s="20" t="s">
        <v>20</v>
      </c>
      <c r="C34" s="7" t="s">
        <v>244</v>
      </c>
      <c r="D34" s="7">
        <v>33</v>
      </c>
      <c r="E34" s="7" t="s">
        <v>300</v>
      </c>
      <c r="F34" s="21" t="s">
        <v>2</v>
      </c>
      <c r="G34" s="35">
        <v>30</v>
      </c>
      <c r="H34" s="47">
        <v>30</v>
      </c>
      <c r="I34" s="39">
        <v>0</v>
      </c>
      <c r="J34" s="49">
        <f>VLOOKUP($C34,'Register of wages'!$C$3:$AL$86,MATCH(ESI!J$1,'Register of wages'!$C$3:$AL$3,0),0)</f>
        <v>7259</v>
      </c>
      <c r="K34" s="48">
        <f>VLOOKUP($C34,'Register of wages'!$C$3:$AL$86,MATCH(ESI!K$1,'Register of wages'!$C$3:$AL$3,0),0)</f>
        <v>7259</v>
      </c>
      <c r="L34" s="10">
        <f t="shared" ref="L34:L65" si="3">ROUNDUP($O34*1.75%,0)</f>
        <v>128</v>
      </c>
      <c r="M34" s="10">
        <f t="shared" ref="M34:M65" si="4">ROUNDUP(O34*4.75%,0)</f>
        <v>345</v>
      </c>
      <c r="O34" s="10">
        <f t="shared" ref="O34:O65" si="5">ROUND($J34/$G34*($H34+$I34),0)</f>
        <v>7259</v>
      </c>
    </row>
    <row r="35" spans="1:15" s="4" customFormat="1" ht="12" x14ac:dyDescent="0.15">
      <c r="A35" s="15" t="s">
        <v>103</v>
      </c>
      <c r="B35" s="3" t="s">
        <v>17</v>
      </c>
      <c r="C35" s="7" t="s">
        <v>239</v>
      </c>
      <c r="D35" s="7">
        <v>34</v>
      </c>
      <c r="E35" s="7" t="s">
        <v>104</v>
      </c>
      <c r="F35" s="21" t="s">
        <v>2</v>
      </c>
      <c r="G35" s="35">
        <v>26</v>
      </c>
      <c r="H35" s="47">
        <v>26</v>
      </c>
      <c r="I35" s="39">
        <v>0</v>
      </c>
      <c r="J35" s="49">
        <f>VLOOKUP($C35,'Register of wages'!$C$3:$AL$86,MATCH(ESI!J$1,'Register of wages'!$C$3:$AL$3,0),0)</f>
        <v>7576</v>
      </c>
      <c r="K35" s="48">
        <f>VLOOKUP($C35,'Register of wages'!$C$3:$AL$86,MATCH(ESI!K$1,'Register of wages'!$C$3:$AL$3,0),0)</f>
        <v>7576</v>
      </c>
      <c r="L35" s="10">
        <f t="shared" si="3"/>
        <v>133</v>
      </c>
      <c r="M35" s="10">
        <f t="shared" si="4"/>
        <v>360</v>
      </c>
      <c r="O35" s="10">
        <f t="shared" si="5"/>
        <v>7576</v>
      </c>
    </row>
    <row r="36" spans="1:15" s="4" customFormat="1" ht="12" x14ac:dyDescent="0.15">
      <c r="A36" s="15" t="s">
        <v>95</v>
      </c>
      <c r="B36" s="20" t="s">
        <v>132</v>
      </c>
      <c r="C36" s="7" t="s">
        <v>240</v>
      </c>
      <c r="D36" s="7">
        <v>35</v>
      </c>
      <c r="E36" s="7" t="s">
        <v>96</v>
      </c>
      <c r="F36" s="21" t="s">
        <v>2</v>
      </c>
      <c r="G36" s="35">
        <v>26</v>
      </c>
      <c r="H36" s="47">
        <v>27</v>
      </c>
      <c r="I36" s="39">
        <v>0</v>
      </c>
      <c r="J36" s="49">
        <f>VLOOKUP($C36,'Register of wages'!$C$3:$AL$86,MATCH(ESI!J$1,'Register of wages'!$C$3:$AL$3,0),0)</f>
        <v>4910</v>
      </c>
      <c r="K36" s="48">
        <f>VLOOKUP($C36,'Register of wages'!$C$3:$AL$86,MATCH(ESI!K$1,'Register of wages'!$C$3:$AL$3,0),0)</f>
        <v>5099</v>
      </c>
      <c r="L36" s="10">
        <f t="shared" si="3"/>
        <v>90</v>
      </c>
      <c r="M36" s="10">
        <f t="shared" si="4"/>
        <v>243</v>
      </c>
      <c r="O36" s="10">
        <f t="shared" si="5"/>
        <v>5099</v>
      </c>
    </row>
    <row r="37" spans="1:15" s="4" customFormat="1" ht="12" x14ac:dyDescent="0.15">
      <c r="A37" s="15" t="s">
        <v>200</v>
      </c>
      <c r="B37" s="20" t="s">
        <v>196</v>
      </c>
      <c r="C37" s="7" t="s">
        <v>241</v>
      </c>
      <c r="D37" s="7">
        <v>36</v>
      </c>
      <c r="E37" s="7" t="s">
        <v>201</v>
      </c>
      <c r="F37" s="21" t="s">
        <v>2</v>
      </c>
      <c r="G37" s="46">
        <v>26</v>
      </c>
      <c r="H37" s="47">
        <v>23</v>
      </c>
      <c r="I37" s="47">
        <v>0</v>
      </c>
      <c r="J37" s="49">
        <f>VLOOKUP($C37,'Register of wages'!$C$3:$AL$86,MATCH(ESI!J$1,'Register of wages'!$C$3:$AL$3,0),0)</f>
        <v>7546</v>
      </c>
      <c r="K37" s="48">
        <f>VLOOKUP($C37,'Register of wages'!$C$3:$AL$86,MATCH(ESI!K$1,'Register of wages'!$C$3:$AL$3,0),0)</f>
        <v>6675</v>
      </c>
      <c r="L37" s="10">
        <f t="shared" si="3"/>
        <v>117</v>
      </c>
      <c r="M37" s="10">
        <f t="shared" si="4"/>
        <v>318</v>
      </c>
      <c r="O37" s="10">
        <f t="shared" si="5"/>
        <v>6675</v>
      </c>
    </row>
    <row r="38" spans="1:15" s="4" customFormat="1" ht="12" x14ac:dyDescent="0.15">
      <c r="A38" s="15" t="s">
        <v>204</v>
      </c>
      <c r="B38" s="20" t="s">
        <v>196</v>
      </c>
      <c r="C38" s="7" t="s">
        <v>242</v>
      </c>
      <c r="D38" s="7">
        <v>37</v>
      </c>
      <c r="E38" s="7" t="s">
        <v>205</v>
      </c>
      <c r="F38" s="21" t="s">
        <v>2</v>
      </c>
      <c r="G38" s="46">
        <v>26</v>
      </c>
      <c r="H38" s="47">
        <v>25</v>
      </c>
      <c r="I38" s="47">
        <v>0</v>
      </c>
      <c r="J38" s="49">
        <f>VLOOKUP($C38,'Register of wages'!$C$3:$AL$86,MATCH(ESI!J$1,'Register of wages'!$C$3:$AL$3,0),0)</f>
        <v>7546</v>
      </c>
      <c r="K38" s="48">
        <f>VLOOKUP($C38,'Register of wages'!$C$3:$AL$86,MATCH(ESI!K$1,'Register of wages'!$C$3:$AL$3,0),0)</f>
        <v>7256</v>
      </c>
      <c r="L38" s="10">
        <f t="shared" si="3"/>
        <v>127</v>
      </c>
      <c r="M38" s="10">
        <f t="shared" si="4"/>
        <v>345</v>
      </c>
      <c r="O38" s="10">
        <f t="shared" si="5"/>
        <v>7256</v>
      </c>
    </row>
    <row r="39" spans="1:15" s="4" customFormat="1" ht="12" x14ac:dyDescent="0.15">
      <c r="A39" s="15" t="s">
        <v>182</v>
      </c>
      <c r="B39" s="3" t="s">
        <v>178</v>
      </c>
      <c r="C39" s="7" t="s">
        <v>243</v>
      </c>
      <c r="D39" s="7">
        <v>38</v>
      </c>
      <c r="E39" s="7" t="s">
        <v>183</v>
      </c>
      <c r="F39" s="21" t="s">
        <v>3</v>
      </c>
      <c r="G39" s="46">
        <v>26</v>
      </c>
      <c r="H39" s="47">
        <v>26</v>
      </c>
      <c r="I39" s="47">
        <v>0</v>
      </c>
      <c r="J39" s="49">
        <f>VLOOKUP($C39,'Register of wages'!$C$3:$AL$86,MATCH(ESI!J$1,'Register of wages'!$C$3:$AL$3,0),0)</f>
        <v>9433</v>
      </c>
      <c r="K39" s="48">
        <f>VLOOKUP($C39,'Register of wages'!$C$3:$AL$86,MATCH(ESI!K$1,'Register of wages'!$C$3:$AL$3,0),0)</f>
        <v>9433</v>
      </c>
      <c r="L39" s="10">
        <f t="shared" si="3"/>
        <v>166</v>
      </c>
      <c r="M39" s="10">
        <f t="shared" si="4"/>
        <v>449</v>
      </c>
      <c r="O39" s="10">
        <f t="shared" si="5"/>
        <v>9433</v>
      </c>
    </row>
    <row r="40" spans="1:15" s="4" customFormat="1" ht="12" x14ac:dyDescent="0.15">
      <c r="A40" s="15" t="s">
        <v>187</v>
      </c>
      <c r="B40" s="3" t="s">
        <v>178</v>
      </c>
      <c r="C40" s="7" t="s">
        <v>246</v>
      </c>
      <c r="D40" s="7">
        <v>39</v>
      </c>
      <c r="E40" s="7" t="s">
        <v>188</v>
      </c>
      <c r="F40" s="21" t="s">
        <v>2</v>
      </c>
      <c r="G40" s="46">
        <v>26</v>
      </c>
      <c r="H40" s="47">
        <v>25</v>
      </c>
      <c r="I40" s="47">
        <v>0</v>
      </c>
      <c r="J40" s="49">
        <f>VLOOKUP($C40,'Register of wages'!$C$3:$AL$86,MATCH(ESI!J$1,'Register of wages'!$C$3:$AL$3,0),0)</f>
        <v>7546</v>
      </c>
      <c r="K40" s="48">
        <f>VLOOKUP($C40,'Register of wages'!$C$3:$AL$86,MATCH(ESI!K$1,'Register of wages'!$C$3:$AL$3,0),0)</f>
        <v>7256</v>
      </c>
      <c r="L40" s="10">
        <f t="shared" si="3"/>
        <v>127</v>
      </c>
      <c r="M40" s="10">
        <f t="shared" si="4"/>
        <v>345</v>
      </c>
      <c r="O40" s="10">
        <f t="shared" si="5"/>
        <v>7256</v>
      </c>
    </row>
    <row r="41" spans="1:15" s="4" customFormat="1" ht="24" x14ac:dyDescent="0.15">
      <c r="A41" s="15" t="s">
        <v>154</v>
      </c>
      <c r="B41" s="2" t="s">
        <v>139</v>
      </c>
      <c r="C41" s="7" t="s">
        <v>245</v>
      </c>
      <c r="D41" s="7">
        <v>40</v>
      </c>
      <c r="E41" s="7" t="s">
        <v>301</v>
      </c>
      <c r="F41" s="21" t="s">
        <v>155</v>
      </c>
      <c r="G41" s="46">
        <v>26</v>
      </c>
      <c r="H41" s="47">
        <v>9</v>
      </c>
      <c r="I41" s="47">
        <v>0</v>
      </c>
      <c r="J41" s="49">
        <f>VLOOKUP($C41,'Register of wages'!$C$3:$AL$86,MATCH(ESI!J$1,'Register of wages'!$C$3:$AL$3,0),0)</f>
        <v>7546</v>
      </c>
      <c r="K41" s="48">
        <f>VLOOKUP($C41,'Register of wages'!$C$3:$AL$86,MATCH(ESI!K$1,'Register of wages'!$C$3:$AL$3,0),0)</f>
        <v>2612</v>
      </c>
      <c r="L41" s="10">
        <f t="shared" si="3"/>
        <v>46</v>
      </c>
      <c r="M41" s="10">
        <f t="shared" si="4"/>
        <v>125</v>
      </c>
      <c r="O41" s="10">
        <f t="shared" si="5"/>
        <v>2612</v>
      </c>
    </row>
    <row r="42" spans="1:15" s="4" customFormat="1" ht="12" x14ac:dyDescent="0.15">
      <c r="A42" s="15" t="s">
        <v>143</v>
      </c>
      <c r="B42" s="2" t="s">
        <v>139</v>
      </c>
      <c r="C42" s="7" t="s">
        <v>247</v>
      </c>
      <c r="D42" s="7">
        <v>41</v>
      </c>
      <c r="E42" s="7" t="s">
        <v>144</v>
      </c>
      <c r="F42" s="20" t="s">
        <v>2</v>
      </c>
      <c r="G42" s="46">
        <v>26</v>
      </c>
      <c r="H42" s="47">
        <v>25</v>
      </c>
      <c r="I42" s="47">
        <v>0</v>
      </c>
      <c r="J42" s="49">
        <f>VLOOKUP($C42,'Register of wages'!$C$3:$AL$86,MATCH(ESI!J$1,'Register of wages'!$C$3:$AL$3,0),0)</f>
        <v>7546</v>
      </c>
      <c r="K42" s="48">
        <f>VLOOKUP($C42,'Register of wages'!$C$3:$AL$86,MATCH(ESI!K$1,'Register of wages'!$C$3:$AL$3,0),0)</f>
        <v>7256</v>
      </c>
      <c r="L42" s="10">
        <f t="shared" si="3"/>
        <v>127</v>
      </c>
      <c r="M42" s="10">
        <f t="shared" si="4"/>
        <v>345</v>
      </c>
      <c r="O42" s="10">
        <f t="shared" si="5"/>
        <v>7256</v>
      </c>
    </row>
    <row r="43" spans="1:15" s="4" customFormat="1" ht="12" x14ac:dyDescent="0.15">
      <c r="A43" s="15" t="s">
        <v>130</v>
      </c>
      <c r="B43" s="20" t="s">
        <v>24</v>
      </c>
      <c r="C43" s="7" t="s">
        <v>250</v>
      </c>
      <c r="D43" s="7">
        <v>42</v>
      </c>
      <c r="E43" s="7" t="s">
        <v>302</v>
      </c>
      <c r="F43" s="21" t="s">
        <v>3</v>
      </c>
      <c r="G43" s="35">
        <v>30</v>
      </c>
      <c r="H43" s="47">
        <v>21</v>
      </c>
      <c r="I43" s="39">
        <v>0</v>
      </c>
      <c r="J43" s="49">
        <f>VLOOKUP($C43,'Register of wages'!$C$3:$AL$86,MATCH(ESI!J$1,'Register of wages'!$C$3:$AL$3,0),0)</f>
        <v>7546</v>
      </c>
      <c r="K43" s="48">
        <f>VLOOKUP($C43,'Register of wages'!$C$3:$AL$86,MATCH(ESI!K$1,'Register of wages'!$C$3:$AL$3,0),0)</f>
        <v>5283</v>
      </c>
      <c r="L43" s="10">
        <f t="shared" si="3"/>
        <v>93</v>
      </c>
      <c r="M43" s="10">
        <f t="shared" si="4"/>
        <v>251</v>
      </c>
      <c r="O43" s="10">
        <f t="shared" si="5"/>
        <v>5282</v>
      </c>
    </row>
    <row r="44" spans="1:15" s="4" customFormat="1" ht="12" x14ac:dyDescent="0.15">
      <c r="A44" s="15" t="s">
        <v>113</v>
      </c>
      <c r="B44" s="3" t="s">
        <v>18</v>
      </c>
      <c r="C44" s="7" t="s">
        <v>251</v>
      </c>
      <c r="D44" s="7">
        <v>43</v>
      </c>
      <c r="E44" s="7" t="s">
        <v>317</v>
      </c>
      <c r="F44" s="21" t="s">
        <v>2</v>
      </c>
      <c r="G44" s="35">
        <v>26</v>
      </c>
      <c r="H44" s="47">
        <v>24</v>
      </c>
      <c r="I44" s="39">
        <v>0</v>
      </c>
      <c r="J44" s="49">
        <f>VLOOKUP($C44,'Register of wages'!$C$3:$AL$86,MATCH(ESI!J$1,'Register of wages'!$C$3:$AL$3,0),0)</f>
        <v>7576</v>
      </c>
      <c r="K44" s="48">
        <f>VLOOKUP($C44,'Register of wages'!$C$3:$AL$86,MATCH(ESI!K$1,'Register of wages'!$C$3:$AL$3,0),0)</f>
        <v>6993</v>
      </c>
      <c r="L44" s="10">
        <f t="shared" si="3"/>
        <v>123</v>
      </c>
      <c r="M44" s="10">
        <f t="shared" si="4"/>
        <v>333</v>
      </c>
      <c r="O44" s="10">
        <f t="shared" si="5"/>
        <v>6993</v>
      </c>
    </row>
    <row r="45" spans="1:15" s="4" customFormat="1" ht="12" x14ac:dyDescent="0.15">
      <c r="A45" s="15" t="s">
        <v>164</v>
      </c>
      <c r="B45" s="2" t="s">
        <v>165</v>
      </c>
      <c r="C45" s="7" t="s">
        <v>252</v>
      </c>
      <c r="D45" s="7">
        <v>44</v>
      </c>
      <c r="E45" s="7" t="s">
        <v>166</v>
      </c>
      <c r="F45" s="21" t="s">
        <v>3</v>
      </c>
      <c r="G45" s="46">
        <v>26</v>
      </c>
      <c r="H45" s="47">
        <v>26</v>
      </c>
      <c r="I45" s="47">
        <v>0</v>
      </c>
      <c r="J45" s="49">
        <f>VLOOKUP($C45,'Register of wages'!$C$3:$AL$86,MATCH(ESI!J$1,'Register of wages'!$C$3:$AL$3,0),0)</f>
        <v>9433</v>
      </c>
      <c r="K45" s="48">
        <f>VLOOKUP($C45,'Register of wages'!$C$3:$AL$86,MATCH(ESI!K$1,'Register of wages'!$C$3:$AL$3,0),0)</f>
        <v>9433</v>
      </c>
      <c r="L45" s="10">
        <f t="shared" si="3"/>
        <v>166</v>
      </c>
      <c r="M45" s="10">
        <f t="shared" si="4"/>
        <v>449</v>
      </c>
      <c r="O45" s="10">
        <f t="shared" si="5"/>
        <v>9433</v>
      </c>
    </row>
    <row r="46" spans="1:15" s="4" customFormat="1" ht="12" x14ac:dyDescent="0.15">
      <c r="A46" s="15" t="s">
        <v>107</v>
      </c>
      <c r="B46" s="3" t="s">
        <v>17</v>
      </c>
      <c r="C46" s="7" t="s">
        <v>253</v>
      </c>
      <c r="D46" s="7">
        <v>45</v>
      </c>
      <c r="E46" s="7" t="s">
        <v>303</v>
      </c>
      <c r="F46" s="21" t="s">
        <v>2</v>
      </c>
      <c r="G46" s="35">
        <v>26</v>
      </c>
      <c r="H46" s="47">
        <v>26</v>
      </c>
      <c r="I46" s="39">
        <v>0</v>
      </c>
      <c r="J46" s="49">
        <f>VLOOKUP($C46,'Register of wages'!$C$3:$AL$86,MATCH(ESI!J$1,'Register of wages'!$C$3:$AL$3,0),0)</f>
        <v>7576</v>
      </c>
      <c r="K46" s="48">
        <f>VLOOKUP($C46,'Register of wages'!$C$3:$AL$86,MATCH(ESI!K$1,'Register of wages'!$C$3:$AL$3,0),0)</f>
        <v>7576</v>
      </c>
      <c r="L46" s="10">
        <f t="shared" si="3"/>
        <v>133</v>
      </c>
      <c r="M46" s="10">
        <f t="shared" si="4"/>
        <v>360</v>
      </c>
      <c r="O46" s="10">
        <f t="shared" si="5"/>
        <v>7576</v>
      </c>
    </row>
    <row r="47" spans="1:15" s="4" customFormat="1" ht="12" x14ac:dyDescent="0.15">
      <c r="A47" s="15" t="s">
        <v>141</v>
      </c>
      <c r="B47" s="2" t="s">
        <v>139</v>
      </c>
      <c r="C47" s="7" t="s">
        <v>254</v>
      </c>
      <c r="D47" s="7">
        <v>46</v>
      </c>
      <c r="E47" s="7" t="s">
        <v>142</v>
      </c>
      <c r="F47" s="20" t="s">
        <v>2</v>
      </c>
      <c r="G47" s="46">
        <v>26</v>
      </c>
      <c r="H47" s="47">
        <v>26</v>
      </c>
      <c r="I47" s="47">
        <v>0</v>
      </c>
      <c r="J47" s="49">
        <f>VLOOKUP($C47,'Register of wages'!$C$3:$AL$86,MATCH(ESI!J$1,'Register of wages'!$C$3:$AL$3,0),0)</f>
        <v>7546</v>
      </c>
      <c r="K47" s="48">
        <f>VLOOKUP($C47,'Register of wages'!$C$3:$AL$86,MATCH(ESI!K$1,'Register of wages'!$C$3:$AL$3,0),0)</f>
        <v>7546</v>
      </c>
      <c r="L47" s="10">
        <f t="shared" si="3"/>
        <v>133</v>
      </c>
      <c r="M47" s="10">
        <f t="shared" si="4"/>
        <v>359</v>
      </c>
      <c r="O47" s="10">
        <f t="shared" si="5"/>
        <v>7546</v>
      </c>
    </row>
    <row r="48" spans="1:15" s="4" customFormat="1" ht="12" x14ac:dyDescent="0.15">
      <c r="A48" s="15" t="s">
        <v>84</v>
      </c>
      <c r="B48" s="2" t="s">
        <v>10</v>
      </c>
      <c r="C48" s="7" t="s">
        <v>248</v>
      </c>
      <c r="D48" s="7">
        <v>47</v>
      </c>
      <c r="E48" s="7" t="s">
        <v>304</v>
      </c>
      <c r="F48" s="21" t="s">
        <v>3</v>
      </c>
      <c r="G48" s="35">
        <v>26</v>
      </c>
      <c r="H48" s="47">
        <v>31</v>
      </c>
      <c r="I48" s="39">
        <v>0</v>
      </c>
      <c r="J48" s="49">
        <f>VLOOKUP($C48,'Register of wages'!$C$3:$AL$86,MATCH(ESI!J$1,'Register of wages'!$C$3:$AL$3,0),0)</f>
        <v>7870</v>
      </c>
      <c r="K48" s="48">
        <f>VLOOKUP($C48,'Register of wages'!$C$3:$AL$86,MATCH(ESI!K$1,'Register of wages'!$C$3:$AL$3,0),0)</f>
        <v>9383</v>
      </c>
      <c r="L48" s="10">
        <f t="shared" si="3"/>
        <v>165</v>
      </c>
      <c r="M48" s="10">
        <f t="shared" si="4"/>
        <v>446</v>
      </c>
      <c r="O48" s="10">
        <f t="shared" si="5"/>
        <v>9383</v>
      </c>
    </row>
    <row r="49" spans="1:15" s="4" customFormat="1" ht="12" x14ac:dyDescent="0.15">
      <c r="A49" s="15" t="s">
        <v>168</v>
      </c>
      <c r="B49" s="2" t="s">
        <v>165</v>
      </c>
      <c r="C49" s="7" t="s">
        <v>249</v>
      </c>
      <c r="D49" s="7">
        <v>48</v>
      </c>
      <c r="E49" s="7" t="s">
        <v>305</v>
      </c>
      <c r="F49" s="21" t="s">
        <v>3</v>
      </c>
      <c r="G49" s="46">
        <v>26</v>
      </c>
      <c r="H49" s="47">
        <v>25</v>
      </c>
      <c r="I49" s="47">
        <v>0</v>
      </c>
      <c r="J49" s="49">
        <f>VLOOKUP($C49,'Register of wages'!$C$3:$AL$86,MATCH(ESI!J$1,'Register of wages'!$C$3:$AL$3,0),0)</f>
        <v>9433</v>
      </c>
      <c r="K49" s="48">
        <f>VLOOKUP($C49,'Register of wages'!$C$3:$AL$86,MATCH(ESI!K$1,'Register of wages'!$C$3:$AL$3,0),0)</f>
        <v>9070</v>
      </c>
      <c r="L49" s="10">
        <f t="shared" si="3"/>
        <v>159</v>
      </c>
      <c r="M49" s="10">
        <f t="shared" si="4"/>
        <v>431</v>
      </c>
      <c r="O49" s="10">
        <f t="shared" si="5"/>
        <v>9070</v>
      </c>
    </row>
    <row r="50" spans="1:15" s="4" customFormat="1" ht="12" x14ac:dyDescent="0.15">
      <c r="A50" s="15" t="s">
        <v>194</v>
      </c>
      <c r="B50" s="3" t="s">
        <v>190</v>
      </c>
      <c r="C50" s="45" t="s">
        <v>319</v>
      </c>
      <c r="D50" s="7">
        <v>49</v>
      </c>
      <c r="E50" s="44" t="s">
        <v>195</v>
      </c>
      <c r="F50" s="21" t="s">
        <v>3</v>
      </c>
      <c r="G50" s="46">
        <v>26</v>
      </c>
      <c r="H50" s="47">
        <v>3</v>
      </c>
      <c r="I50" s="47">
        <v>0</v>
      </c>
      <c r="J50" s="49">
        <f>VLOOKUP($C50,'Register of wages'!$C$3:$AL$86,MATCH(ESI!J$1,'Register of wages'!$C$3:$AL$3,0),0)</f>
        <v>9433</v>
      </c>
      <c r="K50" s="48">
        <f>VLOOKUP($C50,'Register of wages'!$C$3:$AL$86,MATCH(ESI!K$1,'Register of wages'!$C$3:$AL$3,0),0)</f>
        <v>1089</v>
      </c>
      <c r="L50" s="10">
        <f t="shared" si="3"/>
        <v>20</v>
      </c>
      <c r="M50" s="10">
        <f t="shared" si="4"/>
        <v>52</v>
      </c>
      <c r="O50" s="10">
        <f t="shared" si="5"/>
        <v>1088</v>
      </c>
    </row>
    <row r="51" spans="1:15" s="4" customFormat="1" ht="12" x14ac:dyDescent="0.15">
      <c r="A51" s="15" t="s">
        <v>77</v>
      </c>
      <c r="B51" s="2" t="s">
        <v>8</v>
      </c>
      <c r="C51" s="7" t="s">
        <v>255</v>
      </c>
      <c r="D51" s="7">
        <v>50</v>
      </c>
      <c r="E51" s="7" t="s">
        <v>306</v>
      </c>
      <c r="F51" s="21" t="s">
        <v>2</v>
      </c>
      <c r="G51" s="35">
        <v>26</v>
      </c>
      <c r="H51" s="47">
        <v>26</v>
      </c>
      <c r="I51" s="39">
        <v>0</v>
      </c>
      <c r="J51" s="49">
        <f>VLOOKUP($C51,'Register of wages'!$C$3:$AL$86,MATCH(ESI!J$1,'Register of wages'!$C$3:$AL$3,0),0)</f>
        <v>7870</v>
      </c>
      <c r="K51" s="48">
        <f>VLOOKUP($C51,'Register of wages'!$C$3:$AL$86,MATCH(ESI!K$1,'Register of wages'!$C$3:$AL$3,0),0)</f>
        <v>7870</v>
      </c>
      <c r="L51" s="10">
        <f t="shared" si="3"/>
        <v>138</v>
      </c>
      <c r="M51" s="10">
        <f t="shared" si="4"/>
        <v>374</v>
      </c>
      <c r="O51" s="10">
        <f t="shared" si="5"/>
        <v>7870</v>
      </c>
    </row>
    <row r="52" spans="1:15" s="4" customFormat="1" ht="12" x14ac:dyDescent="0.15">
      <c r="A52" s="15" t="s">
        <v>64</v>
      </c>
      <c r="B52" s="2" t="s">
        <v>4</v>
      </c>
      <c r="C52" s="7" t="s">
        <v>256</v>
      </c>
      <c r="D52" s="7">
        <v>51</v>
      </c>
      <c r="E52" s="7" t="s">
        <v>49</v>
      </c>
      <c r="F52" s="20" t="s">
        <v>2</v>
      </c>
      <c r="G52" s="46">
        <v>26</v>
      </c>
      <c r="H52" s="47">
        <v>23</v>
      </c>
      <c r="I52" s="39">
        <v>0</v>
      </c>
      <c r="J52" s="49">
        <f>VLOOKUP($C52,'Register of wages'!$C$3:$AL$86,MATCH(ESI!J$1,'Register of wages'!$C$3:$AL$3,0),0)</f>
        <v>7870</v>
      </c>
      <c r="K52" s="48">
        <f>VLOOKUP($C52,'Register of wages'!$C$3:$AL$86,MATCH(ESI!K$1,'Register of wages'!$C$3:$AL$3,0),0)</f>
        <v>6962</v>
      </c>
      <c r="L52" s="10">
        <f t="shared" si="3"/>
        <v>122</v>
      </c>
      <c r="M52" s="10">
        <f t="shared" si="4"/>
        <v>331</v>
      </c>
      <c r="O52" s="10">
        <f t="shared" si="5"/>
        <v>6962</v>
      </c>
    </row>
    <row r="53" spans="1:15" s="4" customFormat="1" ht="12" x14ac:dyDescent="0.15">
      <c r="A53" s="15" t="s">
        <v>184</v>
      </c>
      <c r="B53" s="3" t="s">
        <v>178</v>
      </c>
      <c r="C53" s="7" t="s">
        <v>257</v>
      </c>
      <c r="D53" s="7">
        <v>52</v>
      </c>
      <c r="E53" s="7" t="s">
        <v>307</v>
      </c>
      <c r="F53" s="21" t="s">
        <v>3</v>
      </c>
      <c r="G53" s="46">
        <v>26</v>
      </c>
      <c r="H53" s="47">
        <v>26</v>
      </c>
      <c r="I53" s="47">
        <v>0</v>
      </c>
      <c r="J53" s="49">
        <f>VLOOKUP($C53,'Register of wages'!$C$3:$AL$86,MATCH(ESI!J$1,'Register of wages'!$C$3:$AL$3,0),0)</f>
        <v>9433</v>
      </c>
      <c r="K53" s="48">
        <f>VLOOKUP($C53,'Register of wages'!$C$3:$AL$86,MATCH(ESI!K$1,'Register of wages'!$C$3:$AL$3,0),0)</f>
        <v>9433</v>
      </c>
      <c r="L53" s="10">
        <f t="shared" si="3"/>
        <v>166</v>
      </c>
      <c r="M53" s="10">
        <f t="shared" si="4"/>
        <v>449</v>
      </c>
      <c r="O53" s="10">
        <f t="shared" si="5"/>
        <v>9433</v>
      </c>
    </row>
    <row r="54" spans="1:15" s="4" customFormat="1" ht="12" x14ac:dyDescent="0.15">
      <c r="A54" s="15" t="s">
        <v>98</v>
      </c>
      <c r="B54" s="3" t="s">
        <v>15</v>
      </c>
      <c r="C54" s="7" t="s">
        <v>258</v>
      </c>
      <c r="D54" s="7">
        <v>53</v>
      </c>
      <c r="E54" s="7" t="s">
        <v>99</v>
      </c>
      <c r="F54" s="21" t="s">
        <v>3</v>
      </c>
      <c r="G54" s="35">
        <v>26</v>
      </c>
      <c r="H54" s="47">
        <v>29</v>
      </c>
      <c r="I54" s="39">
        <v>0</v>
      </c>
      <c r="J54" s="49">
        <f>VLOOKUP($C54,'Register of wages'!$C$3:$AL$86,MATCH(ESI!J$1,'Register of wages'!$C$3:$AL$3,0),0)</f>
        <v>7711</v>
      </c>
      <c r="K54" s="48">
        <f>VLOOKUP($C54,'Register of wages'!$C$3:$AL$86,MATCH(ESI!K$1,'Register of wages'!$C$3:$AL$3,0),0)</f>
        <v>8601</v>
      </c>
      <c r="L54" s="10">
        <f t="shared" si="3"/>
        <v>151</v>
      </c>
      <c r="M54" s="10">
        <f t="shared" si="4"/>
        <v>409</v>
      </c>
      <c r="O54" s="10">
        <f t="shared" si="5"/>
        <v>8601</v>
      </c>
    </row>
    <row r="55" spans="1:15" s="4" customFormat="1" ht="12" x14ac:dyDescent="0.15">
      <c r="A55" s="15" t="s">
        <v>167</v>
      </c>
      <c r="B55" s="2" t="s">
        <v>165</v>
      </c>
      <c r="C55" s="7" t="s">
        <v>259</v>
      </c>
      <c r="D55" s="7">
        <v>54</v>
      </c>
      <c r="E55" s="7" t="s">
        <v>308</v>
      </c>
      <c r="F55" s="21" t="s">
        <v>3</v>
      </c>
      <c r="G55" s="46">
        <v>26</v>
      </c>
      <c r="H55" s="47">
        <v>26</v>
      </c>
      <c r="I55" s="47">
        <v>0</v>
      </c>
      <c r="J55" s="49">
        <f>VLOOKUP($C55,'Register of wages'!$C$3:$AL$86,MATCH(ESI!J$1,'Register of wages'!$C$3:$AL$3,0),0)</f>
        <v>9433</v>
      </c>
      <c r="K55" s="48">
        <f>VLOOKUP($C55,'Register of wages'!$C$3:$AL$86,MATCH(ESI!K$1,'Register of wages'!$C$3:$AL$3,0),0)</f>
        <v>9433</v>
      </c>
      <c r="L55" s="10">
        <f t="shared" si="3"/>
        <v>166</v>
      </c>
      <c r="M55" s="10">
        <f t="shared" si="4"/>
        <v>449</v>
      </c>
      <c r="O55" s="10">
        <f t="shared" si="5"/>
        <v>9433</v>
      </c>
    </row>
    <row r="56" spans="1:15" s="4" customFormat="1" ht="12" x14ac:dyDescent="0.15">
      <c r="A56" s="15" t="s">
        <v>92</v>
      </c>
      <c r="B56" s="3" t="s">
        <v>135</v>
      </c>
      <c r="C56" s="7" t="s">
        <v>260</v>
      </c>
      <c r="D56" s="7">
        <v>55</v>
      </c>
      <c r="E56" s="7" t="s">
        <v>93</v>
      </c>
      <c r="F56" s="21" t="s">
        <v>2</v>
      </c>
      <c r="G56" s="35">
        <v>26</v>
      </c>
      <c r="H56" s="47">
        <v>29</v>
      </c>
      <c r="I56" s="39">
        <v>0</v>
      </c>
      <c r="J56" s="49">
        <f>VLOOKUP($C56,'Register of wages'!$C$3:$AL$86,MATCH(ESI!J$1,'Register of wages'!$C$3:$AL$3,0),0)</f>
        <v>5676</v>
      </c>
      <c r="K56" s="48">
        <f>VLOOKUP($C56,'Register of wages'!$C$3:$AL$86,MATCH(ESI!K$1,'Register of wages'!$C$3:$AL$3,0),0)</f>
        <v>6331</v>
      </c>
      <c r="L56" s="10">
        <f t="shared" si="3"/>
        <v>111</v>
      </c>
      <c r="M56" s="10">
        <f t="shared" si="4"/>
        <v>301</v>
      </c>
      <c r="O56" s="10">
        <f t="shared" si="5"/>
        <v>6331</v>
      </c>
    </row>
    <row r="57" spans="1:15" s="4" customFormat="1" ht="12" x14ac:dyDescent="0.15">
      <c r="A57" s="15" t="s">
        <v>147</v>
      </c>
      <c r="B57" s="2" t="s">
        <v>139</v>
      </c>
      <c r="C57" s="7" t="s">
        <v>261</v>
      </c>
      <c r="D57" s="7">
        <v>56</v>
      </c>
      <c r="E57" s="7" t="s">
        <v>148</v>
      </c>
      <c r="F57" s="21" t="s">
        <v>2</v>
      </c>
      <c r="G57" s="46">
        <v>26</v>
      </c>
      <c r="H57" s="47">
        <v>26</v>
      </c>
      <c r="I57" s="47">
        <v>1</v>
      </c>
      <c r="J57" s="49">
        <f>VLOOKUP($C57,'Register of wages'!$C$3:$AL$86,MATCH(ESI!J$1,'Register of wages'!$C$3:$AL$3,0),0)</f>
        <v>7546</v>
      </c>
      <c r="K57" s="48">
        <f>VLOOKUP($C57,'Register of wages'!$C$3:$AL$86,MATCH(ESI!K$1,'Register of wages'!$C$3:$AL$3,0),0)</f>
        <v>7836</v>
      </c>
      <c r="L57" s="10">
        <f t="shared" si="3"/>
        <v>138</v>
      </c>
      <c r="M57" s="10">
        <f t="shared" si="4"/>
        <v>373</v>
      </c>
      <c r="O57" s="10">
        <f t="shared" si="5"/>
        <v>7836</v>
      </c>
    </row>
    <row r="58" spans="1:15" s="4" customFormat="1" ht="12" x14ac:dyDescent="0.15">
      <c r="A58" s="15" t="s">
        <v>61</v>
      </c>
      <c r="B58" s="2" t="s">
        <v>4</v>
      </c>
      <c r="C58" s="7" t="s">
        <v>263</v>
      </c>
      <c r="D58" s="7">
        <v>57</v>
      </c>
      <c r="E58" s="7" t="s">
        <v>46</v>
      </c>
      <c r="F58" s="20" t="s">
        <v>2</v>
      </c>
      <c r="G58" s="46">
        <v>26</v>
      </c>
      <c r="H58" s="47">
        <v>26</v>
      </c>
      <c r="I58" s="39">
        <v>0</v>
      </c>
      <c r="J58" s="49">
        <f>VLOOKUP($C58,'Register of wages'!$C$3:$AL$86,MATCH(ESI!J$1,'Register of wages'!$C$3:$AL$3,0),0)</f>
        <v>7870</v>
      </c>
      <c r="K58" s="48">
        <f>VLOOKUP($C58,'Register of wages'!$C$3:$AL$86,MATCH(ESI!K$1,'Register of wages'!$C$3:$AL$3,0),0)</f>
        <v>7870</v>
      </c>
      <c r="L58" s="10">
        <f t="shared" si="3"/>
        <v>138</v>
      </c>
      <c r="M58" s="10">
        <f t="shared" si="4"/>
        <v>374</v>
      </c>
      <c r="O58" s="10">
        <f t="shared" si="5"/>
        <v>7870</v>
      </c>
    </row>
    <row r="59" spans="1:15" s="4" customFormat="1" ht="12" x14ac:dyDescent="0.15">
      <c r="A59" s="15" t="s">
        <v>128</v>
      </c>
      <c r="B59" s="20" t="s">
        <v>24</v>
      </c>
      <c r="C59" s="7" t="s">
        <v>264</v>
      </c>
      <c r="D59" s="7">
        <v>58</v>
      </c>
      <c r="E59" s="7" t="s">
        <v>129</v>
      </c>
      <c r="F59" s="21" t="s">
        <v>3</v>
      </c>
      <c r="G59" s="35">
        <v>30</v>
      </c>
      <c r="H59" s="47">
        <v>20</v>
      </c>
      <c r="I59" s="39">
        <v>0</v>
      </c>
      <c r="J59" s="49">
        <f>VLOOKUP($C59,'Register of wages'!$C$3:$AL$86,MATCH(ESI!J$1,'Register of wages'!$C$3:$AL$3,0),0)</f>
        <v>7546</v>
      </c>
      <c r="K59" s="48">
        <f>VLOOKUP($C59,'Register of wages'!$C$3:$AL$86,MATCH(ESI!K$1,'Register of wages'!$C$3:$AL$3,0),0)</f>
        <v>5031</v>
      </c>
      <c r="L59" s="10">
        <f t="shared" si="3"/>
        <v>89</v>
      </c>
      <c r="M59" s="10">
        <f t="shared" si="4"/>
        <v>239</v>
      </c>
      <c r="O59" s="10">
        <f t="shared" si="5"/>
        <v>5031</v>
      </c>
    </row>
    <row r="60" spans="1:15" s="4" customFormat="1" ht="12" x14ac:dyDescent="0.15">
      <c r="A60" s="15" t="s">
        <v>185</v>
      </c>
      <c r="B60" s="3" t="s">
        <v>178</v>
      </c>
      <c r="C60" s="7" t="s">
        <v>265</v>
      </c>
      <c r="D60" s="7">
        <v>59</v>
      </c>
      <c r="E60" s="7" t="s">
        <v>186</v>
      </c>
      <c r="F60" s="21" t="s">
        <v>2</v>
      </c>
      <c r="G60" s="46">
        <v>26</v>
      </c>
      <c r="H60" s="47">
        <v>25</v>
      </c>
      <c r="I60" s="47">
        <v>0</v>
      </c>
      <c r="J60" s="49">
        <f>VLOOKUP($C60,'Register of wages'!$C$3:$AL$86,MATCH(ESI!J$1,'Register of wages'!$C$3:$AL$3,0),0)</f>
        <v>7546</v>
      </c>
      <c r="K60" s="48">
        <f>VLOOKUP($C60,'Register of wages'!$C$3:$AL$86,MATCH(ESI!K$1,'Register of wages'!$C$3:$AL$3,0),0)</f>
        <v>7256</v>
      </c>
      <c r="L60" s="10">
        <f t="shared" si="3"/>
        <v>127</v>
      </c>
      <c r="M60" s="10">
        <f t="shared" si="4"/>
        <v>345</v>
      </c>
      <c r="O60" s="10">
        <f t="shared" si="5"/>
        <v>7256</v>
      </c>
    </row>
    <row r="61" spans="1:15" s="4" customFormat="1" ht="12" x14ac:dyDescent="0.15">
      <c r="A61" s="15" t="s">
        <v>114</v>
      </c>
      <c r="B61" s="20" t="s">
        <v>19</v>
      </c>
      <c r="C61" s="7" t="s">
        <v>266</v>
      </c>
      <c r="D61" s="7">
        <v>60</v>
      </c>
      <c r="E61" s="7" t="s">
        <v>309</v>
      </c>
      <c r="F61" s="21" t="s">
        <v>2</v>
      </c>
      <c r="G61" s="35">
        <v>26</v>
      </c>
      <c r="H61" s="47">
        <v>25</v>
      </c>
      <c r="I61" s="39">
        <v>0</v>
      </c>
      <c r="J61" s="49">
        <f>VLOOKUP($C61,'Register of wages'!$C$3:$AL$86,MATCH(ESI!J$1,'Register of wages'!$C$3:$AL$3,0),0)</f>
        <v>5200</v>
      </c>
      <c r="K61" s="48">
        <f>VLOOKUP($C61,'Register of wages'!$C$3:$AL$86,MATCH(ESI!K$1,'Register of wages'!$C$3:$AL$3,0),0)</f>
        <v>5000</v>
      </c>
      <c r="L61" s="10">
        <f t="shared" si="3"/>
        <v>88</v>
      </c>
      <c r="M61" s="10">
        <f t="shared" si="4"/>
        <v>238</v>
      </c>
      <c r="O61" s="10">
        <f t="shared" si="5"/>
        <v>5000</v>
      </c>
    </row>
    <row r="62" spans="1:15" s="4" customFormat="1" ht="24" x14ac:dyDescent="0.15">
      <c r="A62" s="15" t="s">
        <v>109</v>
      </c>
      <c r="B62" s="3" t="s">
        <v>18</v>
      </c>
      <c r="C62" s="7" t="s">
        <v>267</v>
      </c>
      <c r="D62" s="7">
        <v>61</v>
      </c>
      <c r="E62" s="7" t="s">
        <v>110</v>
      </c>
      <c r="F62" s="21" t="s">
        <v>136</v>
      </c>
      <c r="G62" s="35">
        <v>26</v>
      </c>
      <c r="H62" s="47">
        <v>29</v>
      </c>
      <c r="I62" s="39">
        <v>0</v>
      </c>
      <c r="J62" s="49">
        <f>VLOOKUP($C62,'Register of wages'!$C$3:$AL$86,MATCH(ESI!J$1,'Register of wages'!$C$3:$AL$3,0),0)</f>
        <v>7937</v>
      </c>
      <c r="K62" s="48">
        <f>VLOOKUP($C62,'Register of wages'!$C$3:$AL$86,MATCH(ESI!K$1,'Register of wages'!$C$3:$AL$3,0),0)</f>
        <v>8853</v>
      </c>
      <c r="L62" s="10">
        <f t="shared" si="3"/>
        <v>155</v>
      </c>
      <c r="M62" s="10">
        <f t="shared" si="4"/>
        <v>421</v>
      </c>
      <c r="O62" s="10">
        <f t="shared" si="5"/>
        <v>8853</v>
      </c>
    </row>
    <row r="63" spans="1:15" s="4" customFormat="1" ht="12" x14ac:dyDescent="0.15">
      <c r="A63" s="15" t="s">
        <v>65</v>
      </c>
      <c r="B63" s="2" t="s">
        <v>4</v>
      </c>
      <c r="C63" s="7" t="s">
        <v>269</v>
      </c>
      <c r="D63" s="7">
        <v>62</v>
      </c>
      <c r="E63" s="7" t="s">
        <v>310</v>
      </c>
      <c r="F63" s="21" t="s">
        <v>3</v>
      </c>
      <c r="G63" s="35">
        <v>26</v>
      </c>
      <c r="H63" s="47">
        <v>26</v>
      </c>
      <c r="I63" s="39">
        <v>0</v>
      </c>
      <c r="J63" s="49">
        <f>VLOOKUP($C63,'Register of wages'!$C$3:$AL$86,MATCH(ESI!J$1,'Register of wages'!$C$3:$AL$3,0),0)</f>
        <v>7870</v>
      </c>
      <c r="K63" s="48">
        <f>VLOOKUP($C63,'Register of wages'!$C$3:$AL$86,MATCH(ESI!K$1,'Register of wages'!$C$3:$AL$3,0),0)</f>
        <v>7870</v>
      </c>
      <c r="L63" s="10">
        <f t="shared" si="3"/>
        <v>138</v>
      </c>
      <c r="M63" s="10">
        <f t="shared" si="4"/>
        <v>374</v>
      </c>
      <c r="O63" s="10">
        <f t="shared" si="5"/>
        <v>7870</v>
      </c>
    </row>
    <row r="64" spans="1:15" s="4" customFormat="1" ht="12" x14ac:dyDescent="0.15">
      <c r="A64" s="15" t="s">
        <v>97</v>
      </c>
      <c r="B64" s="20" t="s">
        <v>132</v>
      </c>
      <c r="C64" s="7" t="s">
        <v>268</v>
      </c>
      <c r="D64" s="7">
        <v>63</v>
      </c>
      <c r="E64" s="7" t="s">
        <v>311</v>
      </c>
      <c r="F64" s="21" t="s">
        <v>3</v>
      </c>
      <c r="G64" s="35">
        <v>26</v>
      </c>
      <c r="H64" s="47">
        <v>29</v>
      </c>
      <c r="I64" s="39">
        <v>0</v>
      </c>
      <c r="J64" s="49">
        <f>VLOOKUP($C64,'Register of wages'!$C$3:$AL$86,MATCH(ESI!J$1,'Register of wages'!$C$3:$AL$3,0),0)</f>
        <v>6669</v>
      </c>
      <c r="K64" s="48">
        <f>VLOOKUP($C64,'Register of wages'!$C$3:$AL$86,MATCH(ESI!K$1,'Register of wages'!$C$3:$AL$3,0),0)</f>
        <v>7439</v>
      </c>
      <c r="L64" s="10">
        <f t="shared" si="3"/>
        <v>131</v>
      </c>
      <c r="M64" s="10">
        <f t="shared" si="4"/>
        <v>354</v>
      </c>
      <c r="O64" s="10">
        <f t="shared" si="5"/>
        <v>7439</v>
      </c>
    </row>
    <row r="65" spans="1:15" s="4" customFormat="1" ht="12" x14ac:dyDescent="0.15">
      <c r="A65" s="15" t="s">
        <v>74</v>
      </c>
      <c r="B65" s="2" t="s">
        <v>6</v>
      </c>
      <c r="C65" s="7" t="s">
        <v>262</v>
      </c>
      <c r="D65" s="7">
        <v>64</v>
      </c>
      <c r="E65" s="7" t="s">
        <v>312</v>
      </c>
      <c r="F65" s="21" t="s">
        <v>2</v>
      </c>
      <c r="G65" s="35">
        <v>26</v>
      </c>
      <c r="H65" s="47">
        <v>29</v>
      </c>
      <c r="I65" s="39">
        <v>0</v>
      </c>
      <c r="J65" s="49">
        <f>VLOOKUP($C65,'Register of wages'!$C$3:$AL$86,MATCH(ESI!J$1,'Register of wages'!$C$3:$AL$3,0),0)</f>
        <v>7870</v>
      </c>
      <c r="K65" s="48">
        <f>VLOOKUP($C65,'Register of wages'!$C$3:$AL$86,MATCH(ESI!K$1,'Register of wages'!$C$3:$AL$3,0),0)</f>
        <v>8778</v>
      </c>
      <c r="L65" s="10">
        <f t="shared" si="3"/>
        <v>154</v>
      </c>
      <c r="M65" s="10">
        <f t="shared" si="4"/>
        <v>417</v>
      </c>
      <c r="O65" s="10">
        <f t="shared" si="5"/>
        <v>8778</v>
      </c>
    </row>
    <row r="66" spans="1:15" s="4" customFormat="1" ht="12" x14ac:dyDescent="0.15">
      <c r="A66" s="15" t="s">
        <v>90</v>
      </c>
      <c r="B66" s="2" t="s">
        <v>13</v>
      </c>
      <c r="C66" s="45" t="s">
        <v>320</v>
      </c>
      <c r="D66" s="7">
        <v>65</v>
      </c>
      <c r="E66" s="44" t="s">
        <v>137</v>
      </c>
      <c r="F66" s="21" t="s">
        <v>2</v>
      </c>
      <c r="G66" s="35">
        <v>26</v>
      </c>
      <c r="H66" s="47">
        <v>23</v>
      </c>
      <c r="I66" s="39">
        <v>0</v>
      </c>
      <c r="J66" s="49">
        <f>VLOOKUP($C66,'Register of wages'!$C$3:$AL$86,MATCH(ESI!J$1,'Register of wages'!$C$3:$AL$3,0),0)</f>
        <v>7870</v>
      </c>
      <c r="K66" s="48">
        <f>VLOOKUP($C66,'Register of wages'!$C$3:$AL$86,MATCH(ESI!K$1,'Register of wages'!$C$3:$AL$3,0),0)</f>
        <v>6962</v>
      </c>
      <c r="L66" s="10">
        <f t="shared" ref="L66:L83" si="6">ROUNDUP($O66*1.75%,0)</f>
        <v>122</v>
      </c>
      <c r="M66" s="10">
        <f t="shared" ref="M66:M83" si="7">ROUNDUP(O66*4.75%,0)</f>
        <v>331</v>
      </c>
      <c r="O66" s="10">
        <f t="shared" ref="O66:O83" si="8">ROUND($J66/$G66*($H66+$I66),0)</f>
        <v>6962</v>
      </c>
    </row>
    <row r="67" spans="1:15" s="4" customFormat="1" ht="12" x14ac:dyDescent="0.15">
      <c r="A67" s="15" t="s">
        <v>120</v>
      </c>
      <c r="B67" s="20" t="s">
        <v>20</v>
      </c>
      <c r="C67" s="7" t="s">
        <v>270</v>
      </c>
      <c r="D67" s="7">
        <v>66</v>
      </c>
      <c r="E67" s="7" t="s">
        <v>121</v>
      </c>
      <c r="F67" s="21" t="s">
        <v>3</v>
      </c>
      <c r="G67" s="35">
        <v>30</v>
      </c>
      <c r="H67" s="47">
        <v>30</v>
      </c>
      <c r="I67" s="39">
        <v>0</v>
      </c>
      <c r="J67" s="49">
        <f>VLOOKUP($C67,'Register of wages'!$C$3:$AL$86,MATCH(ESI!J$1,'Register of wages'!$C$3:$AL$3,0),0)</f>
        <v>7259</v>
      </c>
      <c r="K67" s="48">
        <f>VLOOKUP($C67,'Register of wages'!$C$3:$AL$86,MATCH(ESI!K$1,'Register of wages'!$C$3:$AL$3,0),0)</f>
        <v>7259</v>
      </c>
      <c r="L67" s="10">
        <f t="shared" si="6"/>
        <v>128</v>
      </c>
      <c r="M67" s="10">
        <f t="shared" si="7"/>
        <v>345</v>
      </c>
      <c r="O67" s="10">
        <f t="shared" si="8"/>
        <v>7259</v>
      </c>
    </row>
    <row r="68" spans="1:15" s="4" customFormat="1" ht="12" x14ac:dyDescent="0.15">
      <c r="A68" s="15" t="s">
        <v>111</v>
      </c>
      <c r="B68" s="3" t="s">
        <v>18</v>
      </c>
      <c r="C68" s="7" t="s">
        <v>271</v>
      </c>
      <c r="D68" s="7">
        <v>67</v>
      </c>
      <c r="E68" s="7" t="s">
        <v>112</v>
      </c>
      <c r="F68" s="21" t="s">
        <v>2</v>
      </c>
      <c r="G68" s="35">
        <v>26</v>
      </c>
      <c r="H68" s="47">
        <v>19</v>
      </c>
      <c r="I68" s="39">
        <v>0</v>
      </c>
      <c r="J68" s="49">
        <f>VLOOKUP($C68,'Register of wages'!$C$3:$AL$86,MATCH(ESI!J$1,'Register of wages'!$C$3:$AL$3,0),0)</f>
        <v>7576</v>
      </c>
      <c r="K68" s="48">
        <f>VLOOKUP($C68,'Register of wages'!$C$3:$AL$86,MATCH(ESI!K$1,'Register of wages'!$C$3:$AL$3,0),0)</f>
        <v>5537</v>
      </c>
      <c r="L68" s="10">
        <f t="shared" si="6"/>
        <v>97</v>
      </c>
      <c r="M68" s="10">
        <f t="shared" si="7"/>
        <v>263</v>
      </c>
      <c r="O68" s="10">
        <f t="shared" si="8"/>
        <v>5536</v>
      </c>
    </row>
    <row r="69" spans="1:15" s="4" customFormat="1" ht="12" x14ac:dyDescent="0.15">
      <c r="A69" s="15" t="s">
        <v>198</v>
      </c>
      <c r="B69" s="20" t="s">
        <v>196</v>
      </c>
      <c r="C69" s="7" t="s">
        <v>272</v>
      </c>
      <c r="D69" s="7">
        <v>68</v>
      </c>
      <c r="E69" s="7" t="s">
        <v>199</v>
      </c>
      <c r="F69" s="21" t="s">
        <v>2</v>
      </c>
      <c r="G69" s="46">
        <v>26</v>
      </c>
      <c r="H69" s="47">
        <v>25</v>
      </c>
      <c r="I69" s="47">
        <v>0</v>
      </c>
      <c r="J69" s="49">
        <f>VLOOKUP($C69,'Register of wages'!$C$3:$AL$86,MATCH(ESI!J$1,'Register of wages'!$C$3:$AL$3,0),0)</f>
        <v>7546</v>
      </c>
      <c r="K69" s="48">
        <f>VLOOKUP($C69,'Register of wages'!$C$3:$AL$86,MATCH(ESI!K$1,'Register of wages'!$C$3:$AL$3,0),0)</f>
        <v>7256</v>
      </c>
      <c r="L69" s="10">
        <f t="shared" si="6"/>
        <v>127</v>
      </c>
      <c r="M69" s="10">
        <f t="shared" si="7"/>
        <v>345</v>
      </c>
      <c r="O69" s="10">
        <f t="shared" si="8"/>
        <v>7256</v>
      </c>
    </row>
    <row r="70" spans="1:15" s="4" customFormat="1" ht="12" x14ac:dyDescent="0.15">
      <c r="A70" s="15" t="s">
        <v>197</v>
      </c>
      <c r="B70" s="20" t="s">
        <v>196</v>
      </c>
      <c r="C70" s="7" t="s">
        <v>273</v>
      </c>
      <c r="D70" s="7">
        <v>69</v>
      </c>
      <c r="E70" s="7" t="s">
        <v>313</v>
      </c>
      <c r="F70" s="21" t="s">
        <v>3</v>
      </c>
      <c r="G70" s="46">
        <v>26</v>
      </c>
      <c r="H70" s="47">
        <v>26</v>
      </c>
      <c r="I70" s="47">
        <v>0</v>
      </c>
      <c r="J70" s="49">
        <f>VLOOKUP($C70,'Register of wages'!$C$3:$AL$86,MATCH(ESI!J$1,'Register of wages'!$C$3:$AL$3,0),0)</f>
        <v>9433</v>
      </c>
      <c r="K70" s="48">
        <f>VLOOKUP($C70,'Register of wages'!$C$3:$AL$86,MATCH(ESI!K$1,'Register of wages'!$C$3:$AL$3,0),0)</f>
        <v>9433</v>
      </c>
      <c r="L70" s="10">
        <f t="shared" si="6"/>
        <v>166</v>
      </c>
      <c r="M70" s="10">
        <f t="shared" si="7"/>
        <v>449</v>
      </c>
      <c r="O70" s="10">
        <f t="shared" si="8"/>
        <v>9433</v>
      </c>
    </row>
    <row r="71" spans="1:15" s="4" customFormat="1" ht="12" x14ac:dyDescent="0.15">
      <c r="A71" s="15" t="s">
        <v>75</v>
      </c>
      <c r="B71" s="2" t="s">
        <v>7</v>
      </c>
      <c r="C71" s="7" t="s">
        <v>274</v>
      </c>
      <c r="D71" s="7">
        <v>70</v>
      </c>
      <c r="E71" s="7" t="s">
        <v>76</v>
      </c>
      <c r="F71" s="21" t="s">
        <v>2</v>
      </c>
      <c r="G71" s="35">
        <v>26</v>
      </c>
      <c r="H71" s="47">
        <v>31</v>
      </c>
      <c r="I71" s="39">
        <v>0</v>
      </c>
      <c r="J71" s="49">
        <f>VLOOKUP($C71,'Register of wages'!$C$3:$AL$86,MATCH(ESI!J$1,'Register of wages'!$C$3:$AL$3,0),0)</f>
        <v>7870</v>
      </c>
      <c r="K71" s="48">
        <f>VLOOKUP($C71,'Register of wages'!$C$3:$AL$86,MATCH(ESI!K$1,'Register of wages'!$C$3:$AL$3,0),0)</f>
        <v>9383</v>
      </c>
      <c r="L71" s="10">
        <f t="shared" si="6"/>
        <v>165</v>
      </c>
      <c r="M71" s="10">
        <f t="shared" si="7"/>
        <v>446</v>
      </c>
      <c r="O71" s="10">
        <f t="shared" si="8"/>
        <v>9383</v>
      </c>
    </row>
    <row r="72" spans="1:15" s="4" customFormat="1" ht="12" x14ac:dyDescent="0.15">
      <c r="A72" s="15" t="s">
        <v>175</v>
      </c>
      <c r="B72" s="2" t="s">
        <v>165</v>
      </c>
      <c r="C72" s="7" t="s">
        <v>275</v>
      </c>
      <c r="D72" s="7">
        <v>71</v>
      </c>
      <c r="E72" s="7" t="s">
        <v>176</v>
      </c>
      <c r="F72" s="21" t="s">
        <v>2</v>
      </c>
      <c r="G72" s="46">
        <v>26</v>
      </c>
      <c r="H72" s="47">
        <v>26</v>
      </c>
      <c r="I72" s="47">
        <v>0</v>
      </c>
      <c r="J72" s="49">
        <f>VLOOKUP($C72,'Register of wages'!$C$3:$AL$86,MATCH(ESI!J$1,'Register of wages'!$C$3:$AL$3,0),0)</f>
        <v>7546</v>
      </c>
      <c r="K72" s="48">
        <f>VLOOKUP($C72,'Register of wages'!$C$3:$AL$86,MATCH(ESI!K$1,'Register of wages'!$C$3:$AL$3,0),0)</f>
        <v>7546</v>
      </c>
      <c r="L72" s="10">
        <f t="shared" si="6"/>
        <v>133</v>
      </c>
      <c r="M72" s="10">
        <f t="shared" si="7"/>
        <v>359</v>
      </c>
      <c r="O72" s="10">
        <f t="shared" si="8"/>
        <v>7546</v>
      </c>
    </row>
    <row r="73" spans="1:15" s="4" customFormat="1" ht="12" x14ac:dyDescent="0.15">
      <c r="A73" s="15" t="s">
        <v>202</v>
      </c>
      <c r="B73" s="20" t="s">
        <v>196</v>
      </c>
      <c r="C73" s="7" t="s">
        <v>276</v>
      </c>
      <c r="D73" s="7">
        <v>72</v>
      </c>
      <c r="E73" s="7" t="s">
        <v>203</v>
      </c>
      <c r="F73" s="21" t="s">
        <v>2</v>
      </c>
      <c r="G73" s="46">
        <v>26</v>
      </c>
      <c r="H73" s="47">
        <v>24</v>
      </c>
      <c r="I73" s="47">
        <v>0</v>
      </c>
      <c r="J73" s="49">
        <f>VLOOKUP($C73,'Register of wages'!$C$3:$AL$86,MATCH(ESI!J$1,'Register of wages'!$C$3:$AL$3,0),0)</f>
        <v>7546</v>
      </c>
      <c r="K73" s="48">
        <f>VLOOKUP($C73,'Register of wages'!$C$3:$AL$86,MATCH(ESI!K$1,'Register of wages'!$C$3:$AL$3,0),0)</f>
        <v>6966</v>
      </c>
      <c r="L73" s="10">
        <f t="shared" si="6"/>
        <v>122</v>
      </c>
      <c r="M73" s="10">
        <f t="shared" si="7"/>
        <v>331</v>
      </c>
      <c r="O73" s="10">
        <f t="shared" si="8"/>
        <v>6966</v>
      </c>
    </row>
    <row r="74" spans="1:15" s="4" customFormat="1" ht="12" x14ac:dyDescent="0.15">
      <c r="A74" s="15" t="s">
        <v>189</v>
      </c>
      <c r="B74" s="3" t="s">
        <v>190</v>
      </c>
      <c r="C74" s="7" t="s">
        <v>277</v>
      </c>
      <c r="D74" s="7">
        <v>73</v>
      </c>
      <c r="E74" s="7" t="s">
        <v>191</v>
      </c>
      <c r="F74" s="21" t="s">
        <v>3</v>
      </c>
      <c r="G74" s="46">
        <v>26</v>
      </c>
      <c r="H74" s="47">
        <v>26</v>
      </c>
      <c r="I74" s="47">
        <v>0</v>
      </c>
      <c r="J74" s="49">
        <f>VLOOKUP($C74,'Register of wages'!$C$3:$AL$86,MATCH(ESI!J$1,'Register of wages'!$C$3:$AL$3,0),0)</f>
        <v>9433</v>
      </c>
      <c r="K74" s="48">
        <f>VLOOKUP($C74,'Register of wages'!$C$3:$AL$86,MATCH(ESI!K$1,'Register of wages'!$C$3:$AL$3,0),0)</f>
        <v>9433</v>
      </c>
      <c r="L74" s="10">
        <f t="shared" si="6"/>
        <v>166</v>
      </c>
      <c r="M74" s="10">
        <f t="shared" si="7"/>
        <v>449</v>
      </c>
      <c r="O74" s="10">
        <f t="shared" si="8"/>
        <v>9433</v>
      </c>
    </row>
    <row r="75" spans="1:15" s="4" customFormat="1" ht="12" x14ac:dyDescent="0.15">
      <c r="A75" s="15" t="s">
        <v>124</v>
      </c>
      <c r="B75" s="20" t="s">
        <v>22</v>
      </c>
      <c r="C75" s="7" t="s">
        <v>278</v>
      </c>
      <c r="D75" s="7">
        <v>74</v>
      </c>
      <c r="E75" s="7" t="s">
        <v>125</v>
      </c>
      <c r="F75" s="21" t="s">
        <v>2</v>
      </c>
      <c r="G75" s="35">
        <v>26</v>
      </c>
      <c r="H75" s="47">
        <v>25</v>
      </c>
      <c r="I75" s="39">
        <v>0</v>
      </c>
      <c r="J75" s="49">
        <f>VLOOKUP($C75,'Register of wages'!$C$3:$AL$86,MATCH(ESI!J$1,'Register of wages'!$C$3:$AL$3,0),0)</f>
        <v>4900</v>
      </c>
      <c r="K75" s="48">
        <f>VLOOKUP($C75,'Register of wages'!$C$3:$AL$86,MATCH(ESI!K$1,'Register of wages'!$C$3:$AL$3,0),0)</f>
        <v>4712</v>
      </c>
      <c r="L75" s="10">
        <f t="shared" si="6"/>
        <v>83</v>
      </c>
      <c r="M75" s="10">
        <f t="shared" si="7"/>
        <v>224</v>
      </c>
      <c r="O75" s="10">
        <f t="shared" si="8"/>
        <v>4712</v>
      </c>
    </row>
    <row r="76" spans="1:15" s="4" customFormat="1" ht="12" x14ac:dyDescent="0.15">
      <c r="A76" s="15" t="s">
        <v>171</v>
      </c>
      <c r="B76" s="2" t="s">
        <v>165</v>
      </c>
      <c r="C76" s="7" t="s">
        <v>279</v>
      </c>
      <c r="D76" s="7">
        <v>75</v>
      </c>
      <c r="E76" s="7" t="s">
        <v>314</v>
      </c>
      <c r="F76" s="21" t="s">
        <v>3</v>
      </c>
      <c r="G76" s="46">
        <v>26</v>
      </c>
      <c r="H76" s="47">
        <v>26</v>
      </c>
      <c r="I76" s="47">
        <v>0</v>
      </c>
      <c r="J76" s="49">
        <f>VLOOKUP($C76,'Register of wages'!$C$3:$AL$86,MATCH(ESI!J$1,'Register of wages'!$C$3:$AL$3,0),0)</f>
        <v>9433</v>
      </c>
      <c r="K76" s="48">
        <f>VLOOKUP($C76,'Register of wages'!$C$3:$AL$86,MATCH(ESI!K$1,'Register of wages'!$C$3:$AL$3,0),0)</f>
        <v>9433</v>
      </c>
      <c r="L76" s="10">
        <f t="shared" si="6"/>
        <v>166</v>
      </c>
      <c r="M76" s="10">
        <f t="shared" si="7"/>
        <v>449</v>
      </c>
      <c r="O76" s="10">
        <f t="shared" si="8"/>
        <v>9433</v>
      </c>
    </row>
    <row r="77" spans="1:15" s="4" customFormat="1" ht="12" x14ac:dyDescent="0.15">
      <c r="A77" s="15" t="s">
        <v>70</v>
      </c>
      <c r="B77" s="2" t="s">
        <v>5</v>
      </c>
      <c r="C77" s="7" t="s">
        <v>280</v>
      </c>
      <c r="D77" s="7">
        <v>76</v>
      </c>
      <c r="E77" s="7" t="s">
        <v>71</v>
      </c>
      <c r="F77" s="21" t="s">
        <v>2</v>
      </c>
      <c r="G77" s="35">
        <v>26</v>
      </c>
      <c r="H77" s="47">
        <v>26</v>
      </c>
      <c r="I77" s="39">
        <v>0</v>
      </c>
      <c r="J77" s="49">
        <f>VLOOKUP($C77,'Register of wages'!$C$3:$AL$86,MATCH(ESI!J$1,'Register of wages'!$C$3:$AL$3,0),0)</f>
        <v>7870</v>
      </c>
      <c r="K77" s="48">
        <f>VLOOKUP($C77,'Register of wages'!$C$3:$AL$86,MATCH(ESI!K$1,'Register of wages'!$C$3:$AL$3,0),0)</f>
        <v>7870</v>
      </c>
      <c r="L77" s="10">
        <f t="shared" si="6"/>
        <v>138</v>
      </c>
      <c r="M77" s="10">
        <f t="shared" si="7"/>
        <v>374</v>
      </c>
      <c r="O77" s="10">
        <f t="shared" si="8"/>
        <v>7870</v>
      </c>
    </row>
    <row r="78" spans="1:15" s="4" customFormat="1" ht="12" x14ac:dyDescent="0.15">
      <c r="A78" s="15" t="s">
        <v>100</v>
      </c>
      <c r="B78" s="3" t="s">
        <v>16</v>
      </c>
      <c r="C78" s="7" t="s">
        <v>281</v>
      </c>
      <c r="D78" s="7">
        <v>77</v>
      </c>
      <c r="E78" s="7" t="s">
        <v>101</v>
      </c>
      <c r="F78" s="21" t="s">
        <v>2</v>
      </c>
      <c r="G78" s="35">
        <v>26</v>
      </c>
      <c r="H78" s="47">
        <v>27</v>
      </c>
      <c r="I78" s="39">
        <v>0</v>
      </c>
      <c r="J78" s="49">
        <f>VLOOKUP($C78,'Register of wages'!$C$3:$AL$86,MATCH(ESI!J$1,'Register of wages'!$C$3:$AL$3,0),0)</f>
        <v>7711</v>
      </c>
      <c r="K78" s="48">
        <f>VLOOKUP($C78,'Register of wages'!$C$3:$AL$86,MATCH(ESI!K$1,'Register of wages'!$C$3:$AL$3,0),0)</f>
        <v>8008</v>
      </c>
      <c r="L78" s="10">
        <f t="shared" si="6"/>
        <v>141</v>
      </c>
      <c r="M78" s="10">
        <f t="shared" si="7"/>
        <v>381</v>
      </c>
      <c r="O78" s="10">
        <f t="shared" si="8"/>
        <v>8008</v>
      </c>
    </row>
    <row r="79" spans="1:15" s="4" customFormat="1" ht="12" x14ac:dyDescent="0.15">
      <c r="A79" s="15" t="s">
        <v>117</v>
      </c>
      <c r="B79" s="20" t="s">
        <v>20</v>
      </c>
      <c r="C79" s="7" t="s">
        <v>282</v>
      </c>
      <c r="D79" s="7">
        <v>78</v>
      </c>
      <c r="E79" s="7" t="s">
        <v>118</v>
      </c>
      <c r="F79" s="21" t="s">
        <v>2</v>
      </c>
      <c r="G79" s="35">
        <v>30</v>
      </c>
      <c r="H79" s="47">
        <v>30</v>
      </c>
      <c r="I79" s="39">
        <v>0</v>
      </c>
      <c r="J79" s="49">
        <f>VLOOKUP($C79,'Register of wages'!$C$3:$AL$86,MATCH(ESI!J$1,'Register of wages'!$C$3:$AL$3,0),0)</f>
        <v>7259</v>
      </c>
      <c r="K79" s="48">
        <f>VLOOKUP($C79,'Register of wages'!$C$3:$AL$86,MATCH(ESI!K$1,'Register of wages'!$C$3:$AL$3,0),0)</f>
        <v>7259</v>
      </c>
      <c r="L79" s="10">
        <f t="shared" si="6"/>
        <v>128</v>
      </c>
      <c r="M79" s="10">
        <f t="shared" si="7"/>
        <v>345</v>
      </c>
      <c r="O79" s="10">
        <f t="shared" si="8"/>
        <v>7259</v>
      </c>
    </row>
    <row r="80" spans="1:15" s="4" customFormat="1" ht="12" x14ac:dyDescent="0.15">
      <c r="A80" s="15" t="s">
        <v>78</v>
      </c>
      <c r="B80" s="2" t="s">
        <v>8</v>
      </c>
      <c r="C80" s="7" t="s">
        <v>283</v>
      </c>
      <c r="D80" s="7">
        <v>79</v>
      </c>
      <c r="E80" s="7" t="s">
        <v>79</v>
      </c>
      <c r="F80" s="21" t="s">
        <v>2</v>
      </c>
      <c r="G80" s="35">
        <v>26</v>
      </c>
      <c r="H80" s="47">
        <v>23</v>
      </c>
      <c r="I80" s="39">
        <v>0</v>
      </c>
      <c r="J80" s="49">
        <f>VLOOKUP($C80,'Register of wages'!$C$3:$AL$86,MATCH(ESI!J$1,'Register of wages'!$C$3:$AL$3,0),0)</f>
        <v>7870</v>
      </c>
      <c r="K80" s="48">
        <f>VLOOKUP($C80,'Register of wages'!$C$3:$AL$86,MATCH(ESI!K$1,'Register of wages'!$C$3:$AL$3,0),0)</f>
        <v>6962</v>
      </c>
      <c r="L80" s="10">
        <f t="shared" si="6"/>
        <v>122</v>
      </c>
      <c r="M80" s="10">
        <f t="shared" si="7"/>
        <v>331</v>
      </c>
      <c r="O80" s="10">
        <f t="shared" si="8"/>
        <v>6962</v>
      </c>
    </row>
    <row r="81" spans="1:15" s="4" customFormat="1" ht="12" x14ac:dyDescent="0.15">
      <c r="A81" s="15" t="s">
        <v>122</v>
      </c>
      <c r="B81" s="20" t="s">
        <v>21</v>
      </c>
      <c r="C81" s="7" t="s">
        <v>284</v>
      </c>
      <c r="D81" s="7">
        <v>80</v>
      </c>
      <c r="E81" s="7" t="s">
        <v>123</v>
      </c>
      <c r="F81" s="21" t="s">
        <v>2</v>
      </c>
      <c r="G81" s="35">
        <v>30</v>
      </c>
      <c r="H81" s="47">
        <v>29</v>
      </c>
      <c r="I81" s="39">
        <v>0</v>
      </c>
      <c r="J81" s="49">
        <f>VLOOKUP($C81,'Register of wages'!$C$3:$AL$86,MATCH(ESI!J$1,'Register of wages'!$C$3:$AL$3,0),0)</f>
        <v>4000</v>
      </c>
      <c r="K81" s="48">
        <f>VLOOKUP($C81,'Register of wages'!$C$3:$AL$86,MATCH(ESI!K$1,'Register of wages'!$C$3:$AL$3,0),0)</f>
        <v>3867</v>
      </c>
      <c r="L81" s="10">
        <f t="shared" si="6"/>
        <v>68</v>
      </c>
      <c r="M81" s="10">
        <f t="shared" si="7"/>
        <v>184</v>
      </c>
      <c r="O81" s="10">
        <f t="shared" si="8"/>
        <v>3867</v>
      </c>
    </row>
    <row r="82" spans="1:15" s="4" customFormat="1" ht="12" x14ac:dyDescent="0.15">
      <c r="A82" s="15" t="s">
        <v>102</v>
      </c>
      <c r="B82" s="3" t="s">
        <v>17</v>
      </c>
      <c r="C82" s="7" t="s">
        <v>285</v>
      </c>
      <c r="D82" s="7">
        <v>81</v>
      </c>
      <c r="E82" s="7" t="s">
        <v>315</v>
      </c>
      <c r="F82" s="21" t="s">
        <v>2</v>
      </c>
      <c r="G82" s="35">
        <v>26</v>
      </c>
      <c r="H82" s="47">
        <v>27</v>
      </c>
      <c r="I82" s="39">
        <v>0</v>
      </c>
      <c r="J82" s="49">
        <f>VLOOKUP($C82,'Register of wages'!$C$3:$AL$86,MATCH(ESI!J$1,'Register of wages'!$C$3:$AL$3,0),0)</f>
        <v>7576</v>
      </c>
      <c r="K82" s="48">
        <f>VLOOKUP($C82,'Register of wages'!$C$3:$AL$86,MATCH(ESI!K$1,'Register of wages'!$C$3:$AL$3,0),0)</f>
        <v>7868</v>
      </c>
      <c r="L82" s="10">
        <f t="shared" si="6"/>
        <v>138</v>
      </c>
      <c r="M82" s="10">
        <f t="shared" si="7"/>
        <v>374</v>
      </c>
      <c r="O82" s="10">
        <f t="shared" si="8"/>
        <v>7867</v>
      </c>
    </row>
    <row r="83" spans="1:15" s="4" customFormat="1" ht="12" x14ac:dyDescent="0.15">
      <c r="A83" s="15" t="s">
        <v>108</v>
      </c>
      <c r="B83" s="3" t="s">
        <v>17</v>
      </c>
      <c r="C83" s="7" t="s">
        <v>286</v>
      </c>
      <c r="D83" s="7">
        <v>82</v>
      </c>
      <c r="E83" s="7" t="s">
        <v>316</v>
      </c>
      <c r="F83" s="21" t="s">
        <v>3</v>
      </c>
      <c r="G83" s="35">
        <v>26</v>
      </c>
      <c r="H83" s="47">
        <v>29</v>
      </c>
      <c r="I83" s="39">
        <v>0</v>
      </c>
      <c r="J83" s="49">
        <f>VLOOKUP($C83,'Register of wages'!$C$3:$AL$86,MATCH(ESI!J$1,'Register of wages'!$C$3:$AL$3,0),0)</f>
        <v>7937</v>
      </c>
      <c r="K83" s="48">
        <f>VLOOKUP($C83,'Register of wages'!$C$3:$AL$86,MATCH(ESI!K$1,'Register of wages'!$C$3:$AL$3,0),0)</f>
        <v>8853</v>
      </c>
      <c r="L83" s="10">
        <f t="shared" si="6"/>
        <v>155</v>
      </c>
      <c r="M83" s="10">
        <f t="shared" si="7"/>
        <v>421</v>
      </c>
      <c r="O83" s="10">
        <f t="shared" si="8"/>
        <v>8853</v>
      </c>
    </row>
    <row r="84" spans="1:15" s="4" customFormat="1" ht="12" x14ac:dyDescent="0.15">
      <c r="A84" s="7"/>
      <c r="B84" s="21"/>
      <c r="C84" s="21"/>
      <c r="D84" s="7"/>
      <c r="E84" s="7"/>
      <c r="F84" s="21"/>
      <c r="G84" s="35"/>
      <c r="H84" s="39"/>
      <c r="I84" s="39"/>
      <c r="J84" s="7"/>
      <c r="K84" s="26"/>
      <c r="L84" s="10"/>
      <c r="M84" s="10"/>
      <c r="O84" s="10"/>
    </row>
    <row r="85" spans="1:15" s="4" customFormat="1" ht="12" x14ac:dyDescent="0.15">
      <c r="A85" s="17"/>
      <c r="B85" s="22"/>
      <c r="C85" s="22"/>
      <c r="D85" s="17"/>
      <c r="E85" s="17"/>
      <c r="F85" s="22"/>
      <c r="G85" s="39"/>
      <c r="H85" s="29">
        <f t="shared" ref="H85:M85" si="9">SUBTOTAL(109,H2:H84)</f>
        <v>2011</v>
      </c>
      <c r="I85" s="29">
        <f t="shared" si="9"/>
        <v>1</v>
      </c>
      <c r="J85" s="29">
        <f t="shared" si="9"/>
        <v>652341</v>
      </c>
      <c r="K85" s="29">
        <f t="shared" si="9"/>
        <v>603814</v>
      </c>
      <c r="L85" s="29">
        <f t="shared" si="9"/>
        <v>10611</v>
      </c>
      <c r="M85" s="29">
        <f t="shared" si="9"/>
        <v>28717</v>
      </c>
      <c r="O85" s="29">
        <f>SUBTOTAL(109,O2:O84)</f>
        <v>603809</v>
      </c>
    </row>
    <row r="88" spans="1:15" x14ac:dyDescent="0.25">
      <c r="L88" s="1">
        <v>155</v>
      </c>
    </row>
    <row r="90" spans="1:15" x14ac:dyDescent="0.25">
      <c r="O90" s="33"/>
    </row>
    <row r="91" spans="1:15" x14ac:dyDescent="0.25">
      <c r="O91" s="33"/>
    </row>
    <row r="92" spans="1:15" x14ac:dyDescent="0.25">
      <c r="O92" s="33"/>
    </row>
  </sheetData>
  <conditionalFormatting sqref="E2:E84 C2:C83">
    <cfRule type="duplicateValues" dxfId="0" priority="1"/>
  </conditionalFormatting>
  <printOptions horizontalCentered="1"/>
  <pageMargins left="0" right="0" top="0.25" bottom="0" header="0" footer="0"/>
  <pageSetup paperSize="9" scale="7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Register of wages</vt:lpstr>
      <vt:lpstr>ESI</vt:lpstr>
      <vt:lpstr>ESI!Print_Area</vt:lpstr>
      <vt:lpstr>'Register of wages'!Print_Area</vt:lpstr>
      <vt:lpstr>ESI!Print_Titles</vt:lpstr>
      <vt:lpstr>'Register of wages'!Print_Titles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2018-01-03T05:14:18Z</dcterms:modified>
</cp:coreProperties>
</file>