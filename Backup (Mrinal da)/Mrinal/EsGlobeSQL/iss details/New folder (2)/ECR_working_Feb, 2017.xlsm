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D:\Enfotech\EsGlobeSQL\iss details\New folder (2)\"/>
    </mc:Choice>
  </mc:AlternateContent>
  <bookViews>
    <workbookView xWindow="0" yWindow="0" windowWidth="20490" windowHeight="9045"/>
  </bookViews>
  <sheets>
    <sheet name="ECRSheet_1" sheetId="1" r:id="rId1"/>
    <sheet name="Sheet1" sheetId="2" r:id="rId2"/>
  </sheets>
  <definedNames>
    <definedName name="_xlnm._FilterDatabase" localSheetId="0" hidden="1">ECRSheet_1!$C$1:$C$95</definedName>
    <definedName name="_xlnm._FilterDatabase" localSheetId="1" hidden="1">Sheet1!$A$2:$O$94</definedName>
  </definedNames>
  <calcPr calcId="152511"/>
</workbook>
</file>

<file path=xl/calcChain.xml><?xml version="1.0" encoding="utf-8"?>
<calcChain xmlns="http://schemas.openxmlformats.org/spreadsheetml/2006/main">
  <c r="AA4" i="2" l="1"/>
  <c r="AB4" i="2" s="1"/>
  <c r="AA5" i="2"/>
  <c r="AB5" i="2" s="1"/>
  <c r="AA7" i="2"/>
  <c r="AB7" i="2" s="1"/>
  <c r="AA13" i="2"/>
  <c r="AA14" i="2"/>
  <c r="AA16" i="2"/>
  <c r="AA17" i="2"/>
  <c r="AA18" i="2"/>
  <c r="AA19" i="2"/>
  <c r="AB19" i="2" s="1"/>
  <c r="AA23" i="2"/>
  <c r="AB23" i="2" s="1"/>
  <c r="AA24" i="2"/>
  <c r="AA25" i="2"/>
  <c r="AA26" i="2"/>
  <c r="AA27" i="2"/>
  <c r="AB27" i="2" s="1"/>
  <c r="AA28" i="2"/>
  <c r="AA33" i="2"/>
  <c r="AA38" i="2"/>
  <c r="AA45" i="2"/>
  <c r="AA48" i="2"/>
  <c r="AA51" i="2"/>
  <c r="AB51" i="2" s="1"/>
  <c r="AA54" i="2"/>
  <c r="AA57" i="2"/>
  <c r="AA58" i="2"/>
  <c r="AA64" i="2"/>
  <c r="AA65" i="2"/>
  <c r="AA67" i="2"/>
  <c r="AB67" i="2" s="1"/>
  <c r="AA69" i="2"/>
  <c r="AA71" i="2"/>
  <c r="AB71" i="2" s="1"/>
  <c r="AA72" i="2"/>
  <c r="AA77" i="2"/>
  <c r="AA78" i="2"/>
  <c r="AB78" i="2" s="1"/>
  <c r="AA82" i="2"/>
  <c r="AB82" i="2" s="1"/>
  <c r="AA83" i="2"/>
  <c r="AB83" i="2" s="1"/>
  <c r="AA87" i="2"/>
  <c r="AB87" i="2" s="1"/>
  <c r="AA89" i="2"/>
  <c r="AB89" i="2"/>
  <c r="AA91" i="2"/>
  <c r="AB91" i="2" s="1"/>
  <c r="AA93" i="2"/>
  <c r="AB93" i="2" s="1"/>
  <c r="I97" i="2"/>
  <c r="J97" i="2"/>
  <c r="K97" i="2"/>
  <c r="S97" i="2"/>
  <c r="T97" i="2"/>
  <c r="W97" i="2"/>
  <c r="X97" i="2"/>
  <c r="Q5" i="2"/>
  <c r="Q7" i="2"/>
  <c r="Q19" i="2"/>
  <c r="Q23" i="2"/>
  <c r="Q27" i="2"/>
  <c r="Q51" i="2"/>
  <c r="Q67" i="2"/>
  <c r="Q71" i="2"/>
  <c r="Q78" i="2"/>
  <c r="Q82" i="2"/>
  <c r="Q83" i="2"/>
  <c r="Q87" i="2"/>
  <c r="Q89" i="2"/>
  <c r="Q91" i="2"/>
  <c r="Q93" i="2"/>
  <c r="AA3" i="2"/>
  <c r="AB57" i="2" l="1"/>
  <c r="Q57" i="2"/>
  <c r="AB17" i="2"/>
  <c r="Q17" i="2"/>
  <c r="AB77" i="2"/>
  <c r="Q77" i="2"/>
  <c r="AB69" i="2"/>
  <c r="Q69" i="2"/>
  <c r="AB45" i="2"/>
  <c r="Q45" i="2"/>
  <c r="AB33" i="2"/>
  <c r="Q33" i="2"/>
  <c r="AB65" i="2"/>
  <c r="Q65" i="2"/>
  <c r="AB13" i="2"/>
  <c r="Q13" i="2"/>
  <c r="AB3" i="2"/>
  <c r="AB25" i="2"/>
  <c r="Q25" i="2"/>
  <c r="AB72" i="2"/>
  <c r="Q72" i="2"/>
  <c r="AB64" i="2"/>
  <c r="Q64" i="2"/>
  <c r="AB48" i="2"/>
  <c r="Q48" i="2"/>
  <c r="AB28" i="2"/>
  <c r="Q28" i="2"/>
  <c r="AB24" i="2"/>
  <c r="Q24" i="2"/>
  <c r="AB16" i="2"/>
  <c r="Q16" i="2"/>
  <c r="AB58" i="2"/>
  <c r="Q58" i="2"/>
  <c r="AB54" i="2"/>
  <c r="Q54" i="2"/>
  <c r="AB38" i="2"/>
  <c r="Q38" i="2"/>
  <c r="AB26" i="2"/>
  <c r="Q26" i="2"/>
  <c r="AB18" i="2"/>
  <c r="Q18" i="2"/>
  <c r="AB14" i="2"/>
  <c r="Q14" i="2"/>
  <c r="Q4" i="2"/>
  <c r="Q3" i="2"/>
  <c r="L6" i="2" l="1"/>
  <c r="Y6" i="2" s="1"/>
  <c r="L8" i="2"/>
  <c r="Y8" i="2" s="1"/>
  <c r="L9" i="2"/>
  <c r="Y9" i="2" s="1"/>
  <c r="L10" i="2"/>
  <c r="Y10" i="2" s="1"/>
  <c r="L11" i="2"/>
  <c r="Y11" i="2" s="1"/>
  <c r="L12" i="2"/>
  <c r="Y12" i="2" s="1"/>
  <c r="L15" i="2"/>
  <c r="Y15" i="2" s="1"/>
  <c r="L16" i="2"/>
  <c r="Y16" i="2" s="1"/>
  <c r="L20" i="2"/>
  <c r="Y20" i="2" s="1"/>
  <c r="L21" i="2"/>
  <c r="Y21" i="2" s="1"/>
  <c r="L22" i="2"/>
  <c r="Y22" i="2" s="1"/>
  <c r="L23" i="2"/>
  <c r="Y23" i="2" s="1"/>
  <c r="L29" i="2"/>
  <c r="Y29" i="2" s="1"/>
  <c r="L30" i="2"/>
  <c r="Y30" i="2" s="1"/>
  <c r="L31" i="2"/>
  <c r="Y31" i="2" s="1"/>
  <c r="L32" i="2"/>
  <c r="Y32" i="2" s="1"/>
  <c r="L34" i="2"/>
  <c r="Y34" i="2" s="1"/>
  <c r="L35" i="2"/>
  <c r="Y35" i="2" s="1"/>
  <c r="L36" i="2"/>
  <c r="Y36" i="2" s="1"/>
  <c r="L37" i="2"/>
  <c r="Y37" i="2" s="1"/>
  <c r="L39" i="2"/>
  <c r="Y39" i="2" s="1"/>
  <c r="L40" i="2"/>
  <c r="Y40" i="2" s="1"/>
  <c r="L41" i="2"/>
  <c r="Y41" i="2" s="1"/>
  <c r="L42" i="2"/>
  <c r="Y42" i="2" s="1"/>
  <c r="L43" i="2"/>
  <c r="Y43" i="2" s="1"/>
  <c r="L44" i="2"/>
  <c r="Y44" i="2" s="1"/>
  <c r="L46" i="2"/>
  <c r="Y46" i="2" s="1"/>
  <c r="L47" i="2"/>
  <c r="Y47" i="2" s="1"/>
  <c r="L48" i="2"/>
  <c r="Y48" i="2" s="1"/>
  <c r="L49" i="2"/>
  <c r="Y49" i="2" s="1"/>
  <c r="L50" i="2"/>
  <c r="Y50" i="2" s="1"/>
  <c r="L51" i="2"/>
  <c r="Y51" i="2" s="1"/>
  <c r="L52" i="2"/>
  <c r="Y52" i="2" s="1"/>
  <c r="L53" i="2"/>
  <c r="Y53" i="2" s="1"/>
  <c r="L55" i="2"/>
  <c r="Y55" i="2" s="1"/>
  <c r="L56" i="2"/>
  <c r="Y56" i="2" s="1"/>
  <c r="L57" i="2"/>
  <c r="Y57" i="2" s="1"/>
  <c r="L59" i="2"/>
  <c r="Y59" i="2" s="1"/>
  <c r="L60" i="2"/>
  <c r="Y60" i="2" s="1"/>
  <c r="L61" i="2"/>
  <c r="Y61" i="2" s="1"/>
  <c r="L62" i="2"/>
  <c r="Y62" i="2" s="1"/>
  <c r="L63" i="2"/>
  <c r="Y63" i="2" s="1"/>
  <c r="L66" i="2"/>
  <c r="Y66" i="2" s="1"/>
  <c r="L68" i="2"/>
  <c r="Y68" i="2" s="1"/>
  <c r="L70" i="2"/>
  <c r="Y70" i="2" s="1"/>
  <c r="L73" i="2"/>
  <c r="Y73" i="2" s="1"/>
  <c r="L74" i="2"/>
  <c r="Y74" i="2" s="1"/>
  <c r="L75" i="2"/>
  <c r="Y75" i="2" s="1"/>
  <c r="L76" i="2"/>
  <c r="Y76" i="2" s="1"/>
  <c r="L77" i="2"/>
  <c r="Y77" i="2" s="1"/>
  <c r="L79" i="2"/>
  <c r="Y79" i="2" s="1"/>
  <c r="L80" i="2"/>
  <c r="Y80" i="2" s="1"/>
  <c r="L81" i="2"/>
  <c r="Y81" i="2" s="1"/>
  <c r="L84" i="2"/>
  <c r="Y84" i="2" s="1"/>
  <c r="L85" i="2"/>
  <c r="Y85" i="2" s="1"/>
  <c r="L86" i="2"/>
  <c r="Y86" i="2" s="1"/>
  <c r="L88" i="2"/>
  <c r="Y88" i="2" s="1"/>
  <c r="L90" i="2"/>
  <c r="Y90" i="2" s="1"/>
  <c r="L92" i="2"/>
  <c r="Y92" i="2" s="1"/>
  <c r="L94" i="2"/>
  <c r="Y94" i="2" s="1"/>
  <c r="L95" i="2"/>
  <c r="Y95" i="2" s="1"/>
  <c r="D5" i="1"/>
  <c r="G5" i="1" s="1"/>
  <c r="E5" i="1"/>
  <c r="H5" i="1" s="1"/>
  <c r="I5" i="1" s="1"/>
  <c r="F5" i="1"/>
  <c r="D7" i="1"/>
  <c r="G7" i="1" s="1"/>
  <c r="E7" i="1"/>
  <c r="H7" i="1" s="1"/>
  <c r="F7" i="1"/>
  <c r="D9" i="1"/>
  <c r="G9" i="1" s="1"/>
  <c r="E9" i="1"/>
  <c r="H9" i="1" s="1"/>
  <c r="F9" i="1"/>
  <c r="D10" i="1"/>
  <c r="G10" i="1" s="1"/>
  <c r="E10" i="1"/>
  <c r="H10" i="1" s="1"/>
  <c r="I10" i="1" s="1"/>
  <c r="F10" i="1"/>
  <c r="D11" i="1"/>
  <c r="G11" i="1" s="1"/>
  <c r="E11" i="1"/>
  <c r="H11" i="1" s="1"/>
  <c r="F11" i="1"/>
  <c r="D15" i="1"/>
  <c r="G15" i="1" s="1"/>
  <c r="E15" i="1"/>
  <c r="H15" i="1" s="1"/>
  <c r="F15" i="1"/>
  <c r="D19" i="1"/>
  <c r="G19" i="1" s="1"/>
  <c r="E19" i="1"/>
  <c r="H19" i="1" s="1"/>
  <c r="I19" i="1" s="1"/>
  <c r="F19" i="1"/>
  <c r="D20" i="1"/>
  <c r="G20" i="1" s="1"/>
  <c r="E20" i="1"/>
  <c r="H20" i="1" s="1"/>
  <c r="F20" i="1"/>
  <c r="D22" i="1"/>
  <c r="G22" i="1" s="1"/>
  <c r="I22" i="1" s="1"/>
  <c r="E22" i="1"/>
  <c r="H22" i="1" s="1"/>
  <c r="F22" i="1"/>
  <c r="D28" i="1"/>
  <c r="G28" i="1" s="1"/>
  <c r="E28" i="1"/>
  <c r="H28" i="1" s="1"/>
  <c r="I28" i="1" s="1"/>
  <c r="F28" i="1"/>
  <c r="D29" i="1"/>
  <c r="G29" i="1" s="1"/>
  <c r="E29" i="1"/>
  <c r="H29" i="1" s="1"/>
  <c r="F29" i="1"/>
  <c r="D31" i="1"/>
  <c r="G31" i="1" s="1"/>
  <c r="I31" i="1" s="1"/>
  <c r="E31" i="1"/>
  <c r="H31" i="1" s="1"/>
  <c r="F31" i="1"/>
  <c r="D33" i="1"/>
  <c r="G33" i="1" s="1"/>
  <c r="E33" i="1"/>
  <c r="H33" i="1" s="1"/>
  <c r="I33" i="1" s="1"/>
  <c r="F33" i="1"/>
  <c r="D34" i="1"/>
  <c r="G34" i="1" s="1"/>
  <c r="E34" i="1"/>
  <c r="H34" i="1" s="1"/>
  <c r="F34" i="1"/>
  <c r="D36" i="1"/>
  <c r="G36" i="1" s="1"/>
  <c r="I36" i="1" s="1"/>
  <c r="E36" i="1"/>
  <c r="H36" i="1" s="1"/>
  <c r="F36" i="1"/>
  <c r="D38" i="1"/>
  <c r="G38" i="1" s="1"/>
  <c r="E38" i="1"/>
  <c r="H38" i="1" s="1"/>
  <c r="I38" i="1" s="1"/>
  <c r="F38" i="1"/>
  <c r="D39" i="1"/>
  <c r="G39" i="1" s="1"/>
  <c r="E39" i="1"/>
  <c r="H39" i="1" s="1"/>
  <c r="F39" i="1"/>
  <c r="D41" i="1"/>
  <c r="G41" i="1" s="1"/>
  <c r="I41" i="1" s="1"/>
  <c r="E41" i="1"/>
  <c r="H41" i="1" s="1"/>
  <c r="F41" i="1"/>
  <c r="D42" i="1"/>
  <c r="G42" i="1" s="1"/>
  <c r="E42" i="1"/>
  <c r="H42" i="1" s="1"/>
  <c r="I42" i="1" s="1"/>
  <c r="F42" i="1"/>
  <c r="D43" i="1"/>
  <c r="G43" i="1" s="1"/>
  <c r="E43" i="1"/>
  <c r="H43" i="1" s="1"/>
  <c r="F43" i="1"/>
  <c r="D46" i="1"/>
  <c r="G46" i="1" s="1"/>
  <c r="I46" i="1" s="1"/>
  <c r="E46" i="1"/>
  <c r="H46" i="1" s="1"/>
  <c r="F46" i="1"/>
  <c r="D47" i="1"/>
  <c r="G47" i="1" s="1"/>
  <c r="E47" i="1"/>
  <c r="H47" i="1" s="1"/>
  <c r="I47" i="1" s="1"/>
  <c r="F47" i="1"/>
  <c r="D48" i="1"/>
  <c r="G48" i="1" s="1"/>
  <c r="E48" i="1"/>
  <c r="H48" i="1" s="1"/>
  <c r="F48" i="1"/>
  <c r="D50" i="1"/>
  <c r="G50" i="1" s="1"/>
  <c r="I50" i="1" s="1"/>
  <c r="E50" i="1"/>
  <c r="H50" i="1" s="1"/>
  <c r="F50" i="1"/>
  <c r="D51" i="1"/>
  <c r="G51" i="1" s="1"/>
  <c r="E51" i="1"/>
  <c r="H51" i="1" s="1"/>
  <c r="I51" i="1" s="1"/>
  <c r="F51" i="1"/>
  <c r="D52" i="1"/>
  <c r="G52" i="1" s="1"/>
  <c r="E52" i="1"/>
  <c r="H52" i="1" s="1"/>
  <c r="F52" i="1"/>
  <c r="D55" i="1"/>
  <c r="G55" i="1" s="1"/>
  <c r="E55" i="1"/>
  <c r="H55" i="1" s="1"/>
  <c r="F55" i="1"/>
  <c r="D56" i="1"/>
  <c r="G56" i="1" s="1"/>
  <c r="E56" i="1"/>
  <c r="H56" i="1" s="1"/>
  <c r="I56" i="1" s="1"/>
  <c r="F56" i="1"/>
  <c r="D58" i="1"/>
  <c r="G58" i="1" s="1"/>
  <c r="E58" i="1"/>
  <c r="H58" i="1" s="1"/>
  <c r="F58" i="1"/>
  <c r="D60" i="1"/>
  <c r="G60" i="1" s="1"/>
  <c r="I60" i="1" s="1"/>
  <c r="E60" i="1"/>
  <c r="H60" i="1" s="1"/>
  <c r="F60" i="1"/>
  <c r="D61" i="1"/>
  <c r="G61" i="1" s="1"/>
  <c r="E61" i="1"/>
  <c r="H61" i="1" s="1"/>
  <c r="I61" i="1" s="1"/>
  <c r="F61" i="1"/>
  <c r="D62" i="1"/>
  <c r="G62" i="1" s="1"/>
  <c r="E62" i="1"/>
  <c r="H62" i="1" s="1"/>
  <c r="F62" i="1"/>
  <c r="D67" i="1"/>
  <c r="G67" i="1" s="1"/>
  <c r="I67" i="1" s="1"/>
  <c r="E67" i="1"/>
  <c r="H67" i="1" s="1"/>
  <c r="F67" i="1"/>
  <c r="D69" i="1"/>
  <c r="G69" i="1" s="1"/>
  <c r="E69" i="1"/>
  <c r="H69" i="1" s="1"/>
  <c r="I69" i="1" s="1"/>
  <c r="F69" i="1"/>
  <c r="D72" i="1"/>
  <c r="G72" i="1" s="1"/>
  <c r="E72" i="1"/>
  <c r="H72" i="1" s="1"/>
  <c r="F72" i="1"/>
  <c r="D74" i="1"/>
  <c r="G74" i="1" s="1"/>
  <c r="I74" i="1" s="1"/>
  <c r="E74" i="1"/>
  <c r="H74" i="1" s="1"/>
  <c r="F74" i="1"/>
  <c r="D75" i="1"/>
  <c r="G75" i="1" s="1"/>
  <c r="E75" i="1"/>
  <c r="H75" i="1" s="1"/>
  <c r="I75" i="1" s="1"/>
  <c r="F75" i="1"/>
  <c r="D76" i="1"/>
  <c r="G76" i="1" s="1"/>
  <c r="E76" i="1"/>
  <c r="H76" i="1" s="1"/>
  <c r="F76" i="1"/>
  <c r="D79" i="1"/>
  <c r="G79" i="1" s="1"/>
  <c r="I79" i="1" s="1"/>
  <c r="E79" i="1"/>
  <c r="H79" i="1" s="1"/>
  <c r="F79" i="1"/>
  <c r="D80" i="1"/>
  <c r="G80" i="1" s="1"/>
  <c r="E80" i="1"/>
  <c r="H80" i="1" s="1"/>
  <c r="I80" i="1" s="1"/>
  <c r="F80" i="1"/>
  <c r="D83" i="1"/>
  <c r="G83" i="1" s="1"/>
  <c r="E83" i="1"/>
  <c r="H83" i="1" s="1"/>
  <c r="F83" i="1"/>
  <c r="D85" i="1"/>
  <c r="G85" i="1" s="1"/>
  <c r="I85" i="1" s="1"/>
  <c r="E85" i="1"/>
  <c r="H85" i="1" s="1"/>
  <c r="F85" i="1"/>
  <c r="D87" i="1"/>
  <c r="G87" i="1" s="1"/>
  <c r="E87" i="1"/>
  <c r="H87" i="1" s="1"/>
  <c r="F87" i="1"/>
  <c r="D89" i="1"/>
  <c r="G89" i="1" s="1"/>
  <c r="E89" i="1"/>
  <c r="H89" i="1" s="1"/>
  <c r="F89" i="1"/>
  <c r="D93" i="1"/>
  <c r="G93" i="1" s="1"/>
  <c r="I93" i="1" s="1"/>
  <c r="E93" i="1"/>
  <c r="H93" i="1" s="1"/>
  <c r="F93" i="1"/>
  <c r="D94" i="1"/>
  <c r="G94" i="1" s="1"/>
  <c r="E94" i="1"/>
  <c r="H94" i="1" s="1"/>
  <c r="I94" i="1" s="1"/>
  <c r="F94" i="1"/>
  <c r="H94" i="2"/>
  <c r="AA94" i="2" s="1"/>
  <c r="H73" i="2"/>
  <c r="AA73" i="2" s="1"/>
  <c r="H56" i="2"/>
  <c r="AA56" i="2" s="1"/>
  <c r="H92" i="2"/>
  <c r="AA92" i="2" s="1"/>
  <c r="H79" i="2"/>
  <c r="AA79" i="2" s="1"/>
  <c r="H49" i="2"/>
  <c r="AA49" i="2" s="1"/>
  <c r="H75" i="2"/>
  <c r="AA75" i="2" s="1"/>
  <c r="H22" i="2"/>
  <c r="AA22" i="2" s="1"/>
  <c r="G27" i="2"/>
  <c r="F27" i="2"/>
  <c r="L27" i="2" s="1"/>
  <c r="G87" i="2"/>
  <c r="M87" i="2" s="1"/>
  <c r="F87" i="2"/>
  <c r="L87" i="2" s="1"/>
  <c r="H8" i="2"/>
  <c r="AA8" i="2" s="1"/>
  <c r="H95" i="2"/>
  <c r="AA95" i="2" s="1"/>
  <c r="H76" i="2"/>
  <c r="AA76" i="2" s="1"/>
  <c r="H61" i="2"/>
  <c r="AA61" i="2" s="1"/>
  <c r="H60" i="2"/>
  <c r="AA60" i="2" s="1"/>
  <c r="H43" i="2"/>
  <c r="AA43" i="2" s="1"/>
  <c r="H41" i="2"/>
  <c r="AA41" i="2" s="1"/>
  <c r="G69" i="2"/>
  <c r="F69" i="2"/>
  <c r="L69" i="2" s="1"/>
  <c r="Y69" i="2" s="1"/>
  <c r="G38" i="2"/>
  <c r="F38" i="2"/>
  <c r="L38" i="2" s="1"/>
  <c r="Y38" i="2" s="1"/>
  <c r="G91" i="2"/>
  <c r="F91" i="2"/>
  <c r="L91" i="2" s="1"/>
  <c r="Y91" i="2" s="1"/>
  <c r="G67" i="2"/>
  <c r="F67" i="2"/>
  <c r="L67" i="2" s="1"/>
  <c r="Y67" i="2" s="1"/>
  <c r="F3" i="2"/>
  <c r="G3" i="2" s="1"/>
  <c r="N3" i="2"/>
  <c r="F4" i="2"/>
  <c r="L4" i="2" s="1"/>
  <c r="Y4" i="2" s="1"/>
  <c r="N4" i="2"/>
  <c r="F5" i="2"/>
  <c r="L5" i="2" s="1"/>
  <c r="Y5" i="2" s="1"/>
  <c r="N5" i="2"/>
  <c r="H6" i="2"/>
  <c r="M6" i="2"/>
  <c r="F7" i="2"/>
  <c r="L7" i="2" s="1"/>
  <c r="Y7" i="2" s="1"/>
  <c r="N7" i="2"/>
  <c r="M8" i="2"/>
  <c r="N8" i="2"/>
  <c r="H9" i="2"/>
  <c r="M9" i="2"/>
  <c r="H10" i="2"/>
  <c r="M10" i="2"/>
  <c r="H11" i="2"/>
  <c r="M11" i="2"/>
  <c r="H12" i="2"/>
  <c r="M12" i="2"/>
  <c r="F13" i="2"/>
  <c r="L13" i="2" s="1"/>
  <c r="Y13" i="2" s="1"/>
  <c r="N13" i="2"/>
  <c r="F14" i="2"/>
  <c r="L14" i="2" s="1"/>
  <c r="Y14" i="2" s="1"/>
  <c r="N14" i="2"/>
  <c r="H15" i="2"/>
  <c r="M15" i="2"/>
  <c r="M16" i="2"/>
  <c r="N16" i="2"/>
  <c r="F17" i="2"/>
  <c r="L17" i="2" s="1"/>
  <c r="Y17" i="2" s="1"/>
  <c r="N17" i="2"/>
  <c r="F18" i="2"/>
  <c r="L18" i="2" s="1"/>
  <c r="N18" i="2"/>
  <c r="F19" i="2"/>
  <c r="L19" i="2" s="1"/>
  <c r="G19" i="2"/>
  <c r="M19" i="2" s="1"/>
  <c r="N19" i="2"/>
  <c r="H20" i="2"/>
  <c r="M20" i="2"/>
  <c r="H21" i="2"/>
  <c r="M21" i="2"/>
  <c r="M22" i="2"/>
  <c r="N22" i="2"/>
  <c r="M23" i="2"/>
  <c r="N23" i="2"/>
  <c r="F24" i="2"/>
  <c r="L24" i="2" s="1"/>
  <c r="N24" i="2"/>
  <c r="F25" i="2"/>
  <c r="L25" i="2" s="1"/>
  <c r="N25" i="2"/>
  <c r="F26" i="2"/>
  <c r="L26" i="2" s="1"/>
  <c r="N26" i="2"/>
  <c r="M27" i="2"/>
  <c r="N27" i="2"/>
  <c r="F28" i="2"/>
  <c r="L28" i="2" s="1"/>
  <c r="N28" i="2"/>
  <c r="H29" i="2"/>
  <c r="M29" i="2"/>
  <c r="H30" i="2"/>
  <c r="M30" i="2"/>
  <c r="G31" i="2"/>
  <c r="H31" i="2" s="1"/>
  <c r="H32" i="2"/>
  <c r="M32" i="2"/>
  <c r="F33" i="2"/>
  <c r="L33" i="2" s="1"/>
  <c r="N33" i="2"/>
  <c r="H34" i="2"/>
  <c r="AA34" i="2" s="1"/>
  <c r="M34" i="2"/>
  <c r="N34" i="2"/>
  <c r="G35" i="2"/>
  <c r="H35" i="2" s="1"/>
  <c r="H36" i="2"/>
  <c r="M36" i="2"/>
  <c r="H37" i="2"/>
  <c r="M37" i="2"/>
  <c r="M38" i="2"/>
  <c r="N38" i="2"/>
  <c r="G39" i="2"/>
  <c r="H39" i="2" s="1"/>
  <c r="G40" i="2"/>
  <c r="H40" i="2" s="1"/>
  <c r="M41" i="2"/>
  <c r="N41" i="2"/>
  <c r="G42" i="2"/>
  <c r="H42" i="2" s="1"/>
  <c r="M43" i="2"/>
  <c r="N43" i="2"/>
  <c r="H44" i="2"/>
  <c r="AA44" i="2" s="1"/>
  <c r="M44" i="2"/>
  <c r="F45" i="2"/>
  <c r="L45" i="2" s="1"/>
  <c r="N45" i="2"/>
  <c r="H46" i="2"/>
  <c r="M46" i="2"/>
  <c r="G47" i="2"/>
  <c r="H47" i="2" s="1"/>
  <c r="M48" i="2"/>
  <c r="N48" i="2"/>
  <c r="M49" i="2"/>
  <c r="N49" i="2"/>
  <c r="H50" i="2"/>
  <c r="M50" i="2"/>
  <c r="M51" i="2"/>
  <c r="N51" i="2"/>
  <c r="H52" i="2"/>
  <c r="M52" i="2"/>
  <c r="H53" i="2"/>
  <c r="M53" i="2"/>
  <c r="F54" i="2"/>
  <c r="L54" i="2" s="1"/>
  <c r="Y54" i="2" s="1"/>
  <c r="N54" i="2"/>
  <c r="G55" i="2"/>
  <c r="H55" i="2" s="1"/>
  <c r="M56" i="2"/>
  <c r="M57" i="2"/>
  <c r="N57" i="2"/>
  <c r="F58" i="2"/>
  <c r="L58" i="2" s="1"/>
  <c r="N58" i="2"/>
  <c r="G59" i="2"/>
  <c r="H59" i="2" s="1"/>
  <c r="M60" i="2"/>
  <c r="N60" i="2"/>
  <c r="M61" i="2"/>
  <c r="N61" i="2"/>
  <c r="H62" i="2"/>
  <c r="M62" i="2"/>
  <c r="G63" i="2"/>
  <c r="H63" i="2" s="1"/>
  <c r="F64" i="2"/>
  <c r="L64" i="2" s="1"/>
  <c r="Y64" i="2" s="1"/>
  <c r="N64" i="2"/>
  <c r="F65" i="2"/>
  <c r="L65" i="2" s="1"/>
  <c r="Y65" i="2" s="1"/>
  <c r="N65" i="2"/>
  <c r="G66" i="2"/>
  <c r="H66" i="2" s="1"/>
  <c r="M67" i="2"/>
  <c r="N67" i="2"/>
  <c r="G68" i="2"/>
  <c r="H68" i="2" s="1"/>
  <c r="M69" i="2"/>
  <c r="N69" i="2"/>
  <c r="H70" i="2"/>
  <c r="M70" i="2"/>
  <c r="F71" i="2"/>
  <c r="L71" i="2" s="1"/>
  <c r="N71" i="2"/>
  <c r="F72" i="2"/>
  <c r="L72" i="2" s="1"/>
  <c r="N72" i="2"/>
  <c r="M73" i="2"/>
  <c r="N73" i="2"/>
  <c r="H74" i="2"/>
  <c r="M74" i="2"/>
  <c r="M75" i="2"/>
  <c r="N75" i="2"/>
  <c r="M76" i="2"/>
  <c r="M77" i="2"/>
  <c r="N77" i="2"/>
  <c r="F78" i="2"/>
  <c r="L78" i="2" s="1"/>
  <c r="Y78" i="2" s="1"/>
  <c r="N78" i="2"/>
  <c r="M79" i="2"/>
  <c r="N79" i="2"/>
  <c r="H80" i="2"/>
  <c r="M80" i="2"/>
  <c r="H81" i="2"/>
  <c r="M81" i="2"/>
  <c r="F82" i="2"/>
  <c r="L82" i="2" s="1"/>
  <c r="Y82" i="2" s="1"/>
  <c r="N82" i="2"/>
  <c r="F83" i="2"/>
  <c r="L83" i="2" s="1"/>
  <c r="Y83" i="2" s="1"/>
  <c r="N83" i="2"/>
  <c r="H84" i="2"/>
  <c r="AA84" i="2" s="1"/>
  <c r="N84" i="2"/>
  <c r="M84" i="2"/>
  <c r="H85" i="2"/>
  <c r="M85" i="2"/>
  <c r="G86" i="2"/>
  <c r="H86" i="2" s="1"/>
  <c r="N87" i="2"/>
  <c r="G88" i="2"/>
  <c r="H88" i="2" s="1"/>
  <c r="F89" i="2"/>
  <c r="L89" i="2" s="1"/>
  <c r="Y89" i="2" s="1"/>
  <c r="N89" i="2"/>
  <c r="G90" i="2"/>
  <c r="H90" i="2" s="1"/>
  <c r="M91" i="2"/>
  <c r="N91" i="2"/>
  <c r="M92" i="2"/>
  <c r="N92" i="2"/>
  <c r="F93" i="2"/>
  <c r="L93" i="2" s="1"/>
  <c r="N93" i="2"/>
  <c r="M94" i="2"/>
  <c r="N94" i="2"/>
  <c r="M95" i="2"/>
  <c r="N95" i="2"/>
  <c r="I48" i="1"/>
  <c r="I72" i="1"/>
  <c r="I76" i="1"/>
  <c r="I89" i="1"/>
  <c r="I43" i="1"/>
  <c r="I11" i="1"/>
  <c r="I9" i="1"/>
  <c r="M63" i="2"/>
  <c r="G89" i="2"/>
  <c r="M89" i="2" s="1"/>
  <c r="M88" i="2"/>
  <c r="M86" i="2"/>
  <c r="M68" i="2"/>
  <c r="M66" i="2"/>
  <c r="M59" i="2"/>
  <c r="M55" i="2"/>
  <c r="M47" i="2"/>
  <c r="M42" i="2"/>
  <c r="M40" i="2"/>
  <c r="M39" i="2"/>
  <c r="M35" i="2"/>
  <c r="M31" i="2"/>
  <c r="I62" i="1"/>
  <c r="I58" i="1"/>
  <c r="I29" i="1"/>
  <c r="I20" i="1"/>
  <c r="I87" i="1"/>
  <c r="I52" i="1"/>
  <c r="I34" i="1"/>
  <c r="I83" i="1"/>
  <c r="I55" i="1"/>
  <c r="I39" i="1"/>
  <c r="I15" i="1"/>
  <c r="I7" i="1"/>
  <c r="N66" i="2" l="1"/>
  <c r="AA66" i="2"/>
  <c r="N85" i="2"/>
  <c r="AA85" i="2"/>
  <c r="D57" i="1"/>
  <c r="G57" i="1" s="1"/>
  <c r="Y58" i="2"/>
  <c r="AB44" i="2"/>
  <c r="Q44" i="2"/>
  <c r="D25" i="1"/>
  <c r="G25" i="1" s="1"/>
  <c r="Y26" i="2"/>
  <c r="N20" i="2"/>
  <c r="AA20" i="2"/>
  <c r="Z38" i="2"/>
  <c r="P38" i="2"/>
  <c r="Z85" i="2"/>
  <c r="P85" i="2"/>
  <c r="Z66" i="2"/>
  <c r="P66" i="2"/>
  <c r="Z55" i="2"/>
  <c r="P55" i="2"/>
  <c r="Z46" i="2"/>
  <c r="P46" i="2"/>
  <c r="Z36" i="2"/>
  <c r="P36" i="2"/>
  <c r="Z31" i="2"/>
  <c r="P31" i="2"/>
  <c r="Z9" i="2"/>
  <c r="P9" i="2"/>
  <c r="Z83" i="2"/>
  <c r="P83" i="2"/>
  <c r="N81" i="2"/>
  <c r="AA81" i="2"/>
  <c r="E70" i="1"/>
  <c r="H70" i="1" s="1"/>
  <c r="Y71" i="2"/>
  <c r="N62" i="2"/>
  <c r="AA62" i="2"/>
  <c r="N55" i="2"/>
  <c r="AA55" i="2"/>
  <c r="N47" i="2"/>
  <c r="AA47" i="2"/>
  <c r="E44" i="1"/>
  <c r="H44" i="1" s="1"/>
  <c r="Y45" i="2"/>
  <c r="N36" i="2"/>
  <c r="AA36" i="2"/>
  <c r="AB34" i="2"/>
  <c r="Q34" i="2"/>
  <c r="N32" i="2"/>
  <c r="AA32" i="2"/>
  <c r="D17" i="1"/>
  <c r="G17" i="1" s="1"/>
  <c r="Y18" i="2"/>
  <c r="Z14" i="2"/>
  <c r="P14" i="2"/>
  <c r="N12" i="2"/>
  <c r="AA12" i="2"/>
  <c r="N10" i="2"/>
  <c r="AA10" i="2"/>
  <c r="N6" i="2"/>
  <c r="H97" i="2"/>
  <c r="AA6" i="2"/>
  <c r="Z4" i="2"/>
  <c r="P4" i="2"/>
  <c r="AB43" i="2"/>
  <c r="Q43" i="2"/>
  <c r="AB95" i="2"/>
  <c r="Q95" i="2"/>
  <c r="E26" i="1"/>
  <c r="H26" i="1" s="1"/>
  <c r="Y27" i="2"/>
  <c r="AB49" i="2"/>
  <c r="Q49" i="2"/>
  <c r="AB73" i="2"/>
  <c r="Q73" i="2"/>
  <c r="F91" i="1"/>
  <c r="F84" i="1"/>
  <c r="F78" i="1"/>
  <c r="F73" i="1"/>
  <c r="F65" i="1"/>
  <c r="F59" i="1"/>
  <c r="F54" i="1"/>
  <c r="F49" i="1"/>
  <c r="F45" i="1"/>
  <c r="F40" i="1"/>
  <c r="F35" i="1"/>
  <c r="F30" i="1"/>
  <c r="F21" i="1"/>
  <c r="F14" i="1"/>
  <c r="F8" i="1"/>
  <c r="Z90" i="2"/>
  <c r="P90" i="2"/>
  <c r="Z84" i="2"/>
  <c r="P84" i="2"/>
  <c r="Z77" i="2"/>
  <c r="P77" i="2"/>
  <c r="Z73" i="2"/>
  <c r="P73" i="2"/>
  <c r="Z63" i="2"/>
  <c r="P63" i="2"/>
  <c r="Z59" i="2"/>
  <c r="P59" i="2"/>
  <c r="Z53" i="2"/>
  <c r="P53" i="2"/>
  <c r="Z49" i="2"/>
  <c r="P49" i="2"/>
  <c r="Z44" i="2"/>
  <c r="P44" i="2"/>
  <c r="Z40" i="2"/>
  <c r="P40" i="2"/>
  <c r="Z35" i="2"/>
  <c r="P35" i="2"/>
  <c r="Z30" i="2"/>
  <c r="P30" i="2"/>
  <c r="Z21" i="2"/>
  <c r="P21" i="2"/>
  <c r="Z12" i="2"/>
  <c r="P12" i="2"/>
  <c r="Z8" i="2"/>
  <c r="P8" i="2"/>
  <c r="N90" i="2"/>
  <c r="AA90" i="2"/>
  <c r="Z65" i="2"/>
  <c r="P65" i="2"/>
  <c r="N50" i="2"/>
  <c r="AA50" i="2"/>
  <c r="D27" i="1"/>
  <c r="G27" i="1" s="1"/>
  <c r="Y28" i="2"/>
  <c r="Z67" i="2"/>
  <c r="P67" i="2"/>
  <c r="AB41" i="2"/>
  <c r="Q41" i="2"/>
  <c r="AB76" i="2"/>
  <c r="Q76" i="2"/>
  <c r="AB75" i="2"/>
  <c r="Q75" i="2"/>
  <c r="AB56" i="2"/>
  <c r="Q56" i="2"/>
  <c r="Z92" i="2"/>
  <c r="P92" i="2"/>
  <c r="Z74" i="2"/>
  <c r="P74" i="2"/>
  <c r="Z22" i="2"/>
  <c r="P22" i="2"/>
  <c r="P89" i="2"/>
  <c r="Z89" i="2"/>
  <c r="N86" i="2"/>
  <c r="AA86" i="2"/>
  <c r="N76" i="2"/>
  <c r="N68" i="2"/>
  <c r="AA68" i="2"/>
  <c r="Z64" i="2"/>
  <c r="P64" i="2"/>
  <c r="N59" i="2"/>
  <c r="AA59" i="2"/>
  <c r="N53" i="2"/>
  <c r="AA53" i="2"/>
  <c r="N40" i="2"/>
  <c r="AA40" i="2"/>
  <c r="N35" i="2"/>
  <c r="AA35" i="2"/>
  <c r="N31" i="2"/>
  <c r="AA31" i="2"/>
  <c r="N29" i="2"/>
  <c r="AA29" i="2"/>
  <c r="E24" i="1"/>
  <c r="H24" i="1" s="1"/>
  <c r="Y25" i="2"/>
  <c r="N21" i="2"/>
  <c r="AA21" i="2"/>
  <c r="Z91" i="2"/>
  <c r="P91" i="2"/>
  <c r="Z69" i="2"/>
  <c r="P69" i="2"/>
  <c r="AB60" i="2"/>
  <c r="Q60" i="2"/>
  <c r="AB8" i="2"/>
  <c r="Q8" i="2"/>
  <c r="AB79" i="2"/>
  <c r="Q79" i="2"/>
  <c r="AB94" i="2"/>
  <c r="Q94" i="2"/>
  <c r="E91" i="1"/>
  <c r="H91" i="1" s="1"/>
  <c r="E84" i="1"/>
  <c r="H84" i="1" s="1"/>
  <c r="E78" i="1"/>
  <c r="H78" i="1" s="1"/>
  <c r="E73" i="1"/>
  <c r="H73" i="1" s="1"/>
  <c r="E65" i="1"/>
  <c r="H65" i="1" s="1"/>
  <c r="E59" i="1"/>
  <c r="H59" i="1" s="1"/>
  <c r="E54" i="1"/>
  <c r="H54" i="1" s="1"/>
  <c r="E49" i="1"/>
  <c r="H49" i="1" s="1"/>
  <c r="E45" i="1"/>
  <c r="H45" i="1" s="1"/>
  <c r="E40" i="1"/>
  <c r="H40" i="1" s="1"/>
  <c r="E35" i="1"/>
  <c r="H35" i="1" s="1"/>
  <c r="E30" i="1"/>
  <c r="H30" i="1" s="1"/>
  <c r="E21" i="1"/>
  <c r="H21" i="1" s="1"/>
  <c r="E14" i="1"/>
  <c r="H14" i="1" s="1"/>
  <c r="E8" i="1"/>
  <c r="H8" i="1" s="1"/>
  <c r="Z95" i="2"/>
  <c r="P95" i="2"/>
  <c r="Z88" i="2"/>
  <c r="P88" i="2"/>
  <c r="Z81" i="2"/>
  <c r="P81" i="2"/>
  <c r="Z76" i="2"/>
  <c r="P76" i="2"/>
  <c r="Z70" i="2"/>
  <c r="P70" i="2"/>
  <c r="Z62" i="2"/>
  <c r="P62" i="2"/>
  <c r="Z57" i="2"/>
  <c r="P57" i="2"/>
  <c r="Z52" i="2"/>
  <c r="P52" i="2"/>
  <c r="Z48" i="2"/>
  <c r="P48" i="2"/>
  <c r="Z43" i="2"/>
  <c r="P43" i="2"/>
  <c r="Z39" i="2"/>
  <c r="P39" i="2"/>
  <c r="Z34" i="2"/>
  <c r="P34" i="2"/>
  <c r="Z29" i="2"/>
  <c r="P29" i="2"/>
  <c r="Z20" i="2"/>
  <c r="P20" i="2"/>
  <c r="Z11" i="2"/>
  <c r="P11" i="2"/>
  <c r="Z6" i="2"/>
  <c r="P6" i="2"/>
  <c r="Z54" i="2"/>
  <c r="P54" i="2"/>
  <c r="N52" i="2"/>
  <c r="AA52" i="2"/>
  <c r="N30" i="2"/>
  <c r="AA30" i="2"/>
  <c r="D23" i="1"/>
  <c r="G23" i="1" s="1"/>
  <c r="Y24" i="2"/>
  <c r="Z79" i="2"/>
  <c r="P79" i="2"/>
  <c r="Z60" i="2"/>
  <c r="P60" i="2"/>
  <c r="Z50" i="2"/>
  <c r="P50" i="2"/>
  <c r="Z41" i="2"/>
  <c r="P41" i="2"/>
  <c r="Z15" i="2"/>
  <c r="P15" i="2"/>
  <c r="E92" i="1"/>
  <c r="H92" i="1" s="1"/>
  <c r="Y93" i="2"/>
  <c r="N88" i="2"/>
  <c r="AA88" i="2"/>
  <c r="AB84" i="2"/>
  <c r="Q84" i="2"/>
  <c r="Z82" i="2"/>
  <c r="P82" i="2"/>
  <c r="N80" i="2"/>
  <c r="AA80" i="2"/>
  <c r="Z78" i="2"/>
  <c r="P78" i="2"/>
  <c r="N74" i="2"/>
  <c r="AA74" i="2"/>
  <c r="D71" i="1"/>
  <c r="G71" i="1" s="1"/>
  <c r="Y72" i="2"/>
  <c r="N70" i="2"/>
  <c r="AA70" i="2"/>
  <c r="N63" i="2"/>
  <c r="AA63" i="2"/>
  <c r="N56" i="2"/>
  <c r="G54" i="2"/>
  <c r="M54" i="2" s="1"/>
  <c r="N46" i="2"/>
  <c r="AA46" i="2"/>
  <c r="N44" i="2"/>
  <c r="N42" i="2"/>
  <c r="AA42" i="2"/>
  <c r="N39" i="2"/>
  <c r="AA39" i="2"/>
  <c r="N37" i="2"/>
  <c r="AA37" i="2"/>
  <c r="E32" i="1"/>
  <c r="H32" i="1" s="1"/>
  <c r="Y33" i="2"/>
  <c r="E18" i="1"/>
  <c r="H18" i="1" s="1"/>
  <c r="Y19" i="2"/>
  <c r="Z17" i="2"/>
  <c r="P17" i="2"/>
  <c r="N15" i="2"/>
  <c r="AA15" i="2"/>
  <c r="Z13" i="2"/>
  <c r="P13" i="2"/>
  <c r="N11" i="2"/>
  <c r="AA11" i="2"/>
  <c r="N9" i="2"/>
  <c r="N97" i="2" s="1"/>
  <c r="AA9" i="2"/>
  <c r="Z7" i="2"/>
  <c r="P7" i="2"/>
  <c r="Z5" i="2"/>
  <c r="P5" i="2"/>
  <c r="AB61" i="2"/>
  <c r="Q61" i="2"/>
  <c r="E86" i="1"/>
  <c r="H86" i="1" s="1"/>
  <c r="Y87" i="2"/>
  <c r="AB22" i="2"/>
  <c r="Q22" i="2"/>
  <c r="AB92" i="2"/>
  <c r="Q92" i="2"/>
  <c r="D91" i="1"/>
  <c r="G91" i="1" s="1"/>
  <c r="I91" i="1" s="1"/>
  <c r="D84" i="1"/>
  <c r="G84" i="1" s="1"/>
  <c r="I84" i="1" s="1"/>
  <c r="D78" i="1"/>
  <c r="G78" i="1" s="1"/>
  <c r="I78" i="1" s="1"/>
  <c r="D73" i="1"/>
  <c r="G73" i="1" s="1"/>
  <c r="I73" i="1" s="1"/>
  <c r="D65" i="1"/>
  <c r="G65" i="1" s="1"/>
  <c r="I65" i="1" s="1"/>
  <c r="D59" i="1"/>
  <c r="G59" i="1" s="1"/>
  <c r="I59" i="1" s="1"/>
  <c r="D54" i="1"/>
  <c r="G54" i="1" s="1"/>
  <c r="I54" i="1" s="1"/>
  <c r="D49" i="1"/>
  <c r="G49" i="1" s="1"/>
  <c r="I49" i="1" s="1"/>
  <c r="D45" i="1"/>
  <c r="G45" i="1" s="1"/>
  <c r="I45" i="1" s="1"/>
  <c r="D40" i="1"/>
  <c r="G40" i="1" s="1"/>
  <c r="I40" i="1" s="1"/>
  <c r="D35" i="1"/>
  <c r="G35" i="1" s="1"/>
  <c r="I35" i="1" s="1"/>
  <c r="D30" i="1"/>
  <c r="G30" i="1" s="1"/>
  <c r="I30" i="1" s="1"/>
  <c r="D21" i="1"/>
  <c r="G21" i="1" s="1"/>
  <c r="I21" i="1" s="1"/>
  <c r="D14" i="1"/>
  <c r="G14" i="1" s="1"/>
  <c r="I14" i="1" s="1"/>
  <c r="D8" i="1"/>
  <c r="G8" i="1" s="1"/>
  <c r="I8" i="1" s="1"/>
  <c r="Z94" i="2"/>
  <c r="P94" i="2"/>
  <c r="Z86" i="2"/>
  <c r="P86" i="2"/>
  <c r="Z80" i="2"/>
  <c r="P80" i="2"/>
  <c r="Z75" i="2"/>
  <c r="P75" i="2"/>
  <c r="Z68" i="2"/>
  <c r="P68" i="2"/>
  <c r="Z61" i="2"/>
  <c r="P61" i="2"/>
  <c r="Z56" i="2"/>
  <c r="P56" i="2"/>
  <c r="Z51" i="2"/>
  <c r="P51" i="2"/>
  <c r="Z47" i="2"/>
  <c r="P47" i="2"/>
  <c r="Z42" i="2"/>
  <c r="P42" i="2"/>
  <c r="Z37" i="2"/>
  <c r="P37" i="2"/>
  <c r="Z32" i="2"/>
  <c r="P32" i="2"/>
  <c r="Z23" i="2"/>
  <c r="P23" i="2"/>
  <c r="Z16" i="2"/>
  <c r="P16" i="2"/>
  <c r="Z10" i="2"/>
  <c r="P10" i="2"/>
  <c r="M90" i="2"/>
  <c r="G93" i="2"/>
  <c r="M93" i="2" s="1"/>
  <c r="G82" i="2"/>
  <c r="M82" i="2" s="1"/>
  <c r="G64" i="2"/>
  <c r="M64" i="2" s="1"/>
  <c r="G26" i="2"/>
  <c r="M26" i="2" s="1"/>
  <c r="G78" i="2"/>
  <c r="M78" i="2" s="1"/>
  <c r="O78" i="2" s="1"/>
  <c r="G24" i="2"/>
  <c r="M24" i="2" s="1"/>
  <c r="G17" i="2"/>
  <c r="M17" i="2" s="1"/>
  <c r="G5" i="2"/>
  <c r="M5" i="2" s="1"/>
  <c r="G83" i="2"/>
  <c r="M83" i="2" s="1"/>
  <c r="O83" i="2" s="1"/>
  <c r="G65" i="2"/>
  <c r="M65" i="2" s="1"/>
  <c r="G28" i="2"/>
  <c r="M28" i="2" s="1"/>
  <c r="G25" i="2"/>
  <c r="M25" i="2" s="1"/>
  <c r="G18" i="2"/>
  <c r="M18" i="2" s="1"/>
  <c r="G4" i="2"/>
  <c r="M4" i="2" s="1"/>
  <c r="O89" i="2"/>
  <c r="O82" i="2"/>
  <c r="G72" i="2"/>
  <c r="M72" i="2" s="1"/>
  <c r="G71" i="2"/>
  <c r="M71" i="2" s="1"/>
  <c r="O65" i="2"/>
  <c r="O64" i="2"/>
  <c r="G58" i="2"/>
  <c r="M58" i="2" s="1"/>
  <c r="O54" i="2"/>
  <c r="G45" i="2"/>
  <c r="M45" i="2" s="1"/>
  <c r="G33" i="2"/>
  <c r="M33" i="2" s="1"/>
  <c r="D13" i="1"/>
  <c r="G13" i="1" s="1"/>
  <c r="F13" i="1"/>
  <c r="E13" i="1"/>
  <c r="H13" i="1" s="1"/>
  <c r="E12" i="1"/>
  <c r="H12" i="1" s="1"/>
  <c r="D12" i="1"/>
  <c r="G12" i="1" s="1"/>
  <c r="F12" i="1"/>
  <c r="E6" i="1"/>
  <c r="H6" i="1" s="1"/>
  <c r="D6" i="1"/>
  <c r="G6" i="1" s="1"/>
  <c r="F6" i="1"/>
  <c r="O67" i="2"/>
  <c r="O91" i="2"/>
  <c r="O38" i="2"/>
  <c r="O69" i="2"/>
  <c r="E90" i="1"/>
  <c r="H90" i="1" s="1"/>
  <c r="E88" i="1"/>
  <c r="H88" i="1" s="1"/>
  <c r="E82" i="1"/>
  <c r="H82" i="1" s="1"/>
  <c r="F81" i="1"/>
  <c r="D81" i="1"/>
  <c r="G81" i="1" s="1"/>
  <c r="F77" i="1"/>
  <c r="D77" i="1"/>
  <c r="G77" i="1" s="1"/>
  <c r="F71" i="1"/>
  <c r="E68" i="1"/>
  <c r="H68" i="1" s="1"/>
  <c r="E66" i="1"/>
  <c r="H66" i="1" s="1"/>
  <c r="E64" i="1"/>
  <c r="H64" i="1" s="1"/>
  <c r="F63" i="1"/>
  <c r="D63" i="1"/>
  <c r="G63" i="1" s="1"/>
  <c r="F57" i="1"/>
  <c r="F53" i="1"/>
  <c r="D53" i="1"/>
  <c r="G53" i="1" s="1"/>
  <c r="F37" i="1"/>
  <c r="D37" i="1"/>
  <c r="G37" i="1" s="1"/>
  <c r="F27" i="1"/>
  <c r="F25" i="1"/>
  <c r="F23" i="1"/>
  <c r="F17" i="1"/>
  <c r="O95" i="2"/>
  <c r="O92" i="2"/>
  <c r="O88" i="2"/>
  <c r="O85" i="2"/>
  <c r="O81" i="2"/>
  <c r="O79" i="2"/>
  <c r="O76" i="2"/>
  <c r="O74" i="2"/>
  <c r="O70" i="2"/>
  <c r="O66" i="2"/>
  <c r="O62" i="2"/>
  <c r="O60" i="2"/>
  <c r="O57" i="2"/>
  <c r="O55" i="2"/>
  <c r="O52" i="2"/>
  <c r="O50" i="2"/>
  <c r="O48" i="2"/>
  <c r="O46" i="2"/>
  <c r="O43" i="2"/>
  <c r="O41" i="2"/>
  <c r="O39" i="2"/>
  <c r="O36" i="2"/>
  <c r="O34" i="2"/>
  <c r="O31" i="2"/>
  <c r="O29" i="2"/>
  <c r="O22" i="2"/>
  <c r="O20" i="2"/>
  <c r="O15" i="2"/>
  <c r="O11" i="2"/>
  <c r="O9" i="2"/>
  <c r="O6" i="2"/>
  <c r="O93" i="2"/>
  <c r="O72" i="2"/>
  <c r="O71" i="2"/>
  <c r="O58" i="2"/>
  <c r="O45" i="2"/>
  <c r="O33" i="2"/>
  <c r="O28" i="2"/>
  <c r="O26" i="2"/>
  <c r="O25" i="2"/>
  <c r="O24" i="2"/>
  <c r="O19" i="2"/>
  <c r="O18" i="2"/>
  <c r="E16" i="1"/>
  <c r="H16" i="1" s="1"/>
  <c r="O17" i="2"/>
  <c r="D16" i="1"/>
  <c r="G16" i="1" s="1"/>
  <c r="G14" i="2"/>
  <c r="M14" i="2" s="1"/>
  <c r="O14" i="2" s="1"/>
  <c r="G13" i="2"/>
  <c r="M13" i="2" s="1"/>
  <c r="O13" i="2" s="1"/>
  <c r="G7" i="2"/>
  <c r="M7" i="2" s="1"/>
  <c r="O7" i="2" s="1"/>
  <c r="E4" i="1"/>
  <c r="H4" i="1" s="1"/>
  <c r="O5" i="2"/>
  <c r="D4" i="1"/>
  <c r="G4" i="1" s="1"/>
  <c r="I4" i="1" s="1"/>
  <c r="F4" i="1"/>
  <c r="O4" i="2"/>
  <c r="D3" i="1"/>
  <c r="G3" i="1" s="1"/>
  <c r="F3" i="1"/>
  <c r="E3" i="1"/>
  <c r="H3" i="1" s="1"/>
  <c r="M3" i="2"/>
  <c r="F97" i="2"/>
  <c r="L3" i="2"/>
  <c r="O87" i="2"/>
  <c r="O27" i="2"/>
  <c r="F92" i="1"/>
  <c r="D92" i="1"/>
  <c r="G92" i="1" s="1"/>
  <c r="I92" i="1" s="1"/>
  <c r="F90" i="1"/>
  <c r="D90" i="1"/>
  <c r="G90" i="1" s="1"/>
  <c r="I90" i="1" s="1"/>
  <c r="F88" i="1"/>
  <c r="D88" i="1"/>
  <c r="G88" i="1" s="1"/>
  <c r="I88" i="1" s="1"/>
  <c r="F86" i="1"/>
  <c r="D86" i="1"/>
  <c r="G86" i="1" s="1"/>
  <c r="I86" i="1" s="1"/>
  <c r="F82" i="1"/>
  <c r="D82" i="1"/>
  <c r="G82" i="1" s="1"/>
  <c r="I82" i="1" s="1"/>
  <c r="E81" i="1"/>
  <c r="H81" i="1" s="1"/>
  <c r="E77" i="1"/>
  <c r="H77" i="1" s="1"/>
  <c r="E71" i="1"/>
  <c r="H71" i="1" s="1"/>
  <c r="I71" i="1" s="1"/>
  <c r="F70" i="1"/>
  <c r="D70" i="1"/>
  <c r="G70" i="1" s="1"/>
  <c r="I70" i="1" s="1"/>
  <c r="F68" i="1"/>
  <c r="D68" i="1"/>
  <c r="G68" i="1" s="1"/>
  <c r="I68" i="1" s="1"/>
  <c r="F66" i="1"/>
  <c r="D66" i="1"/>
  <c r="G66" i="1" s="1"/>
  <c r="I66" i="1" s="1"/>
  <c r="F64" i="1"/>
  <c r="D64" i="1"/>
  <c r="G64" i="1" s="1"/>
  <c r="I64" i="1" s="1"/>
  <c r="E63" i="1"/>
  <c r="H63" i="1" s="1"/>
  <c r="E57" i="1"/>
  <c r="H57" i="1" s="1"/>
  <c r="I57" i="1" s="1"/>
  <c r="E53" i="1"/>
  <c r="H53" i="1" s="1"/>
  <c r="F44" i="1"/>
  <c r="D44" i="1"/>
  <c r="G44" i="1" s="1"/>
  <c r="I44" i="1" s="1"/>
  <c r="E37" i="1"/>
  <c r="H37" i="1" s="1"/>
  <c r="F32" i="1"/>
  <c r="D32" i="1"/>
  <c r="G32" i="1" s="1"/>
  <c r="I32" i="1" s="1"/>
  <c r="E27" i="1"/>
  <c r="H27" i="1" s="1"/>
  <c r="I27" i="1" s="1"/>
  <c r="F26" i="1"/>
  <c r="D26" i="1"/>
  <c r="G26" i="1" s="1"/>
  <c r="I26" i="1" s="1"/>
  <c r="E25" i="1"/>
  <c r="H25" i="1" s="1"/>
  <c r="I25" i="1" s="1"/>
  <c r="F24" i="1"/>
  <c r="D24" i="1"/>
  <c r="G24" i="1" s="1"/>
  <c r="I24" i="1" s="1"/>
  <c r="E23" i="1"/>
  <c r="H23" i="1" s="1"/>
  <c r="I23" i="1" s="1"/>
  <c r="F18" i="1"/>
  <c r="D18" i="1"/>
  <c r="G18" i="1" s="1"/>
  <c r="I18" i="1" s="1"/>
  <c r="E17" i="1"/>
  <c r="H17" i="1" s="1"/>
  <c r="I17" i="1" s="1"/>
  <c r="F16" i="1"/>
  <c r="O94" i="2"/>
  <c r="O90" i="2"/>
  <c r="O86" i="2"/>
  <c r="O84" i="2"/>
  <c r="O80" i="2"/>
  <c r="O77" i="2"/>
  <c r="O75" i="2"/>
  <c r="O73" i="2"/>
  <c r="O68" i="2"/>
  <c r="O63" i="2"/>
  <c r="O61" i="2"/>
  <c r="O59" i="2"/>
  <c r="O56" i="2"/>
  <c r="O53" i="2"/>
  <c r="O51" i="2"/>
  <c r="O49" i="2"/>
  <c r="O47" i="2"/>
  <c r="O44" i="2"/>
  <c r="O42" i="2"/>
  <c r="O40" i="2"/>
  <c r="O37" i="2"/>
  <c r="O35" i="2"/>
  <c r="O32" i="2"/>
  <c r="O30" i="2"/>
  <c r="O23" i="2"/>
  <c r="O21" i="2"/>
  <c r="O16" i="2"/>
  <c r="O12" i="2"/>
  <c r="O10" i="2"/>
  <c r="O8" i="2"/>
  <c r="Y3" i="2" l="1"/>
  <c r="Y97" i="2" s="1"/>
  <c r="L97" i="2"/>
  <c r="AB9" i="2"/>
  <c r="Q9" i="2"/>
  <c r="Z33" i="2"/>
  <c r="P33" i="2"/>
  <c r="AB39" i="2"/>
  <c r="Q39" i="2"/>
  <c r="AB86" i="2"/>
  <c r="Q86" i="2"/>
  <c r="Z28" i="2"/>
  <c r="P28" i="2"/>
  <c r="AB10" i="2"/>
  <c r="Q10" i="2"/>
  <c r="AB32" i="2"/>
  <c r="Q32" i="2"/>
  <c r="AB36" i="2"/>
  <c r="Q36" i="2"/>
  <c r="AB47" i="2"/>
  <c r="Q47" i="2"/>
  <c r="AB62" i="2"/>
  <c r="Q62" i="2"/>
  <c r="AB81" i="2"/>
  <c r="Q81" i="2"/>
  <c r="AB20" i="2"/>
  <c r="Q20" i="2"/>
  <c r="AB85" i="2"/>
  <c r="Q85" i="2"/>
  <c r="AB46" i="2"/>
  <c r="Q46" i="2"/>
  <c r="AB63" i="2"/>
  <c r="Q63" i="2"/>
  <c r="Z72" i="2"/>
  <c r="P72" i="2"/>
  <c r="AB88" i="2"/>
  <c r="Q88" i="2"/>
  <c r="AB30" i="2"/>
  <c r="Q30" i="2"/>
  <c r="Z25" i="2"/>
  <c r="P25" i="2"/>
  <c r="AB31" i="2"/>
  <c r="Q31" i="2"/>
  <c r="AB40" i="2"/>
  <c r="Q40" i="2"/>
  <c r="AB59" i="2"/>
  <c r="Q59" i="2"/>
  <c r="AB68" i="2"/>
  <c r="Q68" i="2"/>
  <c r="Z27" i="2"/>
  <c r="P27" i="2"/>
  <c r="AB6" i="2"/>
  <c r="Q6" i="2"/>
  <c r="AA97" i="2"/>
  <c r="M97" i="2"/>
  <c r="I16" i="1"/>
  <c r="AB11" i="2"/>
  <c r="Q11" i="2"/>
  <c r="AB15" i="2"/>
  <c r="Q15" i="2"/>
  <c r="Z19" i="2"/>
  <c r="P19" i="2"/>
  <c r="AB37" i="2"/>
  <c r="Q37" i="2"/>
  <c r="AB42" i="2"/>
  <c r="Q42" i="2"/>
  <c r="AB50" i="2"/>
  <c r="Q50" i="2"/>
  <c r="AB90" i="2"/>
  <c r="Q90" i="2"/>
  <c r="AB12" i="2"/>
  <c r="Q12" i="2"/>
  <c r="Z18" i="2"/>
  <c r="P18" i="2"/>
  <c r="Z45" i="2"/>
  <c r="P45" i="2"/>
  <c r="AB55" i="2"/>
  <c r="Q55" i="2"/>
  <c r="Z71" i="2"/>
  <c r="P71" i="2"/>
  <c r="Z26" i="2"/>
  <c r="P26" i="2"/>
  <c r="Z58" i="2"/>
  <c r="P58" i="2"/>
  <c r="AB66" i="2"/>
  <c r="Q66" i="2"/>
  <c r="Z87" i="2"/>
  <c r="P87" i="2"/>
  <c r="G97" i="2"/>
  <c r="AB70" i="2"/>
  <c r="Q70" i="2"/>
  <c r="AB74" i="2"/>
  <c r="Q74" i="2"/>
  <c r="AB80" i="2"/>
  <c r="Q80" i="2"/>
  <c r="Z93" i="2"/>
  <c r="P93" i="2"/>
  <c r="Z24" i="2"/>
  <c r="P24" i="2"/>
  <c r="AB52" i="2"/>
  <c r="Q52" i="2"/>
  <c r="AB21" i="2"/>
  <c r="Q21" i="2"/>
  <c r="AB29" i="2"/>
  <c r="Q29" i="2"/>
  <c r="AB35" i="2"/>
  <c r="Q35" i="2"/>
  <c r="AB53" i="2"/>
  <c r="Q53" i="2"/>
  <c r="C9" i="1"/>
  <c r="R10" i="2"/>
  <c r="U10" i="2" s="1"/>
  <c r="V10" i="2" s="1"/>
  <c r="C22" i="1"/>
  <c r="R23" i="2"/>
  <c r="U23" i="2" s="1"/>
  <c r="V23" i="2" s="1"/>
  <c r="C7" i="1"/>
  <c r="R8" i="2"/>
  <c r="U8" i="2" s="1"/>
  <c r="V8" i="2" s="1"/>
  <c r="C11" i="1"/>
  <c r="R12" i="2"/>
  <c r="U12" i="2" s="1"/>
  <c r="V12" i="2" s="1"/>
  <c r="C20" i="1"/>
  <c r="R21" i="2"/>
  <c r="U21" i="2" s="1"/>
  <c r="V21" i="2" s="1"/>
  <c r="C29" i="1"/>
  <c r="R30" i="2"/>
  <c r="U30" i="2" s="1"/>
  <c r="V30" i="2" s="1"/>
  <c r="C34" i="1"/>
  <c r="R35" i="2"/>
  <c r="U35" i="2" s="1"/>
  <c r="V35" i="2" s="1"/>
  <c r="C39" i="1"/>
  <c r="R40" i="2"/>
  <c r="U40" i="2" s="1"/>
  <c r="V40" i="2" s="1"/>
  <c r="C43" i="1"/>
  <c r="R44" i="2"/>
  <c r="U44" i="2" s="1"/>
  <c r="V44" i="2" s="1"/>
  <c r="C48" i="1"/>
  <c r="R49" i="2"/>
  <c r="U49" i="2" s="1"/>
  <c r="V49" i="2" s="1"/>
  <c r="C52" i="1"/>
  <c r="R53" i="2"/>
  <c r="U53" i="2" s="1"/>
  <c r="V53" i="2" s="1"/>
  <c r="C58" i="1"/>
  <c r="R59" i="2"/>
  <c r="U59" i="2" s="1"/>
  <c r="V59" i="2" s="1"/>
  <c r="C62" i="1"/>
  <c r="R63" i="2"/>
  <c r="U63" i="2" s="1"/>
  <c r="V63" i="2" s="1"/>
  <c r="C72" i="1"/>
  <c r="R73" i="2"/>
  <c r="U73" i="2" s="1"/>
  <c r="V73" i="2" s="1"/>
  <c r="C76" i="1"/>
  <c r="R77" i="2"/>
  <c r="U77" i="2" s="1"/>
  <c r="V77" i="2" s="1"/>
  <c r="C83" i="1"/>
  <c r="R84" i="2"/>
  <c r="U84" i="2" s="1"/>
  <c r="V84" i="2" s="1"/>
  <c r="C89" i="1"/>
  <c r="R90" i="2"/>
  <c r="U90" i="2" s="1"/>
  <c r="V90" i="2" s="1"/>
  <c r="C26" i="1"/>
  <c r="R27" i="2"/>
  <c r="U27" i="2" s="1"/>
  <c r="V27" i="2" s="1"/>
  <c r="C3" i="1"/>
  <c r="R4" i="2"/>
  <c r="U4" i="2" s="1"/>
  <c r="C6" i="1"/>
  <c r="R7" i="2"/>
  <c r="U7" i="2" s="1"/>
  <c r="V7" i="2" s="1"/>
  <c r="C13" i="1"/>
  <c r="R14" i="2"/>
  <c r="U14" i="2" s="1"/>
  <c r="V14" i="2" s="1"/>
  <c r="C16" i="1"/>
  <c r="R17" i="2"/>
  <c r="U17" i="2" s="1"/>
  <c r="V17" i="2" s="1"/>
  <c r="C17" i="1"/>
  <c r="R18" i="2"/>
  <c r="U18" i="2" s="1"/>
  <c r="V18" i="2" s="1"/>
  <c r="C23" i="1"/>
  <c r="R24" i="2"/>
  <c r="U24" i="2" s="1"/>
  <c r="V24" i="2" s="1"/>
  <c r="C25" i="1"/>
  <c r="R26" i="2"/>
  <c r="U26" i="2" s="1"/>
  <c r="V26" i="2" s="1"/>
  <c r="C32" i="1"/>
  <c r="R33" i="2"/>
  <c r="U33" i="2" s="1"/>
  <c r="V33" i="2" s="1"/>
  <c r="C57" i="1"/>
  <c r="R58" i="2"/>
  <c r="U58" i="2" s="1"/>
  <c r="V58" i="2" s="1"/>
  <c r="C71" i="1"/>
  <c r="R72" i="2"/>
  <c r="U72" i="2" s="1"/>
  <c r="V72" i="2" s="1"/>
  <c r="C5" i="1"/>
  <c r="R6" i="2"/>
  <c r="U6" i="2" s="1"/>
  <c r="V6" i="2" s="1"/>
  <c r="C10" i="1"/>
  <c r="R11" i="2"/>
  <c r="U11" i="2" s="1"/>
  <c r="V11" i="2" s="1"/>
  <c r="C19" i="1"/>
  <c r="R20" i="2"/>
  <c r="U20" i="2" s="1"/>
  <c r="V20" i="2" s="1"/>
  <c r="C28" i="1"/>
  <c r="R29" i="2"/>
  <c r="U29" i="2" s="1"/>
  <c r="V29" i="2" s="1"/>
  <c r="C33" i="1"/>
  <c r="R34" i="2"/>
  <c r="U34" i="2" s="1"/>
  <c r="V34" i="2" s="1"/>
  <c r="C38" i="1"/>
  <c r="R39" i="2"/>
  <c r="U39" i="2" s="1"/>
  <c r="V39" i="2" s="1"/>
  <c r="C42" i="1"/>
  <c r="R43" i="2"/>
  <c r="U43" i="2" s="1"/>
  <c r="V43" i="2" s="1"/>
  <c r="C47" i="1"/>
  <c r="R48" i="2"/>
  <c r="U48" i="2" s="1"/>
  <c r="V48" i="2" s="1"/>
  <c r="C51" i="1"/>
  <c r="R52" i="2"/>
  <c r="U52" i="2" s="1"/>
  <c r="V52" i="2" s="1"/>
  <c r="C56" i="1"/>
  <c r="R57" i="2"/>
  <c r="U57" i="2" s="1"/>
  <c r="V57" i="2" s="1"/>
  <c r="C61" i="1"/>
  <c r="R62" i="2"/>
  <c r="U62" i="2" s="1"/>
  <c r="V62" i="2" s="1"/>
  <c r="C69" i="1"/>
  <c r="R70" i="2"/>
  <c r="U70" i="2" s="1"/>
  <c r="V70" i="2" s="1"/>
  <c r="C75" i="1"/>
  <c r="R76" i="2"/>
  <c r="U76" i="2" s="1"/>
  <c r="V76" i="2" s="1"/>
  <c r="C80" i="1"/>
  <c r="R81" i="2"/>
  <c r="U81" i="2" s="1"/>
  <c r="V81" i="2" s="1"/>
  <c r="C87" i="1"/>
  <c r="R88" i="2"/>
  <c r="U88" i="2" s="1"/>
  <c r="V88" i="2" s="1"/>
  <c r="C94" i="1"/>
  <c r="R95" i="2"/>
  <c r="U95" i="2" s="1"/>
  <c r="V95" i="2" s="1"/>
  <c r="C37" i="1"/>
  <c r="R38" i="2"/>
  <c r="U38" i="2" s="1"/>
  <c r="V38" i="2" s="1"/>
  <c r="C66" i="1"/>
  <c r="R67" i="2"/>
  <c r="U67" i="2" s="1"/>
  <c r="V67" i="2" s="1"/>
  <c r="C64" i="1"/>
  <c r="R65" i="2"/>
  <c r="U65" i="2" s="1"/>
  <c r="V65" i="2" s="1"/>
  <c r="C81" i="1"/>
  <c r="R82" i="2"/>
  <c r="U82" i="2" s="1"/>
  <c r="V82" i="2" s="1"/>
  <c r="C88" i="1"/>
  <c r="R89" i="2"/>
  <c r="U89" i="2" s="1"/>
  <c r="V89" i="2" s="1"/>
  <c r="C15" i="1"/>
  <c r="R16" i="2"/>
  <c r="U16" i="2" s="1"/>
  <c r="V16" i="2" s="1"/>
  <c r="C31" i="1"/>
  <c r="R32" i="2"/>
  <c r="U32" i="2" s="1"/>
  <c r="V32" i="2" s="1"/>
  <c r="C36" i="1"/>
  <c r="R37" i="2"/>
  <c r="U37" i="2" s="1"/>
  <c r="V37" i="2" s="1"/>
  <c r="C41" i="1"/>
  <c r="R42" i="2"/>
  <c r="U42" i="2" s="1"/>
  <c r="V42" i="2" s="1"/>
  <c r="C46" i="1"/>
  <c r="R47" i="2"/>
  <c r="U47" i="2" s="1"/>
  <c r="V47" i="2" s="1"/>
  <c r="C50" i="1"/>
  <c r="R51" i="2"/>
  <c r="U51" i="2" s="1"/>
  <c r="V51" i="2" s="1"/>
  <c r="C55" i="1"/>
  <c r="R56" i="2"/>
  <c r="U56" i="2" s="1"/>
  <c r="V56" i="2" s="1"/>
  <c r="C60" i="1"/>
  <c r="R61" i="2"/>
  <c r="U61" i="2" s="1"/>
  <c r="V61" i="2" s="1"/>
  <c r="C67" i="1"/>
  <c r="R68" i="2"/>
  <c r="U68" i="2" s="1"/>
  <c r="V68" i="2" s="1"/>
  <c r="C74" i="1"/>
  <c r="R75" i="2"/>
  <c r="U75" i="2" s="1"/>
  <c r="V75" i="2" s="1"/>
  <c r="C79" i="1"/>
  <c r="R80" i="2"/>
  <c r="U80" i="2" s="1"/>
  <c r="V80" i="2" s="1"/>
  <c r="C85" i="1"/>
  <c r="R86" i="2"/>
  <c r="U86" i="2" s="1"/>
  <c r="V86" i="2" s="1"/>
  <c r="C93" i="1"/>
  <c r="R94" i="2"/>
  <c r="U94" i="2" s="1"/>
  <c r="V94" i="2" s="1"/>
  <c r="C86" i="1"/>
  <c r="R87" i="2"/>
  <c r="U87" i="2" s="1"/>
  <c r="V87" i="2" s="1"/>
  <c r="C4" i="1"/>
  <c r="R5" i="2"/>
  <c r="U5" i="2" s="1"/>
  <c r="V5" i="2" s="1"/>
  <c r="C12" i="1"/>
  <c r="R13" i="2"/>
  <c r="U13" i="2" s="1"/>
  <c r="V13" i="2" s="1"/>
  <c r="C18" i="1"/>
  <c r="R19" i="2"/>
  <c r="U19" i="2" s="1"/>
  <c r="V19" i="2" s="1"/>
  <c r="C24" i="1"/>
  <c r="R25" i="2"/>
  <c r="U25" i="2" s="1"/>
  <c r="V25" i="2" s="1"/>
  <c r="C27" i="1"/>
  <c r="R28" i="2"/>
  <c r="U28" i="2" s="1"/>
  <c r="V28" i="2" s="1"/>
  <c r="C44" i="1"/>
  <c r="R45" i="2"/>
  <c r="U45" i="2" s="1"/>
  <c r="V45" i="2" s="1"/>
  <c r="C70" i="1"/>
  <c r="R71" i="2"/>
  <c r="U71" i="2" s="1"/>
  <c r="V71" i="2" s="1"/>
  <c r="C92" i="1"/>
  <c r="R93" i="2"/>
  <c r="U93" i="2" s="1"/>
  <c r="V93" i="2" s="1"/>
  <c r="C8" i="1"/>
  <c r="R9" i="2"/>
  <c r="U9" i="2" s="1"/>
  <c r="V9" i="2" s="1"/>
  <c r="C14" i="1"/>
  <c r="R15" i="2"/>
  <c r="U15" i="2" s="1"/>
  <c r="V15" i="2" s="1"/>
  <c r="C21" i="1"/>
  <c r="R22" i="2"/>
  <c r="U22" i="2" s="1"/>
  <c r="V22" i="2" s="1"/>
  <c r="C30" i="1"/>
  <c r="R31" i="2"/>
  <c r="U31" i="2" s="1"/>
  <c r="V31" i="2" s="1"/>
  <c r="C35" i="1"/>
  <c r="R36" i="2"/>
  <c r="U36" i="2" s="1"/>
  <c r="V36" i="2" s="1"/>
  <c r="C40" i="1"/>
  <c r="R41" i="2"/>
  <c r="U41" i="2" s="1"/>
  <c r="V41" i="2" s="1"/>
  <c r="C45" i="1"/>
  <c r="R46" i="2"/>
  <c r="U46" i="2" s="1"/>
  <c r="V46" i="2" s="1"/>
  <c r="C49" i="1"/>
  <c r="R50" i="2"/>
  <c r="U50" i="2" s="1"/>
  <c r="V50" i="2" s="1"/>
  <c r="C54" i="1"/>
  <c r="R55" i="2"/>
  <c r="U55" i="2" s="1"/>
  <c r="V55" i="2" s="1"/>
  <c r="C59" i="1"/>
  <c r="R60" i="2"/>
  <c r="U60" i="2" s="1"/>
  <c r="V60" i="2" s="1"/>
  <c r="C65" i="1"/>
  <c r="R66" i="2"/>
  <c r="U66" i="2" s="1"/>
  <c r="V66" i="2" s="1"/>
  <c r="C73" i="1"/>
  <c r="R74" i="2"/>
  <c r="U74" i="2" s="1"/>
  <c r="V74" i="2" s="1"/>
  <c r="C78" i="1"/>
  <c r="R79" i="2"/>
  <c r="U79" i="2" s="1"/>
  <c r="V79" i="2" s="1"/>
  <c r="C84" i="1"/>
  <c r="R85" i="2"/>
  <c r="U85" i="2" s="1"/>
  <c r="V85" i="2" s="1"/>
  <c r="C91" i="1"/>
  <c r="R92" i="2"/>
  <c r="U92" i="2" s="1"/>
  <c r="V92" i="2" s="1"/>
  <c r="C68" i="1"/>
  <c r="R69" i="2"/>
  <c r="U69" i="2" s="1"/>
  <c r="V69" i="2" s="1"/>
  <c r="C90" i="1"/>
  <c r="R91" i="2"/>
  <c r="U91" i="2" s="1"/>
  <c r="V91" i="2" s="1"/>
  <c r="I6" i="1"/>
  <c r="C53" i="1"/>
  <c r="R54" i="2"/>
  <c r="U54" i="2" s="1"/>
  <c r="V54" i="2" s="1"/>
  <c r="C63" i="1"/>
  <c r="R64" i="2"/>
  <c r="U64" i="2" s="1"/>
  <c r="V64" i="2" s="1"/>
  <c r="C77" i="1"/>
  <c r="R78" i="2"/>
  <c r="U78" i="2" s="1"/>
  <c r="V78" i="2" s="1"/>
  <c r="C82" i="1"/>
  <c r="R83" i="2"/>
  <c r="U83" i="2" s="1"/>
  <c r="V83" i="2" s="1"/>
  <c r="P3" i="2"/>
  <c r="P97" i="2" s="1"/>
  <c r="Z3" i="2"/>
  <c r="Z97" i="2" s="1"/>
  <c r="I12" i="1"/>
  <c r="I3" i="1"/>
  <c r="I37" i="1"/>
  <c r="I53" i="1"/>
  <c r="I13" i="1"/>
  <c r="O3" i="2"/>
  <c r="E2" i="1"/>
  <c r="F2" i="1"/>
  <c r="F95" i="1" s="1"/>
  <c r="G98" i="1" s="1"/>
  <c r="D2" i="1"/>
  <c r="I63" i="1"/>
  <c r="I77" i="1"/>
  <c r="I81" i="1"/>
  <c r="Q97" i="2" l="1"/>
  <c r="AB97" i="2"/>
  <c r="R3" i="2"/>
  <c r="R97" i="2" s="1"/>
  <c r="O97" i="2"/>
  <c r="V4" i="2"/>
  <c r="U3" i="2"/>
  <c r="V3" i="2" s="1"/>
  <c r="G2" i="1"/>
  <c r="D95" i="1"/>
  <c r="G95" i="1" s="1"/>
  <c r="H2" i="1"/>
  <c r="E95" i="1"/>
  <c r="H95" i="1" s="1"/>
  <c r="C2" i="1"/>
  <c r="C95" i="1" s="1"/>
  <c r="U97" i="2" l="1"/>
  <c r="V97" i="2"/>
  <c r="I2" i="1"/>
  <c r="I95" i="1" s="1"/>
</calcChain>
</file>

<file path=xl/sharedStrings.xml><?xml version="1.0" encoding="utf-8"?>
<sst xmlns="http://schemas.openxmlformats.org/spreadsheetml/2006/main" count="588" uniqueCount="242">
  <si>
    <t>UAN</t>
  </si>
  <si>
    <t>MEMBER NAME</t>
  </si>
  <si>
    <t>GROSS WAGES</t>
  </si>
  <si>
    <t>EPF WAGES</t>
  </si>
  <si>
    <t>EPS WAGES</t>
  </si>
  <si>
    <t>EDLI WAGES</t>
  </si>
  <si>
    <t>EPF CONTRI REMITTED</t>
  </si>
  <si>
    <t>EPS CONTRI REMITTED</t>
  </si>
  <si>
    <t>EPF EPS DIFF REMITTED</t>
  </si>
  <si>
    <t>NCP DAYS</t>
  </si>
  <si>
    <t>REFUND OF ADVANCES</t>
  </si>
  <si>
    <t>100025852568</t>
  </si>
  <si>
    <t>AJAY BISWAS</t>
  </si>
  <si>
    <t>100955704485</t>
  </si>
  <si>
    <t>AJAY SADHUKHAN</t>
  </si>
  <si>
    <t>100870413188</t>
  </si>
  <si>
    <t>AKHIL DUTTA</t>
  </si>
  <si>
    <t>100897487587</t>
  </si>
  <si>
    <t>AMAL PAUL</t>
  </si>
  <si>
    <t>100477673569</t>
  </si>
  <si>
    <t>AMARJIT DEY</t>
  </si>
  <si>
    <t>101020417806</t>
  </si>
  <si>
    <t>AMBUJ KUMAR UPADHYAY</t>
  </si>
  <si>
    <t>100897567516</t>
  </si>
  <si>
    <t>AMIT GAYAN</t>
  </si>
  <si>
    <t>100080663428</t>
  </si>
  <si>
    <t>AMIT MALLICK</t>
  </si>
  <si>
    <t>100897959975</t>
  </si>
  <si>
    <t>ANWAR HOSSAIN</t>
  </si>
  <si>
    <t>100089880498</t>
  </si>
  <si>
    <t>ARPAN BOSU</t>
  </si>
  <si>
    <t>100760007833</t>
  </si>
  <si>
    <t>ARUN NATH</t>
  </si>
  <si>
    <t>100884224071</t>
  </si>
  <si>
    <t>AVINANDAN PAL</t>
  </si>
  <si>
    <t>100477634374</t>
  </si>
  <si>
    <t>BABLU MITRA</t>
  </si>
  <si>
    <t>100477782469</t>
  </si>
  <si>
    <t>BABLU SHIT</t>
  </si>
  <si>
    <t>100759529833</t>
  </si>
  <si>
    <t>BHASKAR NASKAR</t>
  </si>
  <si>
    <t>100114187619</t>
  </si>
  <si>
    <t>BIJENDRA MALLICK</t>
  </si>
  <si>
    <t>100478080356</t>
  </si>
  <si>
    <t>BISWAJIT MISTRI</t>
  </si>
  <si>
    <t>100955704463</t>
  </si>
  <si>
    <t>DAYAMAY SARDAR</t>
  </si>
  <si>
    <t>100948442061</t>
  </si>
  <si>
    <t>DEBASHISH GHOSH</t>
  </si>
  <si>
    <t>100948425793</t>
  </si>
  <si>
    <t>DEBESH DAS</t>
  </si>
  <si>
    <t>100949927589</t>
  </si>
  <si>
    <t>DIPA MUKHERJEE</t>
  </si>
  <si>
    <t>100872794526</t>
  </si>
  <si>
    <t>DIPAK DEBNATH</t>
  </si>
  <si>
    <t>100140159994</t>
  </si>
  <si>
    <t>DIPANKAR NASKAR</t>
  </si>
  <si>
    <t>100140377372</t>
  </si>
  <si>
    <t>DIPU SHAW</t>
  </si>
  <si>
    <t>101020417847</t>
  </si>
  <si>
    <t>GOBINDA SINGHA</t>
  </si>
  <si>
    <t>100888665663</t>
  </si>
  <si>
    <t>GOLAK DAS</t>
  </si>
  <si>
    <t>100901303226</t>
  </si>
  <si>
    <t>HARU DAS</t>
  </si>
  <si>
    <t>100901946323</t>
  </si>
  <si>
    <t>JOSEPHIN PAUL</t>
  </si>
  <si>
    <t>100759938695</t>
  </si>
  <si>
    <t>KALIPADA NANDI</t>
  </si>
  <si>
    <t>100902300430</t>
  </si>
  <si>
    <t>KAMAL UDDIN KHAN</t>
  </si>
  <si>
    <t>100478110808</t>
  </si>
  <si>
    <t>KHOKAN MAL</t>
  </si>
  <si>
    <t>100903036152</t>
  </si>
  <si>
    <t>LALU ORAON</t>
  </si>
  <si>
    <t>100759379868</t>
  </si>
  <si>
    <t>LAXMINARAYAN KISKU</t>
  </si>
  <si>
    <t>101020417852</t>
  </si>
  <si>
    <t>MANAS KUMAR SINGHA</t>
  </si>
  <si>
    <t>100977149407</t>
  </si>
  <si>
    <t>MANGAL MISTRI</t>
  </si>
  <si>
    <t>100478330632</t>
  </si>
  <si>
    <t>MANORANJAN BHOWMIK</t>
  </si>
  <si>
    <t>100760454786</t>
  </si>
  <si>
    <t>MINTU DAS</t>
  </si>
  <si>
    <t>100760173537</t>
  </si>
  <si>
    <t>MONOJ KUMAR PODDAR</t>
  </si>
  <si>
    <t>101020417868</t>
  </si>
  <si>
    <t>MONU VERMA</t>
  </si>
  <si>
    <t>100904868598</t>
  </si>
  <si>
    <t>NARAYAN CHANDRA DEY</t>
  </si>
  <si>
    <t>101020417834</t>
  </si>
  <si>
    <t>NIJAMUDDIN</t>
  </si>
  <si>
    <t>100950602928</t>
  </si>
  <si>
    <t>PARITOSH SHIKARI</t>
  </si>
  <si>
    <t>101020417796</t>
  </si>
  <si>
    <t>PARTHA BIT</t>
  </si>
  <si>
    <t>100905786675</t>
  </si>
  <si>
    <t>PIJUSH BALA</t>
  </si>
  <si>
    <t>100761115926</t>
  </si>
  <si>
    <t>PRABIN KUMAR MISHRA</t>
  </si>
  <si>
    <t>100977149385</t>
  </si>
  <si>
    <t>PRADIP KARMAKAR</t>
  </si>
  <si>
    <t>100877573700</t>
  </si>
  <si>
    <t>PRAMOD KUMAR PADHI</t>
  </si>
  <si>
    <t>100760113262</t>
  </si>
  <si>
    <t>PRASANTO CHOWDHERY</t>
  </si>
  <si>
    <t>100955704471</t>
  </si>
  <si>
    <t>PRASENJIT NANDY</t>
  </si>
  <si>
    <t>101020417875</t>
  </si>
  <si>
    <t>PRATAP DULEY</t>
  </si>
  <si>
    <t>100906272882</t>
  </si>
  <si>
    <t>PULAK GUHA</t>
  </si>
  <si>
    <t>100760112368</t>
  </si>
  <si>
    <t>RABI SIKDER</t>
  </si>
  <si>
    <t>100760550924</t>
  </si>
  <si>
    <t>RABIN SEN</t>
  </si>
  <si>
    <t>100289300194</t>
  </si>
  <si>
    <t>RABIUL SARDAR</t>
  </si>
  <si>
    <t>100297289994</t>
  </si>
  <si>
    <t>RAJIB DAWN</t>
  </si>
  <si>
    <t>100037784708</t>
  </si>
  <si>
    <t>RAJU MALLICK</t>
  </si>
  <si>
    <t>100761230344</t>
  </si>
  <si>
    <t>RAKESH MUKHERJEE</t>
  </si>
  <si>
    <t>100478177175</t>
  </si>
  <si>
    <t>RAM DULARE</t>
  </si>
  <si>
    <t>101020417810</t>
  </si>
  <si>
    <t>RANJEET KUMAR SAHANI</t>
  </si>
  <si>
    <t>100477860829</t>
  </si>
  <si>
    <t>RANJIT MONDAL</t>
  </si>
  <si>
    <t>100027975731</t>
  </si>
  <si>
    <t>RATAN BOSE</t>
  </si>
  <si>
    <t>100027812431</t>
  </si>
  <si>
    <t>SAKTI SADHAN DEY</t>
  </si>
  <si>
    <t>101020417881</t>
  </si>
  <si>
    <t>SAMIR SAHA</t>
  </si>
  <si>
    <t>100879598427</t>
  </si>
  <si>
    <t>SAMIRAN MALIK</t>
  </si>
  <si>
    <t>100759313859</t>
  </si>
  <si>
    <t>SANDIP SARKAR</t>
  </si>
  <si>
    <t>100761054006</t>
  </si>
  <si>
    <t>SANJAY KUMAR GHOSH</t>
  </si>
  <si>
    <t>100949392302</t>
  </si>
  <si>
    <t>SANJIB GHARUI</t>
  </si>
  <si>
    <t>100334934328</t>
  </si>
  <si>
    <t>SANJIB MONDAL</t>
  </si>
  <si>
    <t>100478039997</t>
  </si>
  <si>
    <t>SANKAR SARDAR</t>
  </si>
  <si>
    <t>100759924397</t>
  </si>
  <si>
    <t>SANTANU MITRA</t>
  </si>
  <si>
    <t>100060010883</t>
  </si>
  <si>
    <t>SANTOSH THAKUR</t>
  </si>
  <si>
    <t>100760912852</t>
  </si>
  <si>
    <t>SANTU HELA</t>
  </si>
  <si>
    <t>100760754344</t>
  </si>
  <si>
    <t>SATRUGHAN DAS</t>
  </si>
  <si>
    <t>100760830075</t>
  </si>
  <si>
    <t>SATYAM MISHRA</t>
  </si>
  <si>
    <t>100947654545</t>
  </si>
  <si>
    <t>SHAMBHU MUKHERJEE</t>
  </si>
  <si>
    <t>100946715958</t>
  </si>
  <si>
    <t>SK SAZZAD HOSSAN</t>
  </si>
  <si>
    <t>100880572414</t>
  </si>
  <si>
    <t>SK SIRAZ</t>
  </si>
  <si>
    <t>100949959532</t>
  </si>
  <si>
    <t>SRIMANTA NASKAR</t>
  </si>
  <si>
    <t>100477971770</t>
  </si>
  <si>
    <t>SUBHAS CHANDRA SARDAR</t>
  </si>
  <si>
    <t>100759979886</t>
  </si>
  <si>
    <t>SUBIR ROY</t>
  </si>
  <si>
    <t>100977149392</t>
  </si>
  <si>
    <t>SUDIP GHOSH</t>
  </si>
  <si>
    <t>100880883340</t>
  </si>
  <si>
    <t>SUKUMAR DEBNATH</t>
  </si>
  <si>
    <t>101020417899</t>
  </si>
  <si>
    <t>SUMAN SHIKARI</t>
  </si>
  <si>
    <t>100885363998</t>
  </si>
  <si>
    <t>SUMANTA DUTTA</t>
  </si>
  <si>
    <t>100947518745</t>
  </si>
  <si>
    <t>SUNNY DAS</t>
  </si>
  <si>
    <t>100977149371</t>
  </si>
  <si>
    <t>SWAPAN KUMAR DAS</t>
  </si>
  <si>
    <t>100389038762</t>
  </si>
  <si>
    <t>TAPAN DEBNATH</t>
  </si>
  <si>
    <t>100881715387</t>
  </si>
  <si>
    <t>TAPASH GOON</t>
  </si>
  <si>
    <t>101020417823</t>
  </si>
  <si>
    <t>TARAK KARMAKAR</t>
  </si>
  <si>
    <t>100911045450</t>
  </si>
  <si>
    <t>TARUNAKANT SING</t>
  </si>
  <si>
    <t>100760611520</t>
  </si>
  <si>
    <t>TUSAR DUTTA</t>
  </si>
  <si>
    <t>100886341349</t>
  </si>
  <si>
    <t>UDAY KUMAR RAM</t>
  </si>
  <si>
    <t>100478985379</t>
  </si>
  <si>
    <t>VIJOY BAJAJ</t>
  </si>
  <si>
    <t>Basic</t>
  </si>
  <si>
    <t>Other Allowance</t>
  </si>
  <si>
    <t>Gross 
Salary</t>
  </si>
  <si>
    <t>Days in the Month</t>
  </si>
  <si>
    <t>Payable Days</t>
  </si>
  <si>
    <t>Extra Duty</t>
  </si>
  <si>
    <t>Earned Basic</t>
  </si>
  <si>
    <t>Earned Other Allowance</t>
  </si>
  <si>
    <t>Extra Duty Allowance</t>
  </si>
  <si>
    <t>Gross Salary Payable</t>
  </si>
  <si>
    <t>Poddar Court</t>
  </si>
  <si>
    <t>Primarc Realty</t>
  </si>
  <si>
    <t>Varanasi</t>
  </si>
  <si>
    <t>Balasor</t>
  </si>
  <si>
    <t>Agartala</t>
  </si>
  <si>
    <t>Burdwan</t>
  </si>
  <si>
    <t>Cuttak</t>
  </si>
  <si>
    <t>Harinavi</t>
  </si>
  <si>
    <t>krishnanagar</t>
  </si>
  <si>
    <t>giridi</t>
  </si>
  <si>
    <t>Location</t>
  </si>
  <si>
    <t>Designation</t>
  </si>
  <si>
    <t>Sl. No.</t>
  </si>
  <si>
    <t>SG</t>
  </si>
  <si>
    <t>HK</t>
  </si>
  <si>
    <t>SO</t>
  </si>
  <si>
    <t>Receptionist</t>
  </si>
  <si>
    <t>Electrician</t>
  </si>
  <si>
    <t>HK - Semi Skilled</t>
  </si>
  <si>
    <t>Alterman</t>
  </si>
  <si>
    <t>Provident Fund</t>
  </si>
  <si>
    <t>ESI</t>
  </si>
  <si>
    <t>Professional Tax</t>
  </si>
  <si>
    <t>Advance Adjustment</t>
  </si>
  <si>
    <t>Miscellaneous Deduction</t>
  </si>
  <si>
    <t>Total 
Deduction</t>
  </si>
  <si>
    <t>Net Salary Payable</t>
  </si>
  <si>
    <t>Bonus</t>
  </si>
  <si>
    <t>Total Payable</t>
  </si>
  <si>
    <t>PF Wages</t>
  </si>
  <si>
    <t>Employer's PF Contribution</t>
  </si>
  <si>
    <t>ESI Wages</t>
  </si>
  <si>
    <t>Employer's ESI Contribution</t>
  </si>
  <si>
    <t>Uniform Charges</t>
  </si>
  <si>
    <t>Monthly Billing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</si>
</sst>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* #,##0_);_(* \(#,##0\);_(* &quot;-&quot;_);_(@_)"/>
    <numFmt numFmtId="165" formatCode="_(* #,##0.00_);_(* \(#,##0.00\);_(* &quot;-&quot;??_);_(@_)"/>
    <numFmt numFmtId="166" formatCode="_ * #,##0_ ;_ * \-#,##0_ ;_ * &quot;-&quot;_ ;_ @_ "/>
    <numFmt numFmtId="167" formatCode="_ * #,##0.00_ ;_ * \-#,##0.00_ ;_ * &quot;-&quot;??_ ;_ @_ "/>
  </numFmts>
  <fonts count="9" x14ac:knownFonts="1">
    <font>
      <sz val="10"/>
      <name val="Arial"/>
    </font>
    <font>
      <sz val="10"/>
      <name val="Arial"/>
    </font>
    <font>
      <b/>
      <sz val="10"/>
      <color indexed="9"/>
      <name val="Arial"/>
    </font>
    <font>
      <b/>
      <sz val="9"/>
      <color theme="0"/>
      <name val="Calibri"/>
      <family val="2"/>
      <scheme val="minor"/>
    </font>
    <font>
      <b/>
      <sz val="9"/>
      <name val="Calibri"/>
      <family val="2"/>
      <scheme val="minor"/>
    </font>
    <font>
      <sz val="9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93366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29">
    <xf numFmtId="0" fontId="0" fillId="0" borderId="0" xfId="0"/>
    <xf numFmtId="0" fontId="0" fillId="2" borderId="0" xfId="0" applyFill="1"/>
    <xf numFmtId="0" fontId="0" fillId="3" borderId="0" xfId="0" applyFill="1"/>
    <xf numFmtId="0" fontId="2" fillId="3" borderId="1" xfId="0" applyFont="1" applyFill="1" applyBorder="1"/>
    <xf numFmtId="0" fontId="0" fillId="2" borderId="1" xfId="0" applyFill="1" applyBorder="1"/>
    <xf numFmtId="0" fontId="0" fillId="2" borderId="1" xfId="0" quotePrefix="1" applyFill="1" applyBorder="1"/>
    <xf numFmtId="166" fontId="4" fillId="5" borderId="1" xfId="1" applyNumberFormat="1" applyFont="1" applyFill="1" applyBorder="1" applyAlignment="1">
      <alignment horizontal="center" vertical="center"/>
    </xf>
    <xf numFmtId="1" fontId="0" fillId="2" borderId="1" xfId="0" applyNumberFormat="1" applyFill="1" applyBorder="1"/>
    <xf numFmtId="0" fontId="0" fillId="2" borderId="1" xfId="0" applyNumberFormat="1" applyFill="1" applyBorder="1"/>
    <xf numFmtId="166" fontId="5" fillId="2" borderId="1" xfId="1" applyNumberFormat="1" applyFont="1" applyFill="1" applyBorder="1" applyAlignment="1">
      <alignment horizontal="center" vertical="center"/>
    </xf>
    <xf numFmtId="167" fontId="4" fillId="7" borderId="1" xfId="1" applyNumberFormat="1" applyFont="1" applyFill="1" applyBorder="1" applyAlignment="1">
      <alignment horizontal="center" vertical="center"/>
    </xf>
    <xf numFmtId="166" fontId="3" fillId="3" borderId="1" xfId="1" applyNumberFormat="1" applyFont="1" applyFill="1" applyBorder="1" applyAlignment="1">
      <alignment horizontal="center" vertical="center"/>
    </xf>
    <xf numFmtId="166" fontId="4" fillId="8" borderId="1" xfId="1" applyNumberFormat="1" applyFont="1" applyFill="1" applyBorder="1" applyAlignment="1">
      <alignment horizontal="center" vertical="center"/>
    </xf>
    <xf numFmtId="166" fontId="6" fillId="3" borderId="1" xfId="1" applyNumberFormat="1" applyFont="1" applyFill="1" applyBorder="1" applyAlignment="1">
      <alignment horizontal="center" vertical="center"/>
    </xf>
    <xf numFmtId="4" fontId="3" fillId="9" borderId="1" xfId="1" applyNumberFormat="1" applyFont="1" applyFill="1" applyBorder="1" applyAlignment="1">
      <alignment horizontal="center" vertical="center" wrapText="1"/>
    </xf>
    <xf numFmtId="3" fontId="3" fillId="9" borderId="1" xfId="1" applyNumberFormat="1" applyFont="1" applyFill="1" applyBorder="1" applyAlignment="1">
      <alignment horizontal="center" vertical="center" wrapText="1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vertical="center"/>
    </xf>
    <xf numFmtId="0" fontId="8" fillId="2" borderId="0" xfId="0" applyFont="1" applyFill="1" applyAlignment="1">
      <alignment vertical="center"/>
    </xf>
    <xf numFmtId="0" fontId="7" fillId="6" borderId="1" xfId="0" applyFont="1" applyFill="1" applyBorder="1" applyAlignment="1">
      <alignment vertical="center"/>
    </xf>
    <xf numFmtId="0" fontId="7" fillId="6" borderId="1" xfId="0" applyFont="1" applyFill="1" applyBorder="1" applyAlignment="1">
      <alignment horizontal="center" vertical="center"/>
    </xf>
    <xf numFmtId="164" fontId="4" fillId="6" borderId="1" xfId="0" applyNumberFormat="1" applyFont="1" applyFill="1" applyBorder="1" applyAlignment="1">
      <alignment vertical="center"/>
    </xf>
    <xf numFmtId="3" fontId="7" fillId="2" borderId="0" xfId="0" applyNumberFormat="1" applyFont="1" applyFill="1" applyAlignment="1">
      <alignment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vertical="center"/>
    </xf>
    <xf numFmtId="0" fontId="5" fillId="4" borderId="1" xfId="0" applyFont="1" applyFill="1" applyBorder="1" applyAlignment="1">
      <alignment vertical="center"/>
    </xf>
    <xf numFmtId="0" fontId="5" fillId="2" borderId="1" xfId="0" quotePrefix="1" applyFont="1" applyFill="1" applyBorder="1" applyAlignment="1">
      <alignment horizontal="center" vertical="center"/>
    </xf>
    <xf numFmtId="0" fontId="5" fillId="2" borderId="1" xfId="0" quotePrefix="1" applyFont="1" applyFill="1" applyBorder="1" applyAlignment="1">
      <alignment vertical="center"/>
    </xf>
    <xf numFmtId="0" fontId="5" fillId="6" borderId="1" xfId="0" applyFont="1" applyFill="1" applyBorder="1" applyAlignment="1">
      <alignment vertical="center"/>
    </xf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colors>
    <mruColors>
      <color rgb="FF9933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98"/>
  <sheetViews>
    <sheetView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F66" sqref="F66"/>
    </sheetView>
  </sheetViews>
  <sheetFormatPr defaultColWidth="30.85546875" defaultRowHeight="12.75" x14ac:dyDescent="0.2"/>
  <cols>
    <col min="1" max="16384" width="30.85546875" style="1"/>
  </cols>
  <sheetData>
    <row r="1" spans="1:11" s="2" customFormat="1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</row>
    <row r="2" spans="1:11" x14ac:dyDescent="0.2">
      <c r="A2" s="4" t="s">
        <v>11</v>
      </c>
      <c r="B2" s="4" t="s">
        <v>12</v>
      </c>
      <c r="C2" s="8">
        <f>VLOOKUP($A2,Sheet1!$B$2:$O$95,14,0)</f>
        <v>7870</v>
      </c>
      <c r="D2" s="8">
        <f>VLOOKUP($A2,Sheet1!$B$2:$O$95,11,0)</f>
        <v>5509</v>
      </c>
      <c r="E2" s="8">
        <f>VLOOKUP($A2,Sheet1!$B$2:$O$95,11,0)</f>
        <v>5509</v>
      </c>
      <c r="F2" s="8">
        <f>VLOOKUP($A2,Sheet1!$B$2:$O$95,11,0)</f>
        <v>5509</v>
      </c>
      <c r="G2" s="8">
        <f>ROUND(D2*12%,0)</f>
        <v>661</v>
      </c>
      <c r="H2" s="8">
        <f>ROUND(E2*8.33%,0)</f>
        <v>459</v>
      </c>
      <c r="I2" s="8">
        <f>G2-H2</f>
        <v>202</v>
      </c>
      <c r="J2" s="8"/>
      <c r="K2" s="8"/>
    </row>
    <row r="3" spans="1:11" x14ac:dyDescent="0.2">
      <c r="A3" s="4" t="s">
        <v>13</v>
      </c>
      <c r="B3" s="4" t="s">
        <v>14</v>
      </c>
      <c r="C3" s="8">
        <f>VLOOKUP(A3,Sheet1!$B$2:$O$95,14,0)</f>
        <v>1513</v>
      </c>
      <c r="D3" s="8">
        <f>VLOOKUP($A3,Sheet1!$B$2:$O$95,11,0)</f>
        <v>1059</v>
      </c>
      <c r="E3" s="8">
        <f>VLOOKUP($A3,Sheet1!$B$2:$O$95,11,0)</f>
        <v>1059</v>
      </c>
      <c r="F3" s="8">
        <f>VLOOKUP($A3,Sheet1!$B$2:$O$95,11,0)</f>
        <v>1059</v>
      </c>
      <c r="G3" s="8">
        <f t="shared" ref="G3:G66" si="0">ROUND(D3*12%,0)</f>
        <v>127</v>
      </c>
      <c r="H3" s="8">
        <f t="shared" ref="H3:H66" si="1">ROUND(E3*8.33%,0)</f>
        <v>88</v>
      </c>
      <c r="I3" s="8">
        <f t="shared" ref="I3:I66" si="2">G3-H3</f>
        <v>39</v>
      </c>
      <c r="J3" s="8"/>
      <c r="K3" s="8"/>
    </row>
    <row r="4" spans="1:11" x14ac:dyDescent="0.2">
      <c r="A4" s="4" t="s">
        <v>15</v>
      </c>
      <c r="B4" s="4" t="s">
        <v>16</v>
      </c>
      <c r="C4" s="8">
        <f>VLOOKUP(A4,Sheet1!$B$2:$O$95,14,0)</f>
        <v>0</v>
      </c>
      <c r="D4" s="8">
        <f>VLOOKUP($A4,Sheet1!$B$2:$O$95,11,0)</f>
        <v>0</v>
      </c>
      <c r="E4" s="8">
        <f>VLOOKUP($A4,Sheet1!$B$2:$O$95,11,0)</f>
        <v>0</v>
      </c>
      <c r="F4" s="8">
        <f>VLOOKUP($A4,Sheet1!$B$2:$O$95,11,0)</f>
        <v>0</v>
      </c>
      <c r="G4" s="8">
        <f t="shared" si="0"/>
        <v>0</v>
      </c>
      <c r="H4" s="8">
        <f t="shared" si="1"/>
        <v>0</v>
      </c>
      <c r="I4" s="8">
        <f t="shared" si="2"/>
        <v>0</v>
      </c>
      <c r="J4" s="8">
        <v>28</v>
      </c>
      <c r="K4" s="8"/>
    </row>
    <row r="5" spans="1:11" x14ac:dyDescent="0.2">
      <c r="A5" s="4" t="s">
        <v>17</v>
      </c>
      <c r="B5" s="4" t="s">
        <v>18</v>
      </c>
      <c r="C5" s="8">
        <f>VLOOKUP(A5,Sheet1!$B$2:$O$95,14,0)</f>
        <v>11415</v>
      </c>
      <c r="D5" s="8">
        <f>VLOOKUP($A5,Sheet1!$B$2:$O$95,11,0)</f>
        <v>9132</v>
      </c>
      <c r="E5" s="8">
        <f>VLOOKUP($A5,Sheet1!$B$2:$O$95,11,0)</f>
        <v>9132</v>
      </c>
      <c r="F5" s="8">
        <f>VLOOKUP($A5,Sheet1!$B$2:$O$95,11,0)</f>
        <v>9132</v>
      </c>
      <c r="G5" s="8">
        <f t="shared" si="0"/>
        <v>1096</v>
      </c>
      <c r="H5" s="8">
        <f t="shared" si="1"/>
        <v>761</v>
      </c>
      <c r="I5" s="8">
        <f t="shared" si="2"/>
        <v>335</v>
      </c>
      <c r="J5" s="8"/>
      <c r="K5" s="8"/>
    </row>
    <row r="6" spans="1:11" x14ac:dyDescent="0.2">
      <c r="A6" s="4" t="s">
        <v>19</v>
      </c>
      <c r="B6" s="4" t="s">
        <v>20</v>
      </c>
      <c r="C6" s="8">
        <f>VLOOKUP(A6,Sheet1!$B$2:$O$95,14,0)</f>
        <v>6054</v>
      </c>
      <c r="D6" s="8">
        <f>VLOOKUP($A6,Sheet1!$B$2:$O$95,11,0)</f>
        <v>4238</v>
      </c>
      <c r="E6" s="8">
        <f>VLOOKUP($A6,Sheet1!$B$2:$O$95,11,0)</f>
        <v>4238</v>
      </c>
      <c r="F6" s="8">
        <f>VLOOKUP($A6,Sheet1!$B$2:$O$95,11,0)</f>
        <v>4238</v>
      </c>
      <c r="G6" s="8">
        <f t="shared" si="0"/>
        <v>509</v>
      </c>
      <c r="H6" s="8">
        <f t="shared" si="1"/>
        <v>353</v>
      </c>
      <c r="I6" s="8">
        <f t="shared" si="2"/>
        <v>156</v>
      </c>
      <c r="J6" s="8"/>
      <c r="K6" s="8"/>
    </row>
    <row r="7" spans="1:11" x14ac:dyDescent="0.2">
      <c r="A7" s="4" t="s">
        <v>21</v>
      </c>
      <c r="B7" s="4" t="s">
        <v>22</v>
      </c>
      <c r="C7" s="8">
        <f>VLOOKUP(A7,Sheet1!$B$2:$O$95,14,0)</f>
        <v>0</v>
      </c>
      <c r="D7" s="8">
        <f>VLOOKUP($A7,Sheet1!$B$2:$O$95,11,0)</f>
        <v>0</v>
      </c>
      <c r="E7" s="8">
        <f>VLOOKUP($A7,Sheet1!$B$2:$O$95,11,0)</f>
        <v>0</v>
      </c>
      <c r="F7" s="8">
        <f>VLOOKUP($A7,Sheet1!$B$2:$O$95,11,0)</f>
        <v>0</v>
      </c>
      <c r="G7" s="8">
        <f t="shared" si="0"/>
        <v>0</v>
      </c>
      <c r="H7" s="8">
        <f t="shared" si="1"/>
        <v>0</v>
      </c>
      <c r="I7" s="8">
        <f t="shared" si="2"/>
        <v>0</v>
      </c>
      <c r="J7" s="8">
        <v>28</v>
      </c>
      <c r="K7" s="8"/>
    </row>
    <row r="8" spans="1:11" x14ac:dyDescent="0.2">
      <c r="A8" s="4" t="s">
        <v>23</v>
      </c>
      <c r="B8" s="4" t="s">
        <v>24</v>
      </c>
      <c r="C8" s="8">
        <f>VLOOKUP(A8,Sheet1!$B$2:$O$95,14,0)</f>
        <v>7546</v>
      </c>
      <c r="D8" s="8">
        <f>VLOOKUP($A8,Sheet1!$B$2:$O$95,11,0)</f>
        <v>7546</v>
      </c>
      <c r="E8" s="8">
        <f>VLOOKUP($A8,Sheet1!$B$2:$O$95,11,0)</f>
        <v>7546</v>
      </c>
      <c r="F8" s="8">
        <f>VLOOKUP($A8,Sheet1!$B$2:$O$95,11,0)</f>
        <v>7546</v>
      </c>
      <c r="G8" s="8">
        <f t="shared" si="0"/>
        <v>906</v>
      </c>
      <c r="H8" s="8">
        <f t="shared" si="1"/>
        <v>629</v>
      </c>
      <c r="I8" s="8">
        <f t="shared" si="2"/>
        <v>277</v>
      </c>
      <c r="J8" s="8"/>
      <c r="K8" s="8"/>
    </row>
    <row r="9" spans="1:11" x14ac:dyDescent="0.2">
      <c r="A9" s="4" t="s">
        <v>25</v>
      </c>
      <c r="B9" s="4" t="s">
        <v>26</v>
      </c>
      <c r="C9" s="8">
        <f>VLOOKUP(A9,Sheet1!$B$2:$O$95,14,0)</f>
        <v>7256</v>
      </c>
      <c r="D9" s="8">
        <f>VLOOKUP($A9,Sheet1!$B$2:$O$95,11,0)</f>
        <v>7256</v>
      </c>
      <c r="E9" s="8">
        <f>VLOOKUP($A9,Sheet1!$B$2:$O$95,11,0)</f>
        <v>7256</v>
      </c>
      <c r="F9" s="8">
        <f>VLOOKUP($A9,Sheet1!$B$2:$O$95,11,0)</f>
        <v>7256</v>
      </c>
      <c r="G9" s="8">
        <f t="shared" si="0"/>
        <v>871</v>
      </c>
      <c r="H9" s="8">
        <f t="shared" si="1"/>
        <v>604</v>
      </c>
      <c r="I9" s="8">
        <f t="shared" si="2"/>
        <v>267</v>
      </c>
      <c r="J9" s="8"/>
      <c r="K9" s="8"/>
    </row>
    <row r="10" spans="1:11" x14ac:dyDescent="0.2">
      <c r="A10" s="4" t="s">
        <v>27</v>
      </c>
      <c r="B10" s="4" t="s">
        <v>28</v>
      </c>
      <c r="C10" s="8">
        <f>VLOOKUP(A10,Sheet1!$B$2:$O$95,14,0)</f>
        <v>11415</v>
      </c>
      <c r="D10" s="8">
        <f>VLOOKUP($A10,Sheet1!$B$2:$O$95,11,0)</f>
        <v>9132</v>
      </c>
      <c r="E10" s="8">
        <f>VLOOKUP($A10,Sheet1!$B$2:$O$95,11,0)</f>
        <v>9132</v>
      </c>
      <c r="F10" s="8">
        <f>VLOOKUP($A10,Sheet1!$B$2:$O$95,11,0)</f>
        <v>9132</v>
      </c>
      <c r="G10" s="8">
        <f t="shared" si="0"/>
        <v>1096</v>
      </c>
      <c r="H10" s="8">
        <f t="shared" si="1"/>
        <v>761</v>
      </c>
      <c r="I10" s="8">
        <f t="shared" si="2"/>
        <v>335</v>
      </c>
      <c r="J10" s="8"/>
      <c r="K10" s="8"/>
    </row>
    <row r="11" spans="1:11" x14ac:dyDescent="0.2">
      <c r="A11" s="4" t="s">
        <v>29</v>
      </c>
      <c r="B11" s="4" t="s">
        <v>30</v>
      </c>
      <c r="C11" s="8">
        <f>VLOOKUP(A11,Sheet1!$B$2:$O$95,14,0)</f>
        <v>5747</v>
      </c>
      <c r="D11" s="8">
        <f>VLOOKUP($A11,Sheet1!$B$2:$O$95,11,0)</f>
        <v>5747</v>
      </c>
      <c r="E11" s="8">
        <f>VLOOKUP($A11,Sheet1!$B$2:$O$95,11,0)</f>
        <v>5747</v>
      </c>
      <c r="F11" s="8">
        <f>VLOOKUP($A11,Sheet1!$B$2:$O$95,11,0)</f>
        <v>5747</v>
      </c>
      <c r="G11" s="8">
        <f t="shared" si="0"/>
        <v>690</v>
      </c>
      <c r="H11" s="8">
        <f t="shared" si="1"/>
        <v>479</v>
      </c>
      <c r="I11" s="8">
        <f t="shared" si="2"/>
        <v>211</v>
      </c>
      <c r="J11" s="8"/>
      <c r="K11" s="8"/>
    </row>
    <row r="12" spans="1:11" x14ac:dyDescent="0.2">
      <c r="A12" s="4" t="s">
        <v>31</v>
      </c>
      <c r="B12" s="4" t="s">
        <v>32</v>
      </c>
      <c r="C12" s="8">
        <f>VLOOKUP(A12,Sheet1!$B$2:$O$95,14,0)</f>
        <v>4540</v>
      </c>
      <c r="D12" s="8">
        <f>VLOOKUP($A12,Sheet1!$B$2:$O$95,11,0)</f>
        <v>3178</v>
      </c>
      <c r="E12" s="8">
        <f>VLOOKUP($A12,Sheet1!$B$2:$O$95,11,0)</f>
        <v>3178</v>
      </c>
      <c r="F12" s="8">
        <f>VLOOKUP($A12,Sheet1!$B$2:$O$95,11,0)</f>
        <v>3178</v>
      </c>
      <c r="G12" s="8">
        <f t="shared" si="0"/>
        <v>381</v>
      </c>
      <c r="H12" s="8">
        <f t="shared" si="1"/>
        <v>265</v>
      </c>
      <c r="I12" s="8">
        <f t="shared" si="2"/>
        <v>116</v>
      </c>
      <c r="J12" s="8"/>
      <c r="K12" s="8"/>
    </row>
    <row r="13" spans="1:11" x14ac:dyDescent="0.2">
      <c r="A13" s="4" t="s">
        <v>33</v>
      </c>
      <c r="B13" s="4" t="s">
        <v>34</v>
      </c>
      <c r="C13" s="8">
        <f>VLOOKUP(A13,Sheet1!$B$2:$O$95,14,0)</f>
        <v>6357</v>
      </c>
      <c r="D13" s="8">
        <f>VLOOKUP($A13,Sheet1!$B$2:$O$95,11,0)</f>
        <v>4450</v>
      </c>
      <c r="E13" s="8">
        <f>VLOOKUP($A13,Sheet1!$B$2:$O$95,11,0)</f>
        <v>4450</v>
      </c>
      <c r="F13" s="8">
        <f>VLOOKUP($A13,Sheet1!$B$2:$O$95,11,0)</f>
        <v>4450</v>
      </c>
      <c r="G13" s="8">
        <f t="shared" si="0"/>
        <v>534</v>
      </c>
      <c r="H13" s="8">
        <f t="shared" si="1"/>
        <v>371</v>
      </c>
      <c r="I13" s="8">
        <f t="shared" si="2"/>
        <v>163</v>
      </c>
      <c r="J13" s="8"/>
      <c r="K13" s="8"/>
    </row>
    <row r="14" spans="1:11" x14ac:dyDescent="0.2">
      <c r="A14" s="4" t="s">
        <v>35</v>
      </c>
      <c r="B14" s="4" t="s">
        <v>36</v>
      </c>
      <c r="C14" s="8">
        <f>VLOOKUP(A14,Sheet1!$B$2:$O$95,14,0)</f>
        <v>6385</v>
      </c>
      <c r="D14" s="8">
        <f>VLOOKUP($A14,Sheet1!$B$2:$O$95,11,0)</f>
        <v>6385</v>
      </c>
      <c r="E14" s="8">
        <f>VLOOKUP($A14,Sheet1!$B$2:$O$95,11,0)</f>
        <v>6385</v>
      </c>
      <c r="F14" s="8">
        <f>VLOOKUP($A14,Sheet1!$B$2:$O$95,11,0)</f>
        <v>6385</v>
      </c>
      <c r="G14" s="8">
        <f t="shared" si="0"/>
        <v>766</v>
      </c>
      <c r="H14" s="8">
        <f t="shared" si="1"/>
        <v>532</v>
      </c>
      <c r="I14" s="8">
        <f t="shared" si="2"/>
        <v>234</v>
      </c>
      <c r="J14" s="8"/>
      <c r="K14" s="8"/>
    </row>
    <row r="15" spans="1:11" x14ac:dyDescent="0.2">
      <c r="A15" s="4" t="s">
        <v>37</v>
      </c>
      <c r="B15" s="4" t="s">
        <v>38</v>
      </c>
      <c r="C15" s="8">
        <f>VLOOKUP(A15,Sheet1!$B$2:$O$95,14,0)</f>
        <v>0</v>
      </c>
      <c r="D15" s="8">
        <f>VLOOKUP($A15,Sheet1!$B$2:$O$95,11,0)</f>
        <v>0</v>
      </c>
      <c r="E15" s="8">
        <f>VLOOKUP($A15,Sheet1!$B$2:$O$95,11,0)</f>
        <v>0</v>
      </c>
      <c r="F15" s="8">
        <f>VLOOKUP($A15,Sheet1!$B$2:$O$95,11,0)</f>
        <v>0</v>
      </c>
      <c r="G15" s="8">
        <f t="shared" si="0"/>
        <v>0</v>
      </c>
      <c r="H15" s="8">
        <f t="shared" si="1"/>
        <v>0</v>
      </c>
      <c r="I15" s="8">
        <f t="shared" si="2"/>
        <v>0</v>
      </c>
      <c r="J15" s="8">
        <v>28</v>
      </c>
      <c r="K15" s="8"/>
    </row>
    <row r="16" spans="1:11" x14ac:dyDescent="0.2">
      <c r="A16" s="4" t="s">
        <v>39</v>
      </c>
      <c r="B16" s="4" t="s">
        <v>40</v>
      </c>
      <c r="C16" s="8">
        <f>VLOOKUP(A16,Sheet1!$B$2:$O$95,14,0)</f>
        <v>9081</v>
      </c>
      <c r="D16" s="8">
        <f>VLOOKUP($A16,Sheet1!$B$2:$O$95,11,0)</f>
        <v>6357</v>
      </c>
      <c r="E16" s="8">
        <f>VLOOKUP($A16,Sheet1!$B$2:$O$95,11,0)</f>
        <v>6357</v>
      </c>
      <c r="F16" s="8">
        <f>VLOOKUP($A16,Sheet1!$B$2:$O$95,11,0)</f>
        <v>6357</v>
      </c>
      <c r="G16" s="8">
        <f t="shared" si="0"/>
        <v>763</v>
      </c>
      <c r="H16" s="8">
        <f t="shared" si="1"/>
        <v>530</v>
      </c>
      <c r="I16" s="8">
        <f t="shared" si="2"/>
        <v>233</v>
      </c>
      <c r="J16" s="8"/>
      <c r="K16" s="8"/>
    </row>
    <row r="17" spans="1:11" x14ac:dyDescent="0.2">
      <c r="A17" s="4" t="s">
        <v>41</v>
      </c>
      <c r="B17" s="4" t="s">
        <v>42</v>
      </c>
      <c r="C17" s="8">
        <f>VLOOKUP(A17,Sheet1!$B$2:$O$95,14,0)</f>
        <v>7870</v>
      </c>
      <c r="D17" s="8">
        <f>VLOOKUP($A17,Sheet1!$B$2:$O$95,11,0)</f>
        <v>5509</v>
      </c>
      <c r="E17" s="8">
        <f>VLOOKUP($A17,Sheet1!$B$2:$O$95,11,0)</f>
        <v>5509</v>
      </c>
      <c r="F17" s="8">
        <f>VLOOKUP($A17,Sheet1!$B$2:$O$95,11,0)</f>
        <v>5509</v>
      </c>
      <c r="G17" s="8">
        <f t="shared" si="0"/>
        <v>661</v>
      </c>
      <c r="H17" s="8">
        <f t="shared" si="1"/>
        <v>459</v>
      </c>
      <c r="I17" s="8">
        <f t="shared" si="2"/>
        <v>202</v>
      </c>
      <c r="J17" s="8"/>
      <c r="K17" s="8"/>
    </row>
    <row r="18" spans="1:11" x14ac:dyDescent="0.2">
      <c r="A18" s="4" t="s">
        <v>43</v>
      </c>
      <c r="B18" s="4" t="s">
        <v>44</v>
      </c>
      <c r="C18" s="8">
        <f>VLOOKUP(A18,Sheet1!$B$2:$O$95,14,0)</f>
        <v>0</v>
      </c>
      <c r="D18" s="8">
        <f>VLOOKUP($A18,Sheet1!$B$2:$O$95,11,0)</f>
        <v>0</v>
      </c>
      <c r="E18" s="8">
        <f>VLOOKUP($A18,Sheet1!$B$2:$O$95,11,0)</f>
        <v>0</v>
      </c>
      <c r="F18" s="8">
        <f>VLOOKUP($A18,Sheet1!$B$2:$O$95,11,0)</f>
        <v>0</v>
      </c>
      <c r="G18" s="8">
        <f t="shared" si="0"/>
        <v>0</v>
      </c>
      <c r="H18" s="8">
        <f t="shared" si="1"/>
        <v>0</v>
      </c>
      <c r="I18" s="8">
        <f t="shared" si="2"/>
        <v>0</v>
      </c>
      <c r="J18" s="8">
        <v>28</v>
      </c>
      <c r="K18" s="8"/>
    </row>
    <row r="19" spans="1:11" x14ac:dyDescent="0.2">
      <c r="A19" s="4" t="s">
        <v>45</v>
      </c>
      <c r="B19" s="4" t="s">
        <v>46</v>
      </c>
      <c r="C19" s="8">
        <f>VLOOKUP(A19,Sheet1!$B$2:$O$95,14,0)</f>
        <v>2032</v>
      </c>
      <c r="D19" s="8">
        <f>VLOOKUP($A19,Sheet1!$B$2:$O$95,11,0)</f>
        <v>2032</v>
      </c>
      <c r="E19" s="8">
        <f>VLOOKUP($A19,Sheet1!$B$2:$O$95,11,0)</f>
        <v>2032</v>
      </c>
      <c r="F19" s="8">
        <f>VLOOKUP($A19,Sheet1!$B$2:$O$95,11,0)</f>
        <v>2032</v>
      </c>
      <c r="G19" s="8">
        <f t="shared" si="0"/>
        <v>244</v>
      </c>
      <c r="H19" s="8">
        <f t="shared" si="1"/>
        <v>169</v>
      </c>
      <c r="I19" s="8">
        <f t="shared" si="2"/>
        <v>75</v>
      </c>
      <c r="J19" s="8"/>
      <c r="K19" s="8"/>
    </row>
    <row r="20" spans="1:11" x14ac:dyDescent="0.2">
      <c r="A20" s="4" t="s">
        <v>47</v>
      </c>
      <c r="B20" s="4" t="s">
        <v>48</v>
      </c>
      <c r="C20" s="8">
        <f>VLOOKUP(A20,Sheet1!$B$2:$O$95,14,0)</f>
        <v>7836</v>
      </c>
      <c r="D20" s="8">
        <f>VLOOKUP($A20,Sheet1!$B$2:$O$95,11,0)</f>
        <v>7546</v>
      </c>
      <c r="E20" s="8">
        <f>VLOOKUP($A20,Sheet1!$B$2:$O$95,11,0)</f>
        <v>7546</v>
      </c>
      <c r="F20" s="8">
        <f>VLOOKUP($A20,Sheet1!$B$2:$O$95,11,0)</f>
        <v>7546</v>
      </c>
      <c r="G20" s="8">
        <f t="shared" si="0"/>
        <v>906</v>
      </c>
      <c r="H20" s="8">
        <f t="shared" si="1"/>
        <v>629</v>
      </c>
      <c r="I20" s="8">
        <f t="shared" si="2"/>
        <v>277</v>
      </c>
      <c r="J20" s="8"/>
      <c r="K20" s="8"/>
    </row>
    <row r="21" spans="1:11" x14ac:dyDescent="0.2">
      <c r="A21" s="4" t="s">
        <v>49</v>
      </c>
      <c r="B21" s="4" t="s">
        <v>50</v>
      </c>
      <c r="C21" s="8">
        <f>VLOOKUP(A21,Sheet1!$B$2:$O$95,14,0)</f>
        <v>5631</v>
      </c>
      <c r="D21" s="8">
        <f>VLOOKUP($A21,Sheet1!$B$2:$O$95,11,0)</f>
        <v>4080</v>
      </c>
      <c r="E21" s="8">
        <f>VLOOKUP($A21,Sheet1!$B$2:$O$95,11,0)</f>
        <v>4080</v>
      </c>
      <c r="F21" s="8">
        <f>VLOOKUP($A21,Sheet1!$B$2:$O$95,11,0)</f>
        <v>4080</v>
      </c>
      <c r="G21" s="8">
        <f t="shared" si="0"/>
        <v>490</v>
      </c>
      <c r="H21" s="8">
        <f t="shared" si="1"/>
        <v>340</v>
      </c>
      <c r="I21" s="8">
        <f t="shared" si="2"/>
        <v>150</v>
      </c>
      <c r="J21" s="8"/>
      <c r="K21" s="8"/>
    </row>
    <row r="22" spans="1:11" x14ac:dyDescent="0.2">
      <c r="A22" s="4" t="s">
        <v>51</v>
      </c>
      <c r="B22" s="4" t="s">
        <v>52</v>
      </c>
      <c r="C22" s="8">
        <f>VLOOKUP(A22,Sheet1!$B$2:$O$95,14,0)</f>
        <v>0</v>
      </c>
      <c r="D22" s="8">
        <f>VLOOKUP($A22,Sheet1!$B$2:$O$95,11,0)</f>
        <v>0</v>
      </c>
      <c r="E22" s="8">
        <f>VLOOKUP($A22,Sheet1!$B$2:$O$95,11,0)</f>
        <v>0</v>
      </c>
      <c r="F22" s="8">
        <f>VLOOKUP($A22,Sheet1!$B$2:$O$95,11,0)</f>
        <v>0</v>
      </c>
      <c r="G22" s="8">
        <f t="shared" si="0"/>
        <v>0</v>
      </c>
      <c r="H22" s="8">
        <f t="shared" si="1"/>
        <v>0</v>
      </c>
      <c r="I22" s="8">
        <f t="shared" si="2"/>
        <v>0</v>
      </c>
      <c r="J22" s="8">
        <v>28</v>
      </c>
      <c r="K22" s="8"/>
    </row>
    <row r="23" spans="1:11" x14ac:dyDescent="0.2">
      <c r="A23" s="4" t="s">
        <v>53</v>
      </c>
      <c r="B23" s="4" t="s">
        <v>54</v>
      </c>
      <c r="C23" s="8">
        <f>VLOOKUP(A23,Sheet1!$B$2:$O$95,14,0)</f>
        <v>8778</v>
      </c>
      <c r="D23" s="8">
        <f>VLOOKUP($A23,Sheet1!$B$2:$O$95,11,0)</f>
        <v>6145</v>
      </c>
      <c r="E23" s="8">
        <f>VLOOKUP($A23,Sheet1!$B$2:$O$95,11,0)</f>
        <v>6145</v>
      </c>
      <c r="F23" s="8">
        <f>VLOOKUP($A23,Sheet1!$B$2:$O$95,11,0)</f>
        <v>6145</v>
      </c>
      <c r="G23" s="8">
        <f t="shared" si="0"/>
        <v>737</v>
      </c>
      <c r="H23" s="8">
        <f t="shared" si="1"/>
        <v>512</v>
      </c>
      <c r="I23" s="8">
        <f t="shared" si="2"/>
        <v>225</v>
      </c>
      <c r="J23" s="8"/>
      <c r="K23" s="8"/>
    </row>
    <row r="24" spans="1:11" x14ac:dyDescent="0.2">
      <c r="A24" s="4" t="s">
        <v>55</v>
      </c>
      <c r="B24" s="4" t="s">
        <v>56</v>
      </c>
      <c r="C24" s="8">
        <f>VLOOKUP(A24,Sheet1!$B$2:$O$95,14,0)</f>
        <v>8173</v>
      </c>
      <c r="D24" s="8">
        <f>VLOOKUP($A24,Sheet1!$B$2:$O$95,11,0)</f>
        <v>5721</v>
      </c>
      <c r="E24" s="8">
        <f>VLOOKUP($A24,Sheet1!$B$2:$O$95,11,0)</f>
        <v>5721</v>
      </c>
      <c r="F24" s="8">
        <f>VLOOKUP($A24,Sheet1!$B$2:$O$95,11,0)</f>
        <v>5721</v>
      </c>
      <c r="G24" s="8">
        <f t="shared" si="0"/>
        <v>687</v>
      </c>
      <c r="H24" s="8">
        <f t="shared" si="1"/>
        <v>477</v>
      </c>
      <c r="I24" s="8">
        <f t="shared" si="2"/>
        <v>210</v>
      </c>
      <c r="J24" s="8"/>
      <c r="K24" s="8"/>
    </row>
    <row r="25" spans="1:11" x14ac:dyDescent="0.2">
      <c r="A25" s="4" t="s">
        <v>57</v>
      </c>
      <c r="B25" s="4" t="s">
        <v>58</v>
      </c>
      <c r="C25" s="8">
        <f>VLOOKUP(A25,Sheet1!$B$2:$O$95,14,0)</f>
        <v>6357</v>
      </c>
      <c r="D25" s="8">
        <f>VLOOKUP($A25,Sheet1!$B$2:$O$95,11,0)</f>
        <v>4450</v>
      </c>
      <c r="E25" s="8">
        <f>VLOOKUP($A25,Sheet1!$B$2:$O$95,11,0)</f>
        <v>4450</v>
      </c>
      <c r="F25" s="8">
        <f>VLOOKUP($A25,Sheet1!$B$2:$O$95,11,0)</f>
        <v>4450</v>
      </c>
      <c r="G25" s="8">
        <f t="shared" si="0"/>
        <v>534</v>
      </c>
      <c r="H25" s="8">
        <f t="shared" si="1"/>
        <v>371</v>
      </c>
      <c r="I25" s="8">
        <f t="shared" si="2"/>
        <v>163</v>
      </c>
      <c r="J25" s="8"/>
      <c r="K25" s="8"/>
    </row>
    <row r="26" spans="1:11" x14ac:dyDescent="0.2">
      <c r="A26" s="4" t="s">
        <v>59</v>
      </c>
      <c r="B26" s="4" t="s">
        <v>60</v>
      </c>
      <c r="C26" s="8">
        <f>VLOOKUP(A26,Sheet1!$B$2:$O$95,14,0)</f>
        <v>3756</v>
      </c>
      <c r="D26" s="8">
        <f>VLOOKUP($A26,Sheet1!$B$2:$O$95,11,0)</f>
        <v>1878</v>
      </c>
      <c r="E26" s="8">
        <f>VLOOKUP($A26,Sheet1!$B$2:$O$95,11,0)</f>
        <v>1878</v>
      </c>
      <c r="F26" s="8">
        <f>VLOOKUP($A26,Sheet1!$B$2:$O$95,11,0)</f>
        <v>1878</v>
      </c>
      <c r="G26" s="8">
        <f t="shared" si="0"/>
        <v>225</v>
      </c>
      <c r="H26" s="8">
        <f t="shared" si="1"/>
        <v>156</v>
      </c>
      <c r="I26" s="8">
        <f t="shared" si="2"/>
        <v>69</v>
      </c>
      <c r="J26" s="8"/>
      <c r="K26" s="8"/>
    </row>
    <row r="27" spans="1:11" x14ac:dyDescent="0.2">
      <c r="A27" s="4" t="s">
        <v>61</v>
      </c>
      <c r="B27" s="4" t="s">
        <v>62</v>
      </c>
      <c r="C27" s="8">
        <f>VLOOKUP(A27,Sheet1!$B$2:$O$95,14,0)</f>
        <v>6357</v>
      </c>
      <c r="D27" s="8">
        <f>VLOOKUP($A27,Sheet1!$B$2:$O$95,11,0)</f>
        <v>4450</v>
      </c>
      <c r="E27" s="8">
        <f>VLOOKUP($A27,Sheet1!$B$2:$O$95,11,0)</f>
        <v>4450</v>
      </c>
      <c r="F27" s="8">
        <f>VLOOKUP($A27,Sheet1!$B$2:$O$95,11,0)</f>
        <v>4450</v>
      </c>
      <c r="G27" s="8">
        <f t="shared" si="0"/>
        <v>534</v>
      </c>
      <c r="H27" s="8">
        <f t="shared" si="1"/>
        <v>371</v>
      </c>
      <c r="I27" s="8">
        <f t="shared" si="2"/>
        <v>163</v>
      </c>
      <c r="J27" s="8"/>
      <c r="K27" s="8"/>
    </row>
    <row r="28" spans="1:11" x14ac:dyDescent="0.2">
      <c r="A28" s="4" t="s">
        <v>63</v>
      </c>
      <c r="B28" s="4" t="s">
        <v>64</v>
      </c>
      <c r="C28" s="8">
        <f>VLOOKUP(A28,Sheet1!$B$2:$O$95,14,0)</f>
        <v>6966</v>
      </c>
      <c r="D28" s="8">
        <f>VLOOKUP($A28,Sheet1!$B$2:$O$95,11,0)</f>
        <v>6966</v>
      </c>
      <c r="E28" s="8">
        <f>VLOOKUP($A28,Sheet1!$B$2:$O$95,11,0)</f>
        <v>6966</v>
      </c>
      <c r="F28" s="8">
        <f>VLOOKUP($A28,Sheet1!$B$2:$O$95,11,0)</f>
        <v>6966</v>
      </c>
      <c r="G28" s="8">
        <f t="shared" si="0"/>
        <v>836</v>
      </c>
      <c r="H28" s="8">
        <f t="shared" si="1"/>
        <v>580</v>
      </c>
      <c r="I28" s="8">
        <f t="shared" si="2"/>
        <v>256</v>
      </c>
      <c r="J28" s="8"/>
      <c r="K28" s="8"/>
    </row>
    <row r="29" spans="1:11" x14ac:dyDescent="0.2">
      <c r="A29" s="4" t="s">
        <v>65</v>
      </c>
      <c r="B29" s="4" t="s">
        <v>66</v>
      </c>
      <c r="C29" s="8">
        <f>VLOOKUP(A29,Sheet1!$B$2:$O$95,14,0)</f>
        <v>8938</v>
      </c>
      <c r="D29" s="8">
        <f>VLOOKUP($A29,Sheet1!$B$2:$O$95,11,0)</f>
        <v>8430</v>
      </c>
      <c r="E29" s="8">
        <f>VLOOKUP($A29,Sheet1!$B$2:$O$95,11,0)</f>
        <v>8430</v>
      </c>
      <c r="F29" s="8">
        <f>VLOOKUP($A29,Sheet1!$B$2:$O$95,11,0)</f>
        <v>8430</v>
      </c>
      <c r="G29" s="8">
        <f t="shared" si="0"/>
        <v>1012</v>
      </c>
      <c r="H29" s="8">
        <f t="shared" si="1"/>
        <v>702</v>
      </c>
      <c r="I29" s="8">
        <f t="shared" si="2"/>
        <v>310</v>
      </c>
      <c r="J29" s="8"/>
      <c r="K29" s="8"/>
    </row>
    <row r="30" spans="1:11" x14ac:dyDescent="0.2">
      <c r="A30" s="4" t="s">
        <v>67</v>
      </c>
      <c r="B30" s="4" t="s">
        <v>68</v>
      </c>
      <c r="C30" s="8">
        <f>VLOOKUP(A30,Sheet1!$B$2:$O$95,14,0)</f>
        <v>8708</v>
      </c>
      <c r="D30" s="8">
        <f>VLOOKUP($A30,Sheet1!$B$2:$O$95,11,0)</f>
        <v>6966</v>
      </c>
      <c r="E30" s="8">
        <f>VLOOKUP($A30,Sheet1!$B$2:$O$95,11,0)</f>
        <v>6966</v>
      </c>
      <c r="F30" s="8">
        <f>VLOOKUP($A30,Sheet1!$B$2:$O$95,11,0)</f>
        <v>6966</v>
      </c>
      <c r="G30" s="8">
        <f t="shared" si="0"/>
        <v>836</v>
      </c>
      <c r="H30" s="8">
        <f t="shared" si="1"/>
        <v>580</v>
      </c>
      <c r="I30" s="8">
        <f t="shared" si="2"/>
        <v>256</v>
      </c>
      <c r="J30" s="8"/>
      <c r="K30" s="8"/>
    </row>
    <row r="31" spans="1:11" x14ac:dyDescent="0.2">
      <c r="A31" s="4" t="s">
        <v>69</v>
      </c>
      <c r="B31" s="4" t="s">
        <v>70</v>
      </c>
      <c r="C31" s="8">
        <f>VLOOKUP(A31,Sheet1!$B$2:$O$95,14,0)</f>
        <v>15189</v>
      </c>
      <c r="D31" s="8">
        <f>VLOOKUP($A31,Sheet1!$B$2:$O$95,11,0)</f>
        <v>7546</v>
      </c>
      <c r="E31" s="8">
        <f>VLOOKUP($A31,Sheet1!$B$2:$O$95,11,0)</f>
        <v>7546</v>
      </c>
      <c r="F31" s="8">
        <f>VLOOKUP($A31,Sheet1!$B$2:$O$95,11,0)</f>
        <v>7546</v>
      </c>
      <c r="G31" s="8">
        <f t="shared" si="0"/>
        <v>906</v>
      </c>
      <c r="H31" s="8">
        <f t="shared" si="1"/>
        <v>629</v>
      </c>
      <c r="I31" s="8">
        <f t="shared" si="2"/>
        <v>277</v>
      </c>
      <c r="J31" s="8"/>
      <c r="K31" s="8"/>
    </row>
    <row r="32" spans="1:11" x14ac:dyDescent="0.2">
      <c r="A32" s="4" t="s">
        <v>71</v>
      </c>
      <c r="B32" s="4" t="s">
        <v>72</v>
      </c>
      <c r="C32" s="8">
        <f>VLOOKUP(A32,Sheet1!$B$2:$O$95,14,0)</f>
        <v>303</v>
      </c>
      <c r="D32" s="8">
        <f>VLOOKUP($A32,Sheet1!$B$2:$O$95,11,0)</f>
        <v>212</v>
      </c>
      <c r="E32" s="8">
        <f>VLOOKUP($A32,Sheet1!$B$2:$O$95,11,0)</f>
        <v>212</v>
      </c>
      <c r="F32" s="8">
        <f>VLOOKUP($A32,Sheet1!$B$2:$O$95,11,0)</f>
        <v>212</v>
      </c>
      <c r="G32" s="8">
        <f t="shared" si="0"/>
        <v>25</v>
      </c>
      <c r="H32" s="8">
        <f t="shared" si="1"/>
        <v>18</v>
      </c>
      <c r="I32" s="8">
        <f t="shared" si="2"/>
        <v>7</v>
      </c>
      <c r="J32" s="8"/>
      <c r="K32" s="8"/>
    </row>
    <row r="33" spans="1:11" x14ac:dyDescent="0.2">
      <c r="A33" s="4" t="s">
        <v>73</v>
      </c>
      <c r="B33" s="4" t="s">
        <v>74</v>
      </c>
      <c r="C33" s="8">
        <f>VLOOKUP(A33,Sheet1!$B$2:$O$95,14,0)</f>
        <v>7256</v>
      </c>
      <c r="D33" s="8">
        <f>VLOOKUP($A33,Sheet1!$B$2:$O$95,11,0)</f>
        <v>7256</v>
      </c>
      <c r="E33" s="8">
        <f>VLOOKUP($A33,Sheet1!$B$2:$O$95,11,0)</f>
        <v>7256</v>
      </c>
      <c r="F33" s="8">
        <f>VLOOKUP($A33,Sheet1!$B$2:$O$95,11,0)</f>
        <v>7256</v>
      </c>
      <c r="G33" s="8">
        <f t="shared" si="0"/>
        <v>871</v>
      </c>
      <c r="H33" s="8">
        <f t="shared" si="1"/>
        <v>604</v>
      </c>
      <c r="I33" s="8">
        <f t="shared" si="2"/>
        <v>267</v>
      </c>
      <c r="J33" s="8"/>
      <c r="K33" s="8"/>
    </row>
    <row r="34" spans="1:11" x14ac:dyDescent="0.2">
      <c r="A34" s="4" t="s">
        <v>75</v>
      </c>
      <c r="B34" s="4" t="s">
        <v>76</v>
      </c>
      <c r="C34" s="8">
        <f>VLOOKUP(A34,Sheet1!$B$2:$O$95,14,0)</f>
        <v>8708</v>
      </c>
      <c r="D34" s="8">
        <f>VLOOKUP($A34,Sheet1!$B$2:$O$95,11,0)</f>
        <v>6966</v>
      </c>
      <c r="E34" s="8">
        <f>VLOOKUP($A34,Sheet1!$B$2:$O$95,11,0)</f>
        <v>6966</v>
      </c>
      <c r="F34" s="8">
        <f>VLOOKUP($A34,Sheet1!$B$2:$O$95,11,0)</f>
        <v>6966</v>
      </c>
      <c r="G34" s="8">
        <f t="shared" si="0"/>
        <v>836</v>
      </c>
      <c r="H34" s="8">
        <f t="shared" si="1"/>
        <v>580</v>
      </c>
      <c r="I34" s="8">
        <f t="shared" si="2"/>
        <v>256</v>
      </c>
      <c r="J34" s="8"/>
      <c r="K34" s="8"/>
    </row>
    <row r="35" spans="1:11" x14ac:dyDescent="0.2">
      <c r="A35" s="5" t="s">
        <v>77</v>
      </c>
      <c r="B35" s="4" t="s">
        <v>78</v>
      </c>
      <c r="C35" s="8">
        <f>VLOOKUP(A35,Sheet1!$B$2:$O$95,14,0)</f>
        <v>1317</v>
      </c>
      <c r="D35" s="8">
        <f>VLOOKUP($A35,Sheet1!$B$2:$O$95,11,0)</f>
        <v>1054</v>
      </c>
      <c r="E35" s="8">
        <f>VLOOKUP($A35,Sheet1!$B$2:$O$95,11,0)</f>
        <v>1054</v>
      </c>
      <c r="F35" s="8">
        <f>VLOOKUP($A35,Sheet1!$B$2:$O$95,11,0)</f>
        <v>1054</v>
      </c>
      <c r="G35" s="8">
        <f t="shared" si="0"/>
        <v>126</v>
      </c>
      <c r="H35" s="8">
        <f t="shared" si="1"/>
        <v>88</v>
      </c>
      <c r="I35" s="8">
        <f t="shared" si="2"/>
        <v>38</v>
      </c>
      <c r="J35" s="8"/>
      <c r="K35" s="8"/>
    </row>
    <row r="36" spans="1:11" x14ac:dyDescent="0.2">
      <c r="A36" s="4" t="s">
        <v>79</v>
      </c>
      <c r="B36" s="4" t="s">
        <v>80</v>
      </c>
      <c r="C36" s="8">
        <f>VLOOKUP(A36,Sheet1!$B$2:$O$95,14,0)</f>
        <v>290</v>
      </c>
      <c r="D36" s="8">
        <f>VLOOKUP($A36,Sheet1!$B$2:$O$95,11,0)</f>
        <v>290</v>
      </c>
      <c r="E36" s="8">
        <f>VLOOKUP($A36,Sheet1!$B$2:$O$95,11,0)</f>
        <v>290</v>
      </c>
      <c r="F36" s="8">
        <f>VLOOKUP($A36,Sheet1!$B$2:$O$95,11,0)</f>
        <v>290</v>
      </c>
      <c r="G36" s="8">
        <f t="shared" si="0"/>
        <v>35</v>
      </c>
      <c r="H36" s="8">
        <f t="shared" si="1"/>
        <v>24</v>
      </c>
      <c r="I36" s="8">
        <f t="shared" si="2"/>
        <v>11</v>
      </c>
      <c r="J36" s="8"/>
      <c r="K36" s="8"/>
    </row>
    <row r="37" spans="1:11" x14ac:dyDescent="0.2">
      <c r="A37" s="4" t="s">
        <v>81</v>
      </c>
      <c r="B37" s="4" t="s">
        <v>82</v>
      </c>
      <c r="C37" s="8">
        <f>VLOOKUP(A37,Sheet1!$B$2:$O$95,14,0)</f>
        <v>7439</v>
      </c>
      <c r="D37" s="8">
        <f>VLOOKUP($A37,Sheet1!$B$2:$O$95,11,0)</f>
        <v>5207</v>
      </c>
      <c r="E37" s="8">
        <f>VLOOKUP($A37,Sheet1!$B$2:$O$95,11,0)</f>
        <v>5207</v>
      </c>
      <c r="F37" s="8">
        <f>VLOOKUP($A37,Sheet1!$B$2:$O$95,11,0)</f>
        <v>5207</v>
      </c>
      <c r="G37" s="8">
        <f t="shared" si="0"/>
        <v>625</v>
      </c>
      <c r="H37" s="8">
        <f t="shared" si="1"/>
        <v>434</v>
      </c>
      <c r="I37" s="8">
        <f t="shared" si="2"/>
        <v>191</v>
      </c>
      <c r="J37" s="8"/>
      <c r="K37" s="8"/>
    </row>
    <row r="38" spans="1:11" x14ac:dyDescent="0.2">
      <c r="A38" s="4" t="s">
        <v>83</v>
      </c>
      <c r="B38" s="4" t="s">
        <v>84</v>
      </c>
      <c r="C38" s="8">
        <f>VLOOKUP(A38,Sheet1!$B$2:$O$95,14,0)</f>
        <v>8708</v>
      </c>
      <c r="D38" s="8">
        <f>VLOOKUP($A38,Sheet1!$B$2:$O$95,11,0)</f>
        <v>6966</v>
      </c>
      <c r="E38" s="8">
        <f>VLOOKUP($A38,Sheet1!$B$2:$O$95,11,0)</f>
        <v>6966</v>
      </c>
      <c r="F38" s="8">
        <f>VLOOKUP($A38,Sheet1!$B$2:$O$95,11,0)</f>
        <v>6966</v>
      </c>
      <c r="G38" s="8">
        <f t="shared" si="0"/>
        <v>836</v>
      </c>
      <c r="H38" s="8">
        <f t="shared" si="1"/>
        <v>580</v>
      </c>
      <c r="I38" s="8">
        <f t="shared" si="2"/>
        <v>256</v>
      </c>
      <c r="J38" s="8"/>
      <c r="K38" s="8"/>
    </row>
    <row r="39" spans="1:11" x14ac:dyDescent="0.2">
      <c r="A39" s="4" t="s">
        <v>85</v>
      </c>
      <c r="B39" s="4" t="s">
        <v>86</v>
      </c>
      <c r="C39" s="8">
        <f>VLOOKUP(A39,Sheet1!$B$2:$O$95,14,0)</f>
        <v>8708</v>
      </c>
      <c r="D39" s="8">
        <f>VLOOKUP($A39,Sheet1!$B$2:$O$95,11,0)</f>
        <v>6966</v>
      </c>
      <c r="E39" s="8">
        <f>VLOOKUP($A39,Sheet1!$B$2:$O$95,11,0)</f>
        <v>6966</v>
      </c>
      <c r="F39" s="8">
        <f>VLOOKUP($A39,Sheet1!$B$2:$O$95,11,0)</f>
        <v>6966</v>
      </c>
      <c r="G39" s="8">
        <f t="shared" si="0"/>
        <v>836</v>
      </c>
      <c r="H39" s="8">
        <f t="shared" si="1"/>
        <v>580</v>
      </c>
      <c r="I39" s="8">
        <f t="shared" si="2"/>
        <v>256</v>
      </c>
      <c r="J39" s="8"/>
      <c r="K39" s="8"/>
    </row>
    <row r="40" spans="1:11" x14ac:dyDescent="0.2">
      <c r="A40" s="4" t="s">
        <v>87</v>
      </c>
      <c r="B40" s="4" t="s">
        <v>88</v>
      </c>
      <c r="C40" s="8">
        <f>VLOOKUP(A40,Sheet1!$B$2:$O$95,14,0)</f>
        <v>0</v>
      </c>
      <c r="D40" s="8">
        <f>VLOOKUP($A40,Sheet1!$B$2:$O$95,11,0)</f>
        <v>0</v>
      </c>
      <c r="E40" s="8">
        <f>VLOOKUP($A40,Sheet1!$B$2:$O$95,11,0)</f>
        <v>0</v>
      </c>
      <c r="F40" s="8">
        <f>VLOOKUP($A40,Sheet1!$B$2:$O$95,11,0)</f>
        <v>0</v>
      </c>
      <c r="G40" s="8">
        <f t="shared" si="0"/>
        <v>0</v>
      </c>
      <c r="H40" s="8">
        <f t="shared" si="1"/>
        <v>0</v>
      </c>
      <c r="I40" s="8">
        <f t="shared" si="2"/>
        <v>0</v>
      </c>
      <c r="J40" s="8">
        <v>28</v>
      </c>
      <c r="K40" s="8"/>
    </row>
    <row r="41" spans="1:11" x14ac:dyDescent="0.2">
      <c r="A41" s="4" t="s">
        <v>89</v>
      </c>
      <c r="B41" s="4" t="s">
        <v>90</v>
      </c>
      <c r="C41" s="8">
        <f>VLOOKUP(A41,Sheet1!$B$2:$O$95,14,0)</f>
        <v>0</v>
      </c>
      <c r="D41" s="8">
        <f>VLOOKUP($A41,Sheet1!$B$2:$O$95,11,0)</f>
        <v>0</v>
      </c>
      <c r="E41" s="8">
        <f>VLOOKUP($A41,Sheet1!$B$2:$O$95,11,0)</f>
        <v>0</v>
      </c>
      <c r="F41" s="8">
        <f>VLOOKUP($A41,Sheet1!$B$2:$O$95,11,0)</f>
        <v>0</v>
      </c>
      <c r="G41" s="8">
        <f t="shared" si="0"/>
        <v>0</v>
      </c>
      <c r="H41" s="8">
        <f t="shared" si="1"/>
        <v>0</v>
      </c>
      <c r="I41" s="8">
        <f t="shared" si="2"/>
        <v>0</v>
      </c>
      <c r="J41" s="8">
        <v>28</v>
      </c>
      <c r="K41" s="8"/>
    </row>
    <row r="42" spans="1:11" x14ac:dyDescent="0.2">
      <c r="A42" s="4" t="s">
        <v>91</v>
      </c>
      <c r="B42" s="4" t="s">
        <v>92</v>
      </c>
      <c r="C42" s="8">
        <f>VLOOKUP(A42,Sheet1!$B$2:$O$95,14,0)</f>
        <v>7477</v>
      </c>
      <c r="D42" s="8">
        <f>VLOOKUP($A42,Sheet1!$B$2:$O$95,11,0)</f>
        <v>7381</v>
      </c>
      <c r="E42" s="8">
        <f>VLOOKUP($A42,Sheet1!$B$2:$O$95,11,0)</f>
        <v>7381</v>
      </c>
      <c r="F42" s="8">
        <f>VLOOKUP($A42,Sheet1!$B$2:$O$95,11,0)</f>
        <v>7381</v>
      </c>
      <c r="G42" s="8">
        <f t="shared" si="0"/>
        <v>886</v>
      </c>
      <c r="H42" s="8">
        <f t="shared" si="1"/>
        <v>615</v>
      </c>
      <c r="I42" s="8">
        <f t="shared" si="2"/>
        <v>271</v>
      </c>
      <c r="J42" s="8"/>
      <c r="K42" s="8"/>
    </row>
    <row r="43" spans="1:11" x14ac:dyDescent="0.2">
      <c r="A43" s="4" t="s">
        <v>93</v>
      </c>
      <c r="B43" s="4" t="s">
        <v>94</v>
      </c>
      <c r="C43" s="8">
        <f>VLOOKUP(A43,Sheet1!$B$2:$O$95,14,0)</f>
        <v>5805</v>
      </c>
      <c r="D43" s="8">
        <f>VLOOKUP($A43,Sheet1!$B$2:$O$95,11,0)</f>
        <v>5805</v>
      </c>
      <c r="E43" s="8">
        <f>VLOOKUP($A43,Sheet1!$B$2:$O$95,11,0)</f>
        <v>5805</v>
      </c>
      <c r="F43" s="8">
        <f>VLOOKUP($A43,Sheet1!$B$2:$O$95,11,0)</f>
        <v>5805</v>
      </c>
      <c r="G43" s="8">
        <f t="shared" si="0"/>
        <v>697</v>
      </c>
      <c r="H43" s="8">
        <f t="shared" si="1"/>
        <v>484</v>
      </c>
      <c r="I43" s="8">
        <f t="shared" si="2"/>
        <v>213</v>
      </c>
      <c r="J43" s="8"/>
      <c r="K43" s="8"/>
    </row>
    <row r="44" spans="1:11" x14ac:dyDescent="0.2">
      <c r="A44" s="4" t="s">
        <v>95</v>
      </c>
      <c r="B44" s="4" t="s">
        <v>96</v>
      </c>
      <c r="C44" s="8">
        <f>VLOOKUP(A44,Sheet1!$B$2:$O$95,14,0)</f>
        <v>5751</v>
      </c>
      <c r="D44" s="8">
        <f>VLOOKUP($A44,Sheet1!$B$2:$O$95,11,0)</f>
        <v>4026</v>
      </c>
      <c r="E44" s="8">
        <f>VLOOKUP($A44,Sheet1!$B$2:$O$95,11,0)</f>
        <v>4026</v>
      </c>
      <c r="F44" s="8">
        <f>VLOOKUP($A44,Sheet1!$B$2:$O$95,11,0)</f>
        <v>4026</v>
      </c>
      <c r="G44" s="8">
        <f t="shared" si="0"/>
        <v>483</v>
      </c>
      <c r="H44" s="8">
        <f t="shared" si="1"/>
        <v>335</v>
      </c>
      <c r="I44" s="8">
        <f t="shared" si="2"/>
        <v>148</v>
      </c>
      <c r="J44" s="8"/>
      <c r="K44" s="8"/>
    </row>
    <row r="45" spans="1:11" x14ac:dyDescent="0.2">
      <c r="A45" s="4" t="s">
        <v>97</v>
      </c>
      <c r="B45" s="4" t="s">
        <v>98</v>
      </c>
      <c r="C45" s="8">
        <f>VLOOKUP(A45,Sheet1!$B$2:$O$95,14,0)</f>
        <v>12293</v>
      </c>
      <c r="D45" s="8">
        <f>VLOOKUP($A45,Sheet1!$B$2:$O$95,11,0)</f>
        <v>9132</v>
      </c>
      <c r="E45" s="8">
        <f>VLOOKUP($A45,Sheet1!$B$2:$O$95,11,0)</f>
        <v>9132</v>
      </c>
      <c r="F45" s="8">
        <f>VLOOKUP($A45,Sheet1!$B$2:$O$95,11,0)</f>
        <v>9132</v>
      </c>
      <c r="G45" s="8">
        <f t="shared" si="0"/>
        <v>1096</v>
      </c>
      <c r="H45" s="8">
        <f t="shared" si="1"/>
        <v>761</v>
      </c>
      <c r="I45" s="8">
        <f t="shared" si="2"/>
        <v>335</v>
      </c>
      <c r="J45" s="8"/>
      <c r="K45" s="8"/>
    </row>
    <row r="46" spans="1:11" x14ac:dyDescent="0.2">
      <c r="A46" s="4" t="s">
        <v>99</v>
      </c>
      <c r="B46" s="4" t="s">
        <v>100</v>
      </c>
      <c r="C46" s="8">
        <f>VLOOKUP(A46,Sheet1!$B$2:$O$95,14,0)</f>
        <v>8708</v>
      </c>
      <c r="D46" s="8">
        <f>VLOOKUP($A46,Sheet1!$B$2:$O$95,11,0)</f>
        <v>6966</v>
      </c>
      <c r="E46" s="8">
        <f>VLOOKUP($A46,Sheet1!$B$2:$O$95,11,0)</f>
        <v>6966</v>
      </c>
      <c r="F46" s="8">
        <f>VLOOKUP($A46,Sheet1!$B$2:$O$95,11,0)</f>
        <v>6966</v>
      </c>
      <c r="G46" s="8">
        <f t="shared" si="0"/>
        <v>836</v>
      </c>
      <c r="H46" s="8">
        <f t="shared" si="1"/>
        <v>580</v>
      </c>
      <c r="I46" s="8">
        <f t="shared" si="2"/>
        <v>256</v>
      </c>
      <c r="J46" s="8"/>
      <c r="K46" s="8"/>
    </row>
    <row r="47" spans="1:11" x14ac:dyDescent="0.2">
      <c r="A47" s="4" t="s">
        <v>101</v>
      </c>
      <c r="B47" s="4" t="s">
        <v>102</v>
      </c>
      <c r="C47" s="8">
        <f>VLOOKUP(A47,Sheet1!$B$2:$O$95,14,0)</f>
        <v>0</v>
      </c>
      <c r="D47" s="8">
        <f>VLOOKUP($A47,Sheet1!$B$2:$O$95,11,0)</f>
        <v>0</v>
      </c>
      <c r="E47" s="8">
        <f>VLOOKUP($A47,Sheet1!$B$2:$O$95,11,0)</f>
        <v>0</v>
      </c>
      <c r="F47" s="8">
        <f>VLOOKUP($A47,Sheet1!$B$2:$O$95,11,0)</f>
        <v>0</v>
      </c>
      <c r="G47" s="8">
        <f t="shared" si="0"/>
        <v>0</v>
      </c>
      <c r="H47" s="8">
        <f t="shared" si="1"/>
        <v>0</v>
      </c>
      <c r="I47" s="8">
        <f t="shared" si="2"/>
        <v>0</v>
      </c>
      <c r="J47" s="8">
        <v>28</v>
      </c>
      <c r="K47" s="8"/>
    </row>
    <row r="48" spans="1:11" x14ac:dyDescent="0.2">
      <c r="A48" s="4" t="s">
        <v>103</v>
      </c>
      <c r="B48" s="4" t="s">
        <v>104</v>
      </c>
      <c r="C48" s="8">
        <f>VLOOKUP(A48,Sheet1!$B$2:$O$95,14,0)</f>
        <v>6670</v>
      </c>
      <c r="D48" s="8">
        <f>VLOOKUP($A48,Sheet1!$B$2:$O$95,11,0)</f>
        <v>4420</v>
      </c>
      <c r="E48" s="8">
        <f>VLOOKUP($A48,Sheet1!$B$2:$O$95,11,0)</f>
        <v>4420</v>
      </c>
      <c r="F48" s="8">
        <f>VLOOKUP($A48,Sheet1!$B$2:$O$95,11,0)</f>
        <v>4420</v>
      </c>
      <c r="G48" s="8">
        <f t="shared" si="0"/>
        <v>530</v>
      </c>
      <c r="H48" s="8">
        <f t="shared" si="1"/>
        <v>368</v>
      </c>
      <c r="I48" s="8">
        <f t="shared" si="2"/>
        <v>162</v>
      </c>
      <c r="J48" s="8"/>
      <c r="K48" s="8"/>
    </row>
    <row r="49" spans="1:11" x14ac:dyDescent="0.2">
      <c r="A49" s="4" t="s">
        <v>105</v>
      </c>
      <c r="B49" s="4" t="s">
        <v>106</v>
      </c>
      <c r="C49" s="8">
        <f>VLOOKUP(A49,Sheet1!$B$2:$O$95,14,0)</f>
        <v>2322</v>
      </c>
      <c r="D49" s="8">
        <f>VLOOKUP($A49,Sheet1!$B$2:$O$95,11,0)</f>
        <v>2322</v>
      </c>
      <c r="E49" s="8">
        <f>VLOOKUP($A49,Sheet1!$B$2:$O$95,11,0)</f>
        <v>2322</v>
      </c>
      <c r="F49" s="8">
        <f>VLOOKUP($A49,Sheet1!$B$2:$O$95,11,0)</f>
        <v>2322</v>
      </c>
      <c r="G49" s="8">
        <f t="shared" si="0"/>
        <v>279</v>
      </c>
      <c r="H49" s="8">
        <f t="shared" si="1"/>
        <v>193</v>
      </c>
      <c r="I49" s="8">
        <f t="shared" si="2"/>
        <v>86</v>
      </c>
      <c r="J49" s="8"/>
      <c r="K49" s="8"/>
    </row>
    <row r="50" spans="1:11" x14ac:dyDescent="0.2">
      <c r="A50" s="4" t="s">
        <v>107</v>
      </c>
      <c r="B50" s="4" t="s">
        <v>108</v>
      </c>
      <c r="C50" s="8">
        <f>VLOOKUP(A50,Sheet1!$B$2:$O$95,14,0)</f>
        <v>0</v>
      </c>
      <c r="D50" s="8">
        <f>VLOOKUP($A50,Sheet1!$B$2:$O$95,11,0)</f>
        <v>0</v>
      </c>
      <c r="E50" s="8">
        <f>VLOOKUP($A50,Sheet1!$B$2:$O$95,11,0)</f>
        <v>0</v>
      </c>
      <c r="F50" s="8">
        <f>VLOOKUP($A50,Sheet1!$B$2:$O$95,11,0)</f>
        <v>0</v>
      </c>
      <c r="G50" s="8">
        <f t="shared" si="0"/>
        <v>0</v>
      </c>
      <c r="H50" s="8">
        <f t="shared" si="1"/>
        <v>0</v>
      </c>
      <c r="I50" s="8">
        <f t="shared" si="2"/>
        <v>0</v>
      </c>
      <c r="J50" s="8">
        <v>28</v>
      </c>
      <c r="K50" s="8"/>
    </row>
    <row r="51" spans="1:11" x14ac:dyDescent="0.2">
      <c r="A51" s="4" t="s">
        <v>109</v>
      </c>
      <c r="B51" s="4" t="s">
        <v>110</v>
      </c>
      <c r="C51" s="8">
        <f>VLOOKUP(A51,Sheet1!$B$2:$O$95,14,0)</f>
        <v>6966</v>
      </c>
      <c r="D51" s="8">
        <f>VLOOKUP($A51,Sheet1!$B$2:$O$95,11,0)</f>
        <v>6966</v>
      </c>
      <c r="E51" s="8">
        <f>VLOOKUP($A51,Sheet1!$B$2:$O$95,11,0)</f>
        <v>6966</v>
      </c>
      <c r="F51" s="8">
        <f>VLOOKUP($A51,Sheet1!$B$2:$O$95,11,0)</f>
        <v>6966</v>
      </c>
      <c r="G51" s="8">
        <f t="shared" si="0"/>
        <v>836</v>
      </c>
      <c r="H51" s="8">
        <f t="shared" si="1"/>
        <v>580</v>
      </c>
      <c r="I51" s="8">
        <f t="shared" si="2"/>
        <v>256</v>
      </c>
      <c r="J51" s="8"/>
      <c r="K51" s="8"/>
    </row>
    <row r="52" spans="1:11" x14ac:dyDescent="0.2">
      <c r="A52" s="4" t="s">
        <v>111</v>
      </c>
      <c r="B52" s="4" t="s">
        <v>112</v>
      </c>
      <c r="C52" s="8">
        <f>VLOOKUP(A52,Sheet1!$B$2:$O$95,14,0)</f>
        <v>8417</v>
      </c>
      <c r="D52" s="8">
        <f>VLOOKUP($A52,Sheet1!$B$2:$O$95,11,0)</f>
        <v>7546</v>
      </c>
      <c r="E52" s="8">
        <f>VLOOKUP($A52,Sheet1!$B$2:$O$95,11,0)</f>
        <v>7546</v>
      </c>
      <c r="F52" s="8">
        <f>VLOOKUP($A52,Sheet1!$B$2:$O$95,11,0)</f>
        <v>7546</v>
      </c>
      <c r="G52" s="8">
        <f t="shared" si="0"/>
        <v>906</v>
      </c>
      <c r="H52" s="8">
        <f t="shared" si="1"/>
        <v>629</v>
      </c>
      <c r="I52" s="8">
        <f t="shared" si="2"/>
        <v>277</v>
      </c>
      <c r="J52" s="8"/>
      <c r="K52" s="8"/>
    </row>
    <row r="53" spans="1:11" x14ac:dyDescent="0.2">
      <c r="A53" s="4" t="s">
        <v>113</v>
      </c>
      <c r="B53" s="4" t="s">
        <v>114</v>
      </c>
      <c r="C53" s="8">
        <f>VLOOKUP(A53,Sheet1!$B$2:$O$95,14,0)</f>
        <v>9081</v>
      </c>
      <c r="D53" s="8">
        <f>VLOOKUP($A53,Sheet1!$B$2:$O$95,11,0)</f>
        <v>6357</v>
      </c>
      <c r="E53" s="8">
        <f>VLOOKUP($A53,Sheet1!$B$2:$O$95,11,0)</f>
        <v>6357</v>
      </c>
      <c r="F53" s="8">
        <f>VLOOKUP($A53,Sheet1!$B$2:$O$95,11,0)</f>
        <v>6357</v>
      </c>
      <c r="G53" s="8">
        <f t="shared" si="0"/>
        <v>763</v>
      </c>
      <c r="H53" s="8">
        <f t="shared" si="1"/>
        <v>530</v>
      </c>
      <c r="I53" s="8">
        <f t="shared" si="2"/>
        <v>233</v>
      </c>
      <c r="J53" s="8"/>
      <c r="K53" s="8"/>
    </row>
    <row r="54" spans="1:11" x14ac:dyDescent="0.2">
      <c r="A54" s="4" t="s">
        <v>115</v>
      </c>
      <c r="B54" s="4" t="s">
        <v>116</v>
      </c>
      <c r="C54" s="8">
        <f>VLOOKUP(A54,Sheet1!$B$2:$O$95,14,0)</f>
        <v>8708</v>
      </c>
      <c r="D54" s="8">
        <f>VLOOKUP($A54,Sheet1!$B$2:$O$95,11,0)</f>
        <v>6966</v>
      </c>
      <c r="E54" s="8">
        <f>VLOOKUP($A54,Sheet1!$B$2:$O$95,11,0)</f>
        <v>6966</v>
      </c>
      <c r="F54" s="8">
        <f>VLOOKUP($A54,Sheet1!$B$2:$O$95,11,0)</f>
        <v>6966</v>
      </c>
      <c r="G54" s="8">
        <f t="shared" si="0"/>
        <v>836</v>
      </c>
      <c r="H54" s="8">
        <f t="shared" si="1"/>
        <v>580</v>
      </c>
      <c r="I54" s="8">
        <f t="shared" si="2"/>
        <v>256</v>
      </c>
      <c r="J54" s="8"/>
      <c r="K54" s="8"/>
    </row>
    <row r="55" spans="1:11" x14ac:dyDescent="0.2">
      <c r="A55" s="4" t="s">
        <v>117</v>
      </c>
      <c r="B55" s="4" t="s">
        <v>118</v>
      </c>
      <c r="C55" s="8">
        <f>VLOOKUP(A55,Sheet1!$B$2:$O$95,14,0)</f>
        <v>5500</v>
      </c>
      <c r="D55" s="8">
        <f>VLOOKUP($A55,Sheet1!$B$2:$O$95,11,0)</f>
        <v>2800</v>
      </c>
      <c r="E55" s="8">
        <f>VLOOKUP($A55,Sheet1!$B$2:$O$95,11,0)</f>
        <v>2800</v>
      </c>
      <c r="F55" s="8">
        <f>VLOOKUP($A55,Sheet1!$B$2:$O$95,11,0)</f>
        <v>2800</v>
      </c>
      <c r="G55" s="8">
        <f t="shared" si="0"/>
        <v>336</v>
      </c>
      <c r="H55" s="8">
        <f t="shared" si="1"/>
        <v>233</v>
      </c>
      <c r="I55" s="8">
        <f t="shared" si="2"/>
        <v>103</v>
      </c>
      <c r="J55" s="8"/>
      <c r="K55" s="8"/>
    </row>
    <row r="56" spans="1:11" x14ac:dyDescent="0.2">
      <c r="A56" s="4" t="s">
        <v>119</v>
      </c>
      <c r="B56" s="4" t="s">
        <v>120</v>
      </c>
      <c r="C56" s="8">
        <f>VLOOKUP(A56,Sheet1!$B$2:$O$95,14,0)</f>
        <v>7546</v>
      </c>
      <c r="D56" s="8">
        <f>VLOOKUP($A56,Sheet1!$B$2:$O$95,11,0)</f>
        <v>7546</v>
      </c>
      <c r="E56" s="8">
        <f>VLOOKUP($A56,Sheet1!$B$2:$O$95,11,0)</f>
        <v>7546</v>
      </c>
      <c r="F56" s="8">
        <f>VLOOKUP($A56,Sheet1!$B$2:$O$95,11,0)</f>
        <v>7546</v>
      </c>
      <c r="G56" s="8">
        <f t="shared" si="0"/>
        <v>906</v>
      </c>
      <c r="H56" s="8">
        <f t="shared" si="1"/>
        <v>629</v>
      </c>
      <c r="I56" s="8">
        <f t="shared" si="2"/>
        <v>277</v>
      </c>
      <c r="J56" s="8"/>
      <c r="K56" s="8"/>
    </row>
    <row r="57" spans="1:11" x14ac:dyDescent="0.2">
      <c r="A57" s="4" t="s">
        <v>121</v>
      </c>
      <c r="B57" s="4" t="s">
        <v>122</v>
      </c>
      <c r="C57" s="8">
        <f>VLOOKUP(A57,Sheet1!$B$2:$O$95,14,0)</f>
        <v>3936</v>
      </c>
      <c r="D57" s="8">
        <f>VLOOKUP($A57,Sheet1!$B$2:$O$95,11,0)</f>
        <v>2755</v>
      </c>
      <c r="E57" s="8">
        <f>VLOOKUP($A57,Sheet1!$B$2:$O$95,11,0)</f>
        <v>2755</v>
      </c>
      <c r="F57" s="8">
        <f>VLOOKUP($A57,Sheet1!$B$2:$O$95,11,0)</f>
        <v>2755</v>
      </c>
      <c r="G57" s="8">
        <f t="shared" si="0"/>
        <v>331</v>
      </c>
      <c r="H57" s="8">
        <f t="shared" si="1"/>
        <v>229</v>
      </c>
      <c r="I57" s="8">
        <f t="shared" si="2"/>
        <v>102</v>
      </c>
      <c r="J57" s="8"/>
      <c r="K57" s="8"/>
    </row>
    <row r="58" spans="1:11" x14ac:dyDescent="0.2">
      <c r="A58" s="4" t="s">
        <v>123</v>
      </c>
      <c r="B58" s="4" t="s">
        <v>124</v>
      </c>
      <c r="C58" s="8">
        <f>VLOOKUP(A58,Sheet1!$B$2:$O$95,14,0)</f>
        <v>8708</v>
      </c>
      <c r="D58" s="8">
        <f>VLOOKUP($A58,Sheet1!$B$2:$O$95,11,0)</f>
        <v>6966</v>
      </c>
      <c r="E58" s="8">
        <f>VLOOKUP($A58,Sheet1!$B$2:$O$95,11,0)</f>
        <v>6966</v>
      </c>
      <c r="F58" s="8">
        <f>VLOOKUP($A58,Sheet1!$B$2:$O$95,11,0)</f>
        <v>6966</v>
      </c>
      <c r="G58" s="8">
        <f t="shared" si="0"/>
        <v>836</v>
      </c>
      <c r="H58" s="8">
        <f t="shared" si="1"/>
        <v>580</v>
      </c>
      <c r="I58" s="8">
        <f t="shared" si="2"/>
        <v>256</v>
      </c>
      <c r="J58" s="8"/>
      <c r="K58" s="8"/>
    </row>
    <row r="59" spans="1:11" x14ac:dyDescent="0.2">
      <c r="A59" s="4" t="s">
        <v>125</v>
      </c>
      <c r="B59" s="4" t="s">
        <v>126</v>
      </c>
      <c r="C59" s="8">
        <f>VLOOKUP(A59,Sheet1!$B$2:$O$95,14,0)</f>
        <v>0</v>
      </c>
      <c r="D59" s="8">
        <f>VLOOKUP($A59,Sheet1!$B$2:$O$95,11,0)</f>
        <v>0</v>
      </c>
      <c r="E59" s="8">
        <f>VLOOKUP($A59,Sheet1!$B$2:$O$95,11,0)</f>
        <v>0</v>
      </c>
      <c r="F59" s="8">
        <f>VLOOKUP($A59,Sheet1!$B$2:$O$95,11,0)</f>
        <v>0</v>
      </c>
      <c r="G59" s="8">
        <f t="shared" si="0"/>
        <v>0</v>
      </c>
      <c r="H59" s="8">
        <f t="shared" si="1"/>
        <v>0</v>
      </c>
      <c r="I59" s="8">
        <f t="shared" si="2"/>
        <v>0</v>
      </c>
      <c r="J59" s="8">
        <v>28</v>
      </c>
      <c r="K59" s="8"/>
    </row>
    <row r="60" spans="1:11" x14ac:dyDescent="0.2">
      <c r="A60" s="4" t="s">
        <v>127</v>
      </c>
      <c r="B60" s="4" t="s">
        <v>128</v>
      </c>
      <c r="C60" s="8">
        <f>VLOOKUP(A60,Sheet1!$B$2:$O$95,14,0)</f>
        <v>6923</v>
      </c>
      <c r="D60" s="8">
        <f>VLOOKUP($A60,Sheet1!$B$2:$O$95,11,0)</f>
        <v>6835</v>
      </c>
      <c r="E60" s="8">
        <f>VLOOKUP($A60,Sheet1!$B$2:$O$95,11,0)</f>
        <v>6835</v>
      </c>
      <c r="F60" s="8">
        <f>VLOOKUP($A60,Sheet1!$B$2:$O$95,11,0)</f>
        <v>6835</v>
      </c>
      <c r="G60" s="8">
        <f t="shared" si="0"/>
        <v>820</v>
      </c>
      <c r="H60" s="8">
        <f t="shared" si="1"/>
        <v>569</v>
      </c>
      <c r="I60" s="8">
        <f t="shared" si="2"/>
        <v>251</v>
      </c>
      <c r="J60" s="8"/>
      <c r="K60" s="8"/>
    </row>
    <row r="61" spans="1:11" x14ac:dyDescent="0.2">
      <c r="A61" s="4" t="s">
        <v>129</v>
      </c>
      <c r="B61" s="4" t="s">
        <v>130</v>
      </c>
      <c r="C61" s="8">
        <f>VLOOKUP(A61,Sheet1!$B$2:$O$95,14,0)</f>
        <v>6385</v>
      </c>
      <c r="D61" s="8">
        <f>VLOOKUP($A61,Sheet1!$B$2:$O$95,11,0)</f>
        <v>6385</v>
      </c>
      <c r="E61" s="8">
        <f>VLOOKUP($A61,Sheet1!$B$2:$O$95,11,0)</f>
        <v>6385</v>
      </c>
      <c r="F61" s="8">
        <f>VLOOKUP($A61,Sheet1!$B$2:$O$95,11,0)</f>
        <v>6385</v>
      </c>
      <c r="G61" s="8">
        <f t="shared" si="0"/>
        <v>766</v>
      </c>
      <c r="H61" s="8">
        <f t="shared" si="1"/>
        <v>532</v>
      </c>
      <c r="I61" s="8">
        <f t="shared" si="2"/>
        <v>234</v>
      </c>
      <c r="J61" s="8"/>
      <c r="K61" s="8"/>
    </row>
    <row r="62" spans="1:11" x14ac:dyDescent="0.2">
      <c r="A62" s="4" t="s">
        <v>131</v>
      </c>
      <c r="B62" s="4" t="s">
        <v>132</v>
      </c>
      <c r="C62" s="8">
        <f>VLOOKUP(A62,Sheet1!$B$2:$O$95,14,0)</f>
        <v>0</v>
      </c>
      <c r="D62" s="8">
        <f>VLOOKUP($A62,Sheet1!$B$2:$O$95,11,0)</f>
        <v>0</v>
      </c>
      <c r="E62" s="8">
        <f>VLOOKUP($A62,Sheet1!$B$2:$O$95,11,0)</f>
        <v>0</v>
      </c>
      <c r="F62" s="8">
        <f>VLOOKUP($A62,Sheet1!$B$2:$O$95,11,0)</f>
        <v>0</v>
      </c>
      <c r="G62" s="8">
        <f t="shared" si="0"/>
        <v>0</v>
      </c>
      <c r="H62" s="8">
        <f t="shared" si="1"/>
        <v>0</v>
      </c>
      <c r="I62" s="8">
        <f t="shared" si="2"/>
        <v>0</v>
      </c>
      <c r="J62" s="8">
        <v>28</v>
      </c>
      <c r="K62" s="8"/>
    </row>
    <row r="63" spans="1:11" x14ac:dyDescent="0.2">
      <c r="A63" s="4" t="s">
        <v>133</v>
      </c>
      <c r="B63" s="4" t="s">
        <v>134</v>
      </c>
      <c r="C63" s="8">
        <f>VLOOKUP(A63,Sheet1!$B$2:$O$95,14,0)</f>
        <v>7870</v>
      </c>
      <c r="D63" s="8">
        <f>VLOOKUP($A63,Sheet1!$B$2:$O$95,11,0)</f>
        <v>5509</v>
      </c>
      <c r="E63" s="8">
        <f>VLOOKUP($A63,Sheet1!$B$2:$O$95,11,0)</f>
        <v>5509</v>
      </c>
      <c r="F63" s="8">
        <f>VLOOKUP($A63,Sheet1!$B$2:$O$95,11,0)</f>
        <v>5509</v>
      </c>
      <c r="G63" s="8">
        <f t="shared" si="0"/>
        <v>661</v>
      </c>
      <c r="H63" s="8">
        <f t="shared" si="1"/>
        <v>459</v>
      </c>
      <c r="I63" s="8">
        <f t="shared" si="2"/>
        <v>202</v>
      </c>
      <c r="J63" s="8"/>
      <c r="K63" s="8"/>
    </row>
    <row r="64" spans="1:11" x14ac:dyDescent="0.2">
      <c r="A64" s="4" t="s">
        <v>135</v>
      </c>
      <c r="B64" s="4" t="s">
        <v>136</v>
      </c>
      <c r="C64" s="8">
        <f>VLOOKUP(A64,Sheet1!$B$2:$O$95,14,0)</f>
        <v>7567</v>
      </c>
      <c r="D64" s="8">
        <f>VLOOKUP($A64,Sheet1!$B$2:$O$95,11,0)</f>
        <v>5297</v>
      </c>
      <c r="E64" s="8">
        <f>VLOOKUP($A64,Sheet1!$B$2:$O$95,11,0)</f>
        <v>5297</v>
      </c>
      <c r="F64" s="8">
        <f>VLOOKUP($A64,Sheet1!$B$2:$O$95,11,0)</f>
        <v>5297</v>
      </c>
      <c r="G64" s="8">
        <f t="shared" si="0"/>
        <v>636</v>
      </c>
      <c r="H64" s="8">
        <f t="shared" si="1"/>
        <v>441</v>
      </c>
      <c r="I64" s="8">
        <f t="shared" si="2"/>
        <v>195</v>
      </c>
      <c r="J64" s="8"/>
      <c r="K64" s="8"/>
    </row>
    <row r="65" spans="1:11" x14ac:dyDescent="0.2">
      <c r="A65" s="4" t="s">
        <v>137</v>
      </c>
      <c r="B65" s="4" t="s">
        <v>138</v>
      </c>
      <c r="C65" s="8">
        <f>VLOOKUP(A65,Sheet1!$B$2:$O$95,14,0)</f>
        <v>8708</v>
      </c>
      <c r="D65" s="8">
        <f>VLOOKUP($A65,Sheet1!$B$2:$O$95,11,0)</f>
        <v>6966</v>
      </c>
      <c r="E65" s="8">
        <f>VLOOKUP($A65,Sheet1!$B$2:$O$95,11,0)</f>
        <v>6966</v>
      </c>
      <c r="F65" s="8">
        <f>VLOOKUP($A65,Sheet1!$B$2:$O$95,11,0)</f>
        <v>6966</v>
      </c>
      <c r="G65" s="8">
        <f t="shared" si="0"/>
        <v>836</v>
      </c>
      <c r="H65" s="8">
        <f t="shared" si="1"/>
        <v>580</v>
      </c>
      <c r="I65" s="8">
        <f t="shared" si="2"/>
        <v>256</v>
      </c>
      <c r="J65" s="8"/>
      <c r="K65" s="8"/>
    </row>
    <row r="66" spans="1:11" x14ac:dyDescent="0.2">
      <c r="A66" s="4" t="s">
        <v>139</v>
      </c>
      <c r="B66" s="4" t="s">
        <v>140</v>
      </c>
      <c r="C66" s="8">
        <f>VLOOKUP(A66,Sheet1!$B$2:$O$95,14,0)</f>
        <v>8008</v>
      </c>
      <c r="D66" s="8">
        <f>VLOOKUP($A66,Sheet1!$B$2:$O$95,11,0)</f>
        <v>4805</v>
      </c>
      <c r="E66" s="8">
        <f>VLOOKUP($A66,Sheet1!$B$2:$O$95,11,0)</f>
        <v>4805</v>
      </c>
      <c r="F66" s="8">
        <f>VLOOKUP($A66,Sheet1!$B$2:$O$95,11,0)</f>
        <v>4805</v>
      </c>
      <c r="G66" s="8">
        <f t="shared" si="0"/>
        <v>577</v>
      </c>
      <c r="H66" s="8">
        <f t="shared" si="1"/>
        <v>400</v>
      </c>
      <c r="I66" s="8">
        <f t="shared" si="2"/>
        <v>177</v>
      </c>
      <c r="J66" s="8"/>
      <c r="K66" s="8"/>
    </row>
    <row r="67" spans="1:11" x14ac:dyDescent="0.2">
      <c r="A67" s="4" t="s">
        <v>141</v>
      </c>
      <c r="B67" s="4" t="s">
        <v>142</v>
      </c>
      <c r="C67" s="8">
        <f>VLOOKUP(A67,Sheet1!$B$2:$O$95,14,0)</f>
        <v>8708</v>
      </c>
      <c r="D67" s="8">
        <f>VLOOKUP($A67,Sheet1!$B$2:$O$95,11,0)</f>
        <v>6966</v>
      </c>
      <c r="E67" s="8">
        <f>VLOOKUP($A67,Sheet1!$B$2:$O$95,11,0)</f>
        <v>6966</v>
      </c>
      <c r="F67" s="8">
        <f>VLOOKUP($A67,Sheet1!$B$2:$O$95,11,0)</f>
        <v>6966</v>
      </c>
      <c r="G67" s="8">
        <f t="shared" ref="G67:G95" si="3">ROUND(D67*12%,0)</f>
        <v>836</v>
      </c>
      <c r="H67" s="8">
        <f t="shared" ref="H67:H95" si="4">ROUND(E67*8.33%,0)</f>
        <v>580</v>
      </c>
      <c r="I67" s="8">
        <f t="shared" ref="I67:I94" si="5">G67-H67</f>
        <v>256</v>
      </c>
      <c r="J67" s="8"/>
      <c r="K67" s="8"/>
    </row>
    <row r="68" spans="1:11" x14ac:dyDescent="0.2">
      <c r="A68" s="4" t="s">
        <v>143</v>
      </c>
      <c r="B68" s="4" t="s">
        <v>144</v>
      </c>
      <c r="C68" s="8">
        <f>VLOOKUP(A68,Sheet1!$B$2:$O$95,14,0)</f>
        <v>7696</v>
      </c>
      <c r="D68" s="8">
        <f>VLOOKUP($A68,Sheet1!$B$2:$O$95,11,0)</f>
        <v>5387</v>
      </c>
      <c r="E68" s="8">
        <f>VLOOKUP($A68,Sheet1!$B$2:$O$95,11,0)</f>
        <v>5387</v>
      </c>
      <c r="F68" s="8">
        <f>VLOOKUP($A68,Sheet1!$B$2:$O$95,11,0)</f>
        <v>5387</v>
      </c>
      <c r="G68" s="8">
        <f t="shared" si="3"/>
        <v>646</v>
      </c>
      <c r="H68" s="8">
        <f t="shared" si="4"/>
        <v>449</v>
      </c>
      <c r="I68" s="8">
        <f t="shared" si="5"/>
        <v>197</v>
      </c>
      <c r="J68" s="8"/>
      <c r="K68" s="8"/>
    </row>
    <row r="69" spans="1:11" x14ac:dyDescent="0.2">
      <c r="A69" s="4" t="s">
        <v>145</v>
      </c>
      <c r="B69" s="4" t="s">
        <v>146</v>
      </c>
      <c r="C69" s="8">
        <f>VLOOKUP(A69,Sheet1!$B$2:$O$95,14,0)</f>
        <v>7546</v>
      </c>
      <c r="D69" s="8">
        <f>VLOOKUP($A69,Sheet1!$B$2:$O$95,11,0)</f>
        <v>7546</v>
      </c>
      <c r="E69" s="8">
        <f>VLOOKUP($A69,Sheet1!$B$2:$O$95,11,0)</f>
        <v>7546</v>
      </c>
      <c r="F69" s="8">
        <f>VLOOKUP($A69,Sheet1!$B$2:$O$95,11,0)</f>
        <v>7546</v>
      </c>
      <c r="G69" s="8">
        <f t="shared" si="3"/>
        <v>906</v>
      </c>
      <c r="H69" s="8">
        <f t="shared" si="4"/>
        <v>629</v>
      </c>
      <c r="I69" s="8">
        <f t="shared" si="5"/>
        <v>277</v>
      </c>
      <c r="J69" s="8"/>
      <c r="K69" s="8"/>
    </row>
    <row r="70" spans="1:11" x14ac:dyDescent="0.2">
      <c r="A70" s="4" t="s">
        <v>147</v>
      </c>
      <c r="B70" s="4" t="s">
        <v>148</v>
      </c>
      <c r="C70" s="8">
        <f>VLOOKUP(A70,Sheet1!$B$2:$O$95,14,0)</f>
        <v>8778</v>
      </c>
      <c r="D70" s="8">
        <f>VLOOKUP($A70,Sheet1!$B$2:$O$95,11,0)</f>
        <v>6145</v>
      </c>
      <c r="E70" s="8">
        <f>VLOOKUP($A70,Sheet1!$B$2:$O$95,11,0)</f>
        <v>6145</v>
      </c>
      <c r="F70" s="8">
        <f>VLOOKUP($A70,Sheet1!$B$2:$O$95,11,0)</f>
        <v>6145</v>
      </c>
      <c r="G70" s="8">
        <f t="shared" si="3"/>
        <v>737</v>
      </c>
      <c r="H70" s="8">
        <f t="shared" si="4"/>
        <v>512</v>
      </c>
      <c r="I70" s="8">
        <f t="shared" si="5"/>
        <v>225</v>
      </c>
      <c r="J70" s="8"/>
      <c r="K70" s="8"/>
    </row>
    <row r="71" spans="1:11" x14ac:dyDescent="0.2">
      <c r="A71" s="4" t="s">
        <v>149</v>
      </c>
      <c r="B71" s="4" t="s">
        <v>150</v>
      </c>
      <c r="C71" s="8">
        <f>VLOOKUP(A71,Sheet1!$B$2:$O$95,14,0)</f>
        <v>7567</v>
      </c>
      <c r="D71" s="8">
        <f>VLOOKUP($A71,Sheet1!$B$2:$O$95,11,0)</f>
        <v>5297</v>
      </c>
      <c r="E71" s="8">
        <f>VLOOKUP($A71,Sheet1!$B$2:$O$95,11,0)</f>
        <v>5297</v>
      </c>
      <c r="F71" s="8">
        <f>VLOOKUP($A71,Sheet1!$B$2:$O$95,11,0)</f>
        <v>5297</v>
      </c>
      <c r="G71" s="8">
        <f t="shared" si="3"/>
        <v>636</v>
      </c>
      <c r="H71" s="8">
        <f t="shared" si="4"/>
        <v>441</v>
      </c>
      <c r="I71" s="8">
        <f t="shared" si="5"/>
        <v>195</v>
      </c>
      <c r="J71" s="8"/>
      <c r="K71" s="8"/>
    </row>
    <row r="72" spans="1:11" x14ac:dyDescent="0.2">
      <c r="A72" s="4" t="s">
        <v>151</v>
      </c>
      <c r="B72" s="4" t="s">
        <v>152</v>
      </c>
      <c r="C72" s="8">
        <f>VLOOKUP(A72,Sheet1!$B$2:$O$95,14,0)</f>
        <v>5500</v>
      </c>
      <c r="D72" s="8">
        <f>VLOOKUP($A72,Sheet1!$B$2:$O$95,11,0)</f>
        <v>2800</v>
      </c>
      <c r="E72" s="8">
        <f>VLOOKUP($A72,Sheet1!$B$2:$O$95,11,0)</f>
        <v>2800</v>
      </c>
      <c r="F72" s="8">
        <f>VLOOKUP($A72,Sheet1!$B$2:$O$95,11,0)</f>
        <v>2800</v>
      </c>
      <c r="G72" s="8">
        <f t="shared" si="3"/>
        <v>336</v>
      </c>
      <c r="H72" s="8">
        <f t="shared" si="4"/>
        <v>233</v>
      </c>
      <c r="I72" s="8">
        <f t="shared" si="5"/>
        <v>103</v>
      </c>
      <c r="J72" s="8"/>
      <c r="K72" s="8"/>
    </row>
    <row r="73" spans="1:11" x14ac:dyDescent="0.2">
      <c r="A73" s="4" t="s">
        <v>153</v>
      </c>
      <c r="B73" s="4" t="s">
        <v>154</v>
      </c>
      <c r="C73" s="8">
        <f>VLOOKUP(A73,Sheet1!$B$2:$O$95,14,0)</f>
        <v>6675</v>
      </c>
      <c r="D73" s="8">
        <f>VLOOKUP($A73,Sheet1!$B$2:$O$95,11,0)</f>
        <v>6675</v>
      </c>
      <c r="E73" s="8">
        <f>VLOOKUP($A73,Sheet1!$B$2:$O$95,11,0)</f>
        <v>6675</v>
      </c>
      <c r="F73" s="8">
        <f>VLOOKUP($A73,Sheet1!$B$2:$O$95,11,0)</f>
        <v>6675</v>
      </c>
      <c r="G73" s="8">
        <f t="shared" si="3"/>
        <v>801</v>
      </c>
      <c r="H73" s="8">
        <f t="shared" si="4"/>
        <v>556</v>
      </c>
      <c r="I73" s="8">
        <f t="shared" si="5"/>
        <v>245</v>
      </c>
      <c r="J73" s="8"/>
      <c r="K73" s="8"/>
    </row>
    <row r="74" spans="1:11" x14ac:dyDescent="0.2">
      <c r="A74" s="4" t="s">
        <v>155</v>
      </c>
      <c r="B74" s="4" t="s">
        <v>156</v>
      </c>
      <c r="C74" s="8">
        <f>VLOOKUP(A74,Sheet1!$B$2:$O$95,14,0)</f>
        <v>5400</v>
      </c>
      <c r="D74" s="8">
        <f>VLOOKUP($A74,Sheet1!$B$2:$O$95,11,0)</f>
        <v>4590</v>
      </c>
      <c r="E74" s="8">
        <f>VLOOKUP($A74,Sheet1!$B$2:$O$95,11,0)</f>
        <v>4590</v>
      </c>
      <c r="F74" s="8">
        <f>VLOOKUP($A74,Sheet1!$B$2:$O$95,11,0)</f>
        <v>4590</v>
      </c>
      <c r="G74" s="8">
        <f t="shared" si="3"/>
        <v>551</v>
      </c>
      <c r="H74" s="8">
        <f t="shared" si="4"/>
        <v>382</v>
      </c>
      <c r="I74" s="8">
        <f t="shared" si="5"/>
        <v>169</v>
      </c>
      <c r="J74" s="8"/>
      <c r="K74" s="8"/>
    </row>
    <row r="75" spans="1:11" x14ac:dyDescent="0.2">
      <c r="A75" s="4" t="s">
        <v>157</v>
      </c>
      <c r="B75" s="4" t="s">
        <v>158</v>
      </c>
      <c r="C75" s="8">
        <f>VLOOKUP(A75,Sheet1!$B$2:$O$95,14,0)</f>
        <v>7477</v>
      </c>
      <c r="D75" s="8">
        <f>VLOOKUP($A75,Sheet1!$B$2:$O$95,11,0)</f>
        <v>7381</v>
      </c>
      <c r="E75" s="8">
        <f>VLOOKUP($A75,Sheet1!$B$2:$O$95,11,0)</f>
        <v>7381</v>
      </c>
      <c r="F75" s="8">
        <f>VLOOKUP($A75,Sheet1!$B$2:$O$95,11,0)</f>
        <v>7381</v>
      </c>
      <c r="G75" s="8">
        <f t="shared" si="3"/>
        <v>886</v>
      </c>
      <c r="H75" s="8">
        <f t="shared" si="4"/>
        <v>615</v>
      </c>
      <c r="I75" s="8">
        <f t="shared" si="5"/>
        <v>271</v>
      </c>
      <c r="J75" s="8"/>
      <c r="K75" s="8"/>
    </row>
    <row r="76" spans="1:11" x14ac:dyDescent="0.2">
      <c r="A76" s="4" t="s">
        <v>159</v>
      </c>
      <c r="B76" s="4" t="s">
        <v>160</v>
      </c>
      <c r="C76" s="8">
        <f>VLOOKUP(A76,Sheet1!$B$2:$O$95,14,0)</f>
        <v>0</v>
      </c>
      <c r="D76" s="8">
        <f>VLOOKUP($A76,Sheet1!$B$2:$O$95,11,0)</f>
        <v>0</v>
      </c>
      <c r="E76" s="8">
        <f>VLOOKUP($A76,Sheet1!$B$2:$O$95,11,0)</f>
        <v>0</v>
      </c>
      <c r="F76" s="8">
        <f>VLOOKUP($A76,Sheet1!$B$2:$O$95,11,0)</f>
        <v>0</v>
      </c>
      <c r="G76" s="8">
        <f t="shared" si="3"/>
        <v>0</v>
      </c>
      <c r="H76" s="8">
        <f t="shared" si="4"/>
        <v>0</v>
      </c>
      <c r="I76" s="8">
        <f t="shared" si="5"/>
        <v>0</v>
      </c>
      <c r="J76" s="8">
        <v>28</v>
      </c>
      <c r="K76" s="8"/>
    </row>
    <row r="77" spans="1:11" x14ac:dyDescent="0.2">
      <c r="A77" s="4" t="s">
        <v>161</v>
      </c>
      <c r="B77" s="4" t="s">
        <v>162</v>
      </c>
      <c r="C77" s="8">
        <f>VLOOKUP(A77,Sheet1!$B$2:$O$95,14,0)</f>
        <v>7567</v>
      </c>
      <c r="D77" s="8">
        <f>VLOOKUP($A77,Sheet1!$B$2:$O$95,11,0)</f>
        <v>5297</v>
      </c>
      <c r="E77" s="8">
        <f>VLOOKUP($A77,Sheet1!$B$2:$O$95,11,0)</f>
        <v>5297</v>
      </c>
      <c r="F77" s="8">
        <f>VLOOKUP($A77,Sheet1!$B$2:$O$95,11,0)</f>
        <v>5297</v>
      </c>
      <c r="G77" s="8">
        <f t="shared" si="3"/>
        <v>636</v>
      </c>
      <c r="H77" s="8">
        <f t="shared" si="4"/>
        <v>441</v>
      </c>
      <c r="I77" s="8">
        <f t="shared" si="5"/>
        <v>195</v>
      </c>
      <c r="J77" s="8"/>
      <c r="K77" s="8"/>
    </row>
    <row r="78" spans="1:11" x14ac:dyDescent="0.2">
      <c r="A78" s="4" t="s">
        <v>163</v>
      </c>
      <c r="B78" s="4" t="s">
        <v>164</v>
      </c>
      <c r="C78" s="8">
        <f>VLOOKUP(A78,Sheet1!$B$2:$O$95,14,0)</f>
        <v>6670</v>
      </c>
      <c r="D78" s="8">
        <f>VLOOKUP($A78,Sheet1!$B$2:$O$95,11,0)</f>
        <v>4420</v>
      </c>
      <c r="E78" s="8">
        <f>VLOOKUP($A78,Sheet1!$B$2:$O$95,11,0)</f>
        <v>4420</v>
      </c>
      <c r="F78" s="8">
        <f>VLOOKUP($A78,Sheet1!$B$2:$O$95,11,0)</f>
        <v>4420</v>
      </c>
      <c r="G78" s="8">
        <f t="shared" si="3"/>
        <v>530</v>
      </c>
      <c r="H78" s="8">
        <f t="shared" si="4"/>
        <v>368</v>
      </c>
      <c r="I78" s="8">
        <f t="shared" si="5"/>
        <v>162</v>
      </c>
      <c r="J78" s="8"/>
      <c r="K78" s="8"/>
    </row>
    <row r="79" spans="1:11" x14ac:dyDescent="0.2">
      <c r="A79" s="4" t="s">
        <v>165</v>
      </c>
      <c r="B79" s="4" t="s">
        <v>166</v>
      </c>
      <c r="C79" s="8">
        <f>VLOOKUP(A79,Sheet1!$B$2:$O$95,14,0)</f>
        <v>6675</v>
      </c>
      <c r="D79" s="8">
        <f>VLOOKUP($A79,Sheet1!$B$2:$O$95,11,0)</f>
        <v>6675</v>
      </c>
      <c r="E79" s="8">
        <f>VLOOKUP($A79,Sheet1!$B$2:$O$95,11,0)</f>
        <v>6675</v>
      </c>
      <c r="F79" s="8">
        <f>VLOOKUP($A79,Sheet1!$B$2:$O$95,11,0)</f>
        <v>6675</v>
      </c>
      <c r="G79" s="8">
        <f t="shared" si="3"/>
        <v>801</v>
      </c>
      <c r="H79" s="8">
        <f t="shared" si="4"/>
        <v>556</v>
      </c>
      <c r="I79" s="8">
        <f t="shared" si="5"/>
        <v>245</v>
      </c>
      <c r="J79" s="8"/>
      <c r="K79" s="8"/>
    </row>
    <row r="80" spans="1:11" x14ac:dyDescent="0.2">
      <c r="A80" s="4" t="s">
        <v>167</v>
      </c>
      <c r="B80" s="4" t="s">
        <v>168</v>
      </c>
      <c r="C80" s="8">
        <f>VLOOKUP(A80,Sheet1!$B$2:$O$95,14,0)</f>
        <v>11415</v>
      </c>
      <c r="D80" s="8">
        <f>VLOOKUP($A80,Sheet1!$B$2:$O$95,11,0)</f>
        <v>9132</v>
      </c>
      <c r="E80" s="8">
        <f>VLOOKUP($A80,Sheet1!$B$2:$O$95,11,0)</f>
        <v>9132</v>
      </c>
      <c r="F80" s="8">
        <f>VLOOKUP($A80,Sheet1!$B$2:$O$95,11,0)</f>
        <v>9132</v>
      </c>
      <c r="G80" s="8">
        <f t="shared" si="3"/>
        <v>1096</v>
      </c>
      <c r="H80" s="8">
        <f t="shared" si="4"/>
        <v>761</v>
      </c>
      <c r="I80" s="8">
        <f t="shared" si="5"/>
        <v>335</v>
      </c>
      <c r="J80" s="8"/>
      <c r="K80" s="8"/>
    </row>
    <row r="81" spans="1:11" x14ac:dyDescent="0.2">
      <c r="A81" s="4" t="s">
        <v>169</v>
      </c>
      <c r="B81" s="4" t="s">
        <v>170</v>
      </c>
      <c r="C81" s="8">
        <f>VLOOKUP(A81,Sheet1!$B$2:$O$95,14,0)</f>
        <v>8778</v>
      </c>
      <c r="D81" s="8">
        <f>VLOOKUP($A81,Sheet1!$B$2:$O$95,11,0)</f>
        <v>6145</v>
      </c>
      <c r="E81" s="8">
        <f>VLOOKUP($A81,Sheet1!$B$2:$O$95,11,0)</f>
        <v>6145</v>
      </c>
      <c r="F81" s="8">
        <f>VLOOKUP($A81,Sheet1!$B$2:$O$95,11,0)</f>
        <v>6145</v>
      </c>
      <c r="G81" s="8">
        <f t="shared" si="3"/>
        <v>737</v>
      </c>
      <c r="H81" s="8">
        <f t="shared" si="4"/>
        <v>512</v>
      </c>
      <c r="I81" s="8">
        <f t="shared" si="5"/>
        <v>225</v>
      </c>
      <c r="J81" s="8"/>
      <c r="K81" s="8"/>
    </row>
    <row r="82" spans="1:11" x14ac:dyDescent="0.2">
      <c r="A82" s="4" t="s">
        <v>171</v>
      </c>
      <c r="B82" s="4" t="s">
        <v>172</v>
      </c>
      <c r="C82" s="8">
        <f>VLOOKUP(A82,Sheet1!$B$2:$O$95,14,0)</f>
        <v>8476</v>
      </c>
      <c r="D82" s="8">
        <f>VLOOKUP($A82,Sheet1!$B$2:$O$95,11,0)</f>
        <v>5933</v>
      </c>
      <c r="E82" s="8">
        <f>VLOOKUP($A82,Sheet1!$B$2:$O$95,11,0)</f>
        <v>5933</v>
      </c>
      <c r="F82" s="8">
        <f>VLOOKUP($A82,Sheet1!$B$2:$O$95,11,0)</f>
        <v>5933</v>
      </c>
      <c r="G82" s="8">
        <f t="shared" si="3"/>
        <v>712</v>
      </c>
      <c r="H82" s="8">
        <f t="shared" si="4"/>
        <v>494</v>
      </c>
      <c r="I82" s="8">
        <f t="shared" si="5"/>
        <v>218</v>
      </c>
      <c r="J82" s="8"/>
      <c r="K82" s="8"/>
    </row>
    <row r="83" spans="1:11" x14ac:dyDescent="0.2">
      <c r="A83" s="4" t="s">
        <v>173</v>
      </c>
      <c r="B83" s="4" t="s">
        <v>174</v>
      </c>
      <c r="C83" s="8">
        <f>VLOOKUP(A83,Sheet1!$B$2:$O$95,14,0)</f>
        <v>6966</v>
      </c>
      <c r="D83" s="8">
        <f>VLOOKUP($A83,Sheet1!$B$2:$O$95,11,0)</f>
        <v>6966</v>
      </c>
      <c r="E83" s="8">
        <f>VLOOKUP($A83,Sheet1!$B$2:$O$95,11,0)</f>
        <v>6966</v>
      </c>
      <c r="F83" s="8">
        <f>VLOOKUP($A83,Sheet1!$B$2:$O$95,11,0)</f>
        <v>6966</v>
      </c>
      <c r="G83" s="8">
        <f t="shared" si="3"/>
        <v>836</v>
      </c>
      <c r="H83" s="8">
        <f t="shared" si="4"/>
        <v>580</v>
      </c>
      <c r="I83" s="8">
        <f t="shared" si="5"/>
        <v>256</v>
      </c>
      <c r="J83" s="8"/>
      <c r="K83" s="8"/>
    </row>
    <row r="84" spans="1:11" x14ac:dyDescent="0.2">
      <c r="A84" s="4" t="s">
        <v>175</v>
      </c>
      <c r="B84" s="4" t="s">
        <v>176</v>
      </c>
      <c r="C84" s="8">
        <f>VLOOKUP(A84,Sheet1!$B$2:$O$95,14,0)</f>
        <v>6675</v>
      </c>
      <c r="D84" s="8">
        <f>VLOOKUP($A84,Sheet1!$B$2:$O$95,11,0)</f>
        <v>6675</v>
      </c>
      <c r="E84" s="8">
        <f>VLOOKUP($A84,Sheet1!$B$2:$O$95,11,0)</f>
        <v>6675</v>
      </c>
      <c r="F84" s="8">
        <f>VLOOKUP($A84,Sheet1!$B$2:$O$95,11,0)</f>
        <v>6675</v>
      </c>
      <c r="G84" s="8">
        <f t="shared" si="3"/>
        <v>801</v>
      </c>
      <c r="H84" s="8">
        <f t="shared" si="4"/>
        <v>556</v>
      </c>
      <c r="I84" s="8">
        <f t="shared" si="5"/>
        <v>245</v>
      </c>
      <c r="J84" s="8"/>
      <c r="K84" s="8"/>
    </row>
    <row r="85" spans="1:11" x14ac:dyDescent="0.2">
      <c r="A85" s="4" t="s">
        <v>177</v>
      </c>
      <c r="B85" s="4" t="s">
        <v>178</v>
      </c>
      <c r="C85" s="8">
        <f>VLOOKUP(A85,Sheet1!$B$2:$O$95,14,0)</f>
        <v>9433</v>
      </c>
      <c r="D85" s="8">
        <f>VLOOKUP($A85,Sheet1!$B$2:$O$95,11,0)</f>
        <v>7546</v>
      </c>
      <c r="E85" s="8">
        <f>VLOOKUP($A85,Sheet1!$B$2:$O$95,11,0)</f>
        <v>7546</v>
      </c>
      <c r="F85" s="8">
        <f>VLOOKUP($A85,Sheet1!$B$2:$O$95,11,0)</f>
        <v>7546</v>
      </c>
      <c r="G85" s="8">
        <f t="shared" si="3"/>
        <v>906</v>
      </c>
      <c r="H85" s="8">
        <f t="shared" si="4"/>
        <v>629</v>
      </c>
      <c r="I85" s="8">
        <f t="shared" si="5"/>
        <v>277</v>
      </c>
      <c r="J85" s="8"/>
      <c r="K85" s="8"/>
    </row>
    <row r="86" spans="1:11" x14ac:dyDescent="0.2">
      <c r="A86" s="4" t="s">
        <v>179</v>
      </c>
      <c r="B86" s="4" t="s">
        <v>180</v>
      </c>
      <c r="C86" s="8">
        <f>VLOOKUP(A86,Sheet1!$B$2:$O$95,14,0)</f>
        <v>4146</v>
      </c>
      <c r="D86" s="8">
        <f>VLOOKUP($A86,Sheet1!$B$2:$O$95,11,0)</f>
        <v>2073</v>
      </c>
      <c r="E86" s="8">
        <f>VLOOKUP($A86,Sheet1!$B$2:$O$95,11,0)</f>
        <v>2073</v>
      </c>
      <c r="F86" s="8">
        <f>VLOOKUP($A86,Sheet1!$B$2:$O$95,11,0)</f>
        <v>2073</v>
      </c>
      <c r="G86" s="8">
        <f t="shared" si="3"/>
        <v>249</v>
      </c>
      <c r="H86" s="8">
        <f t="shared" si="4"/>
        <v>173</v>
      </c>
      <c r="I86" s="8">
        <f t="shared" si="5"/>
        <v>76</v>
      </c>
      <c r="J86" s="8"/>
      <c r="K86" s="8"/>
    </row>
    <row r="87" spans="1:11" x14ac:dyDescent="0.2">
      <c r="A87" s="4" t="s">
        <v>181</v>
      </c>
      <c r="B87" s="4" t="s">
        <v>182</v>
      </c>
      <c r="C87" s="8">
        <f>VLOOKUP(A87,Sheet1!$B$2:$O$95,14,0)</f>
        <v>7619</v>
      </c>
      <c r="D87" s="8">
        <f>VLOOKUP($A87,Sheet1!$B$2:$O$95,11,0)</f>
        <v>6095</v>
      </c>
      <c r="E87" s="8">
        <f>VLOOKUP($A87,Sheet1!$B$2:$O$95,11,0)</f>
        <v>6095</v>
      </c>
      <c r="F87" s="8">
        <f>VLOOKUP($A87,Sheet1!$B$2:$O$95,11,0)</f>
        <v>6095</v>
      </c>
      <c r="G87" s="8">
        <f t="shared" si="3"/>
        <v>731</v>
      </c>
      <c r="H87" s="8">
        <f t="shared" si="4"/>
        <v>508</v>
      </c>
      <c r="I87" s="8">
        <f t="shared" si="5"/>
        <v>223</v>
      </c>
      <c r="J87" s="8"/>
      <c r="K87" s="8"/>
    </row>
    <row r="88" spans="1:11" x14ac:dyDescent="0.2">
      <c r="A88" s="4" t="s">
        <v>183</v>
      </c>
      <c r="B88" s="4" t="s">
        <v>184</v>
      </c>
      <c r="C88" s="8">
        <f>VLOOKUP(A88,Sheet1!$B$2:$O$95,14,0)</f>
        <v>7870</v>
      </c>
      <c r="D88" s="8">
        <f>VLOOKUP($A88,Sheet1!$B$2:$O$95,11,0)</f>
        <v>5509</v>
      </c>
      <c r="E88" s="8">
        <f>VLOOKUP($A88,Sheet1!$B$2:$O$95,11,0)</f>
        <v>5509</v>
      </c>
      <c r="F88" s="8">
        <f>VLOOKUP($A88,Sheet1!$B$2:$O$95,11,0)</f>
        <v>5509</v>
      </c>
      <c r="G88" s="8">
        <f t="shared" si="3"/>
        <v>661</v>
      </c>
      <c r="H88" s="8">
        <f t="shared" si="4"/>
        <v>459</v>
      </c>
      <c r="I88" s="8">
        <f t="shared" si="5"/>
        <v>202</v>
      </c>
      <c r="J88" s="8"/>
      <c r="K88" s="8"/>
    </row>
    <row r="89" spans="1:11" x14ac:dyDescent="0.2">
      <c r="A89" s="4" t="s">
        <v>185</v>
      </c>
      <c r="B89" s="4" t="s">
        <v>186</v>
      </c>
      <c r="C89" s="8">
        <f>VLOOKUP(A89,Sheet1!$B$2:$O$95,14,0)</f>
        <v>8708</v>
      </c>
      <c r="D89" s="8">
        <f>VLOOKUP($A89,Sheet1!$B$2:$O$95,11,0)</f>
        <v>6966</v>
      </c>
      <c r="E89" s="8">
        <f>VLOOKUP($A89,Sheet1!$B$2:$O$95,11,0)</f>
        <v>6966</v>
      </c>
      <c r="F89" s="8">
        <f>VLOOKUP($A89,Sheet1!$B$2:$O$95,11,0)</f>
        <v>6966</v>
      </c>
      <c r="G89" s="8">
        <f t="shared" si="3"/>
        <v>836</v>
      </c>
      <c r="H89" s="8">
        <f t="shared" si="4"/>
        <v>580</v>
      </c>
      <c r="I89" s="8">
        <f t="shared" si="5"/>
        <v>256</v>
      </c>
      <c r="J89" s="8"/>
      <c r="K89" s="8"/>
    </row>
    <row r="90" spans="1:11" x14ac:dyDescent="0.2">
      <c r="A90" s="4" t="s">
        <v>187</v>
      </c>
      <c r="B90" s="4" t="s">
        <v>188</v>
      </c>
      <c r="C90" s="8">
        <f>VLOOKUP(A90,Sheet1!$B$2:$O$95,14,0)</f>
        <v>8304</v>
      </c>
      <c r="D90" s="8">
        <f>VLOOKUP($A90,Sheet1!$B$2:$O$95,11,0)</f>
        <v>4982</v>
      </c>
      <c r="E90" s="8">
        <f>VLOOKUP($A90,Sheet1!$B$2:$O$95,11,0)</f>
        <v>4982</v>
      </c>
      <c r="F90" s="8">
        <f>VLOOKUP($A90,Sheet1!$B$2:$O$95,11,0)</f>
        <v>4982</v>
      </c>
      <c r="G90" s="8">
        <f t="shared" si="3"/>
        <v>598</v>
      </c>
      <c r="H90" s="8">
        <f t="shared" si="4"/>
        <v>415</v>
      </c>
      <c r="I90" s="8">
        <f t="shared" si="5"/>
        <v>183</v>
      </c>
      <c r="J90" s="8"/>
      <c r="K90" s="8"/>
    </row>
    <row r="91" spans="1:11" x14ac:dyDescent="0.2">
      <c r="A91" s="4" t="s">
        <v>189</v>
      </c>
      <c r="B91" s="4" t="s">
        <v>190</v>
      </c>
      <c r="C91" s="8">
        <f>VLOOKUP(A91,Sheet1!$B$2:$O$95,14,0)</f>
        <v>6670</v>
      </c>
      <c r="D91" s="8">
        <f>VLOOKUP($A91,Sheet1!$B$2:$O$95,11,0)</f>
        <v>4420</v>
      </c>
      <c r="E91" s="8">
        <f>VLOOKUP($A91,Sheet1!$B$2:$O$95,11,0)</f>
        <v>4420</v>
      </c>
      <c r="F91" s="8">
        <f>VLOOKUP($A91,Sheet1!$B$2:$O$95,11,0)</f>
        <v>4420</v>
      </c>
      <c r="G91" s="8">
        <f t="shared" si="3"/>
        <v>530</v>
      </c>
      <c r="H91" s="8">
        <f t="shared" si="4"/>
        <v>368</v>
      </c>
      <c r="I91" s="8">
        <f t="shared" si="5"/>
        <v>162</v>
      </c>
      <c r="J91" s="8"/>
      <c r="K91" s="8"/>
    </row>
    <row r="92" spans="1:11" x14ac:dyDescent="0.2">
      <c r="A92" s="4" t="s">
        <v>191</v>
      </c>
      <c r="B92" s="4" t="s">
        <v>192</v>
      </c>
      <c r="C92" s="8">
        <f>VLOOKUP(A92,Sheet1!$B$2:$O$95,14,0)</f>
        <v>7264</v>
      </c>
      <c r="D92" s="8">
        <f>VLOOKUP($A92,Sheet1!$B$2:$O$95,11,0)</f>
        <v>5085</v>
      </c>
      <c r="E92" s="8">
        <f>VLOOKUP($A92,Sheet1!$B$2:$O$95,11,0)</f>
        <v>5085</v>
      </c>
      <c r="F92" s="8">
        <f>VLOOKUP($A92,Sheet1!$B$2:$O$95,11,0)</f>
        <v>5085</v>
      </c>
      <c r="G92" s="8">
        <f t="shared" si="3"/>
        <v>610</v>
      </c>
      <c r="H92" s="8">
        <f t="shared" si="4"/>
        <v>424</v>
      </c>
      <c r="I92" s="8">
        <f t="shared" si="5"/>
        <v>186</v>
      </c>
      <c r="J92" s="8"/>
      <c r="K92" s="8"/>
    </row>
    <row r="93" spans="1:11" x14ac:dyDescent="0.2">
      <c r="A93" s="4" t="s">
        <v>193</v>
      </c>
      <c r="B93" s="4" t="s">
        <v>194</v>
      </c>
      <c r="C93" s="8">
        <f>VLOOKUP(A93,Sheet1!$B$2:$O$95,14,0)</f>
        <v>4000</v>
      </c>
      <c r="D93" s="8">
        <f>VLOOKUP($A93,Sheet1!$B$2:$O$95,11,0)</f>
        <v>2500</v>
      </c>
      <c r="E93" s="8">
        <f>VLOOKUP($A93,Sheet1!$B$2:$O$95,11,0)</f>
        <v>2500</v>
      </c>
      <c r="F93" s="8">
        <f>VLOOKUP($A93,Sheet1!$B$2:$O$95,11,0)</f>
        <v>2500</v>
      </c>
      <c r="G93" s="8">
        <f t="shared" si="3"/>
        <v>300</v>
      </c>
      <c r="H93" s="8">
        <f t="shared" si="4"/>
        <v>208</v>
      </c>
      <c r="I93" s="8">
        <f t="shared" si="5"/>
        <v>92</v>
      </c>
      <c r="J93" s="8"/>
      <c r="K93" s="8"/>
    </row>
    <row r="94" spans="1:11" x14ac:dyDescent="0.2">
      <c r="A94" s="4" t="s">
        <v>195</v>
      </c>
      <c r="B94" s="4" t="s">
        <v>196</v>
      </c>
      <c r="C94" s="8">
        <f>VLOOKUP(A94,Sheet1!$B$2:$O$95,14,0)</f>
        <v>8202</v>
      </c>
      <c r="D94" s="8">
        <f>VLOOKUP($A94,Sheet1!$B$2:$O$95,11,0)</f>
        <v>8202</v>
      </c>
      <c r="E94" s="8">
        <f>VLOOKUP($A94,Sheet1!$B$2:$O$95,11,0)</f>
        <v>8202</v>
      </c>
      <c r="F94" s="8">
        <f>VLOOKUP($A94,Sheet1!$B$2:$O$95,11,0)</f>
        <v>8202</v>
      </c>
      <c r="G94" s="8">
        <f t="shared" si="3"/>
        <v>984</v>
      </c>
      <c r="H94" s="8">
        <f t="shared" si="4"/>
        <v>683</v>
      </c>
      <c r="I94" s="8">
        <f t="shared" si="5"/>
        <v>301</v>
      </c>
      <c r="J94" s="8"/>
      <c r="K94" s="8"/>
    </row>
    <row r="95" spans="1:11" x14ac:dyDescent="0.2">
      <c r="C95" s="1">
        <f t="shared" ref="C95:I95" si="6">SUM(C2:C94)</f>
        <v>578633</v>
      </c>
      <c r="D95" s="1">
        <f t="shared" si="6"/>
        <v>457784</v>
      </c>
      <c r="E95" s="1">
        <f t="shared" si="6"/>
        <v>457784</v>
      </c>
      <c r="F95" s="1">
        <f t="shared" si="6"/>
        <v>457784</v>
      </c>
      <c r="G95" s="7">
        <f t="shared" si="3"/>
        <v>54934</v>
      </c>
      <c r="H95" s="7">
        <f t="shared" si="4"/>
        <v>38133</v>
      </c>
      <c r="I95" s="1">
        <f t="shared" si="6"/>
        <v>16806</v>
      </c>
    </row>
    <row r="98" spans="7:7" x14ac:dyDescent="0.2">
      <c r="G98" s="1">
        <f>F95*12%</f>
        <v>54934.079999999994</v>
      </c>
    </row>
  </sheetData>
  <autoFilter ref="C1:C95"/>
  <pageMargins left="0.75" right="0.75" top="1" bottom="1" header="0.5" footer="0.5"/>
  <pageSetup orientation="portrait" horizontalDpi="300" verticalDpi="300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H97"/>
  <sheetViews>
    <sheetView workbookViewId="0">
      <pane xSplit="4" ySplit="2" topLeftCell="E3" activePane="bottomRight" state="frozen"/>
      <selection pane="topRight" activeCell="E1" sqref="E1"/>
      <selection pane="bottomLeft" activeCell="A2" sqref="A2"/>
      <selection pane="bottomRight" activeCell="J102" sqref="J102"/>
    </sheetView>
  </sheetViews>
  <sheetFormatPr defaultRowHeight="12.75" x14ac:dyDescent="0.2"/>
  <cols>
    <col min="1" max="1" width="10.140625" style="16" bestFit="1" customWidth="1"/>
    <col min="2" max="2" width="11.28515625" style="17" bestFit="1" customWidth="1"/>
    <col min="3" max="3" width="21.5703125" style="17" bestFit="1" customWidth="1"/>
    <col min="4" max="4" width="12" style="17" bestFit="1" customWidth="1"/>
    <col min="5" max="5" width="14.28515625" style="17" bestFit="1" customWidth="1"/>
    <col min="6" max="6" width="9.28515625" style="17" bestFit="1" customWidth="1"/>
    <col min="7" max="7" width="10.42578125" style="17" customWidth="1"/>
    <col min="8" max="8" width="9.140625" style="17"/>
    <col min="9" max="9" width="7.28515625" style="17" customWidth="1"/>
    <col min="10" max="11" width="9.42578125" style="17" bestFit="1" customWidth="1"/>
    <col min="12" max="12" width="10.42578125" style="22" bestFit="1" customWidth="1"/>
    <col min="13" max="13" width="10.28515625" style="22" bestFit="1" customWidth="1"/>
    <col min="14" max="14" width="9.42578125" style="22" bestFit="1" customWidth="1"/>
    <col min="15" max="15" width="11.28515625" style="22" bestFit="1" customWidth="1"/>
    <col min="16" max="17" width="9.140625" style="17"/>
    <col min="18" max="18" width="11.140625" style="17" customWidth="1"/>
    <col min="19" max="19" width="9.140625" style="17"/>
    <col min="20" max="20" width="11" style="17" customWidth="1"/>
    <col min="21" max="25" width="9.140625" style="17"/>
    <col min="26" max="26" width="12" style="17" customWidth="1"/>
    <col min="27" max="27" width="9.140625" style="17"/>
    <col min="28" max="28" width="10.85546875" style="17" customWidth="1"/>
    <col min="29" max="16384" width="9.140625" style="17"/>
  </cols>
  <sheetData>
    <row r="1" spans="1:34" x14ac:dyDescent="0.2">
      <c r="B1" s="17">
        <v>1</v>
      </c>
      <c r="C1" s="17">
        <v>2</v>
      </c>
      <c r="D1" s="17">
        <v>3</v>
      </c>
      <c r="E1" s="17">
        <v>4</v>
      </c>
      <c r="F1" s="17">
        <v>5</v>
      </c>
      <c r="G1" s="17">
        <v>6</v>
      </c>
      <c r="H1" s="17">
        <v>7</v>
      </c>
      <c r="I1" s="17">
        <v>8</v>
      </c>
      <c r="J1" s="17">
        <v>9</v>
      </c>
      <c r="K1" s="17">
        <v>10</v>
      </c>
      <c r="L1" s="17">
        <v>11</v>
      </c>
      <c r="M1" s="17">
        <v>12</v>
      </c>
      <c r="N1" s="17">
        <v>13</v>
      </c>
      <c r="O1" s="17">
        <v>14</v>
      </c>
    </row>
    <row r="2" spans="1:34" s="18" customFormat="1" ht="36" x14ac:dyDescent="0.2">
      <c r="A2" s="14" t="s">
        <v>219</v>
      </c>
      <c r="B2" s="14" t="s">
        <v>0</v>
      </c>
      <c r="C2" s="14" t="s">
        <v>1</v>
      </c>
      <c r="D2" s="14" t="s">
        <v>217</v>
      </c>
      <c r="E2" s="14" t="s">
        <v>218</v>
      </c>
      <c r="F2" s="14" t="s">
        <v>197</v>
      </c>
      <c r="G2" s="14" t="s">
        <v>198</v>
      </c>
      <c r="H2" s="14" t="s">
        <v>199</v>
      </c>
      <c r="I2" s="14" t="s">
        <v>200</v>
      </c>
      <c r="J2" s="14" t="s">
        <v>201</v>
      </c>
      <c r="K2" s="14" t="s">
        <v>202</v>
      </c>
      <c r="L2" s="15" t="s">
        <v>203</v>
      </c>
      <c r="M2" s="15" t="s">
        <v>204</v>
      </c>
      <c r="N2" s="15" t="s">
        <v>205</v>
      </c>
      <c r="O2" s="15" t="s">
        <v>206</v>
      </c>
      <c r="P2" s="15" t="s">
        <v>227</v>
      </c>
      <c r="Q2" s="15" t="s">
        <v>228</v>
      </c>
      <c r="R2" s="15" t="s">
        <v>229</v>
      </c>
      <c r="S2" s="15" t="s">
        <v>230</v>
      </c>
      <c r="T2" s="15" t="s">
        <v>231</v>
      </c>
      <c r="U2" s="15" t="s">
        <v>232</v>
      </c>
      <c r="V2" s="15" t="s">
        <v>233</v>
      </c>
      <c r="W2" s="15" t="s">
        <v>234</v>
      </c>
      <c r="X2" s="15" t="s">
        <v>235</v>
      </c>
      <c r="Y2" s="15" t="s">
        <v>236</v>
      </c>
      <c r="Z2" s="15" t="s">
        <v>237</v>
      </c>
      <c r="AA2" s="15" t="s">
        <v>238</v>
      </c>
      <c r="AB2" s="15" t="s">
        <v>239</v>
      </c>
      <c r="AC2" s="15" t="s">
        <v>240</v>
      </c>
      <c r="AD2" s="15" t="s">
        <v>241</v>
      </c>
      <c r="AE2" s="15"/>
      <c r="AF2" s="15"/>
      <c r="AG2" s="15"/>
      <c r="AH2" s="15"/>
    </row>
    <row r="3" spans="1:34" ht="15.75" x14ac:dyDescent="0.2">
      <c r="A3" s="23">
        <v>1</v>
      </c>
      <c r="B3" s="24" t="s">
        <v>11</v>
      </c>
      <c r="C3" s="24" t="s">
        <v>12</v>
      </c>
      <c r="D3" s="24" t="s">
        <v>207</v>
      </c>
      <c r="E3" s="24" t="s">
        <v>221</v>
      </c>
      <c r="F3" s="9">
        <f>H3*70%</f>
        <v>5509</v>
      </c>
      <c r="G3" s="9">
        <f>H3-F3</f>
        <v>2361</v>
      </c>
      <c r="H3" s="6">
        <v>7870</v>
      </c>
      <c r="I3" s="9">
        <v>26</v>
      </c>
      <c r="J3" s="10">
        <v>26</v>
      </c>
      <c r="K3" s="10">
        <v>0</v>
      </c>
      <c r="L3" s="9">
        <f>ROUND(F3/I3*J3,0)</f>
        <v>5509</v>
      </c>
      <c r="M3" s="9">
        <f>G3/I3*J3</f>
        <v>2361</v>
      </c>
      <c r="N3" s="9">
        <f>H3/I3*K3</f>
        <v>0</v>
      </c>
      <c r="O3" s="11">
        <f>ROUND(L3+M3+N3,0)</f>
        <v>7870</v>
      </c>
      <c r="P3" s="9">
        <f>ROUND(Y3*12%,0)</f>
        <v>661</v>
      </c>
      <c r="Q3" s="9">
        <f>ROUNDUP(AA3*1.75%,0)</f>
        <v>138</v>
      </c>
      <c r="R3" s="9">
        <f>IF(O3&gt;40000,200,IF(O3&gt;25000,150,IF(O3&gt;15000,130,IF(O3&gt;10000,110,IF(O3&gt;8500,0,)))))</f>
        <v>0</v>
      </c>
      <c r="S3" s="9">
        <v>0</v>
      </c>
      <c r="T3" s="9">
        <v>0</v>
      </c>
      <c r="U3" s="12">
        <f>SUM(P3:T3)</f>
        <v>799</v>
      </c>
      <c r="V3" s="13">
        <f>O3-U3</f>
        <v>7071</v>
      </c>
      <c r="W3" s="9"/>
      <c r="X3" s="11"/>
      <c r="Y3" s="9">
        <f>ROUND(IF(($L3)&gt;15000,15000,IF(($L3)&lt;=15000,($L3))),0)</f>
        <v>5509</v>
      </c>
      <c r="Z3" s="9">
        <f>ROUND(Y3*13.36%,0)</f>
        <v>736</v>
      </c>
      <c r="AA3" s="9">
        <f>ROUND($H3/$I3*($J3+K3),0)</f>
        <v>7870</v>
      </c>
      <c r="AB3" s="9">
        <f>ROUNDUP(AA3*4.75%,0)</f>
        <v>374</v>
      </c>
    </row>
    <row r="4" spans="1:34" ht="15.75" x14ac:dyDescent="0.2">
      <c r="A4" s="23">
        <v>2</v>
      </c>
      <c r="B4" s="24" t="s">
        <v>13</v>
      </c>
      <c r="C4" s="24" t="s">
        <v>14</v>
      </c>
      <c r="D4" s="24" t="s">
        <v>207</v>
      </c>
      <c r="E4" s="24" t="s">
        <v>221</v>
      </c>
      <c r="F4" s="9">
        <f>H4*70%</f>
        <v>5509</v>
      </c>
      <c r="G4" s="9">
        <f>H4-F4</f>
        <v>2361</v>
      </c>
      <c r="H4" s="6">
        <v>7870</v>
      </c>
      <c r="I4" s="9">
        <v>26</v>
      </c>
      <c r="J4" s="10">
        <v>5</v>
      </c>
      <c r="K4" s="10">
        <v>0</v>
      </c>
      <c r="L4" s="9">
        <f t="shared" ref="L4:L67" si="0">ROUND(F4/I4*J4,0)</f>
        <v>1059</v>
      </c>
      <c r="M4" s="9">
        <f>G4/I4*J4</f>
        <v>454.03846153846155</v>
      </c>
      <c r="N4" s="9">
        <f>H4/I4*K4</f>
        <v>0</v>
      </c>
      <c r="O4" s="11">
        <f t="shared" ref="O4:O67" si="1">ROUND(L4+M4+N4,0)</f>
        <v>1513</v>
      </c>
      <c r="P4" s="9">
        <f t="shared" ref="P4:P67" si="2">ROUND(Y4*12%,0)</f>
        <v>127</v>
      </c>
      <c r="Q4" s="9">
        <f t="shared" ref="Q4:Q67" si="3">ROUNDUP(AA4*1.75%,0)</f>
        <v>27</v>
      </c>
      <c r="R4" s="9">
        <f t="shared" ref="R4:R67" si="4">IF(O4&gt;40000,200,IF(O4&gt;25000,150,IF(O4&gt;15000,130,IF(O4&gt;10000,110,IF(O4&gt;8500,0,)))))</f>
        <v>0</v>
      </c>
      <c r="S4" s="9">
        <v>0</v>
      </c>
      <c r="T4" s="9">
        <v>0</v>
      </c>
      <c r="U4" s="12">
        <f t="shared" ref="U4:U67" si="5">SUM(P4:T4)</f>
        <v>154</v>
      </c>
      <c r="V4" s="13">
        <f t="shared" ref="V4:V67" si="6">O4-U4</f>
        <v>1359</v>
      </c>
      <c r="W4" s="9"/>
      <c r="X4" s="11"/>
      <c r="Y4" s="9">
        <f t="shared" ref="Y4:Y67" si="7">ROUND(IF(($L4)&gt;15000,15000,IF(($L4)&lt;=15000,($L4))),0)</f>
        <v>1059</v>
      </c>
      <c r="Z4" s="9">
        <f t="shared" ref="Z4:Z67" si="8">ROUND(Y4*13.36%,0)</f>
        <v>141</v>
      </c>
      <c r="AA4" s="9">
        <f t="shared" ref="AA4:AA67" si="9">ROUND($H4/$I4*($J4+K4),0)</f>
        <v>1513</v>
      </c>
      <c r="AB4" s="9">
        <f t="shared" ref="AB4:AB67" si="10">ROUNDUP(AA4*4.75%,0)</f>
        <v>72</v>
      </c>
    </row>
    <row r="5" spans="1:34" ht="15.75" x14ac:dyDescent="0.2">
      <c r="A5" s="23">
        <v>3</v>
      </c>
      <c r="B5" s="24" t="s">
        <v>15</v>
      </c>
      <c r="C5" s="25" t="s">
        <v>16</v>
      </c>
      <c r="D5" s="24" t="s">
        <v>207</v>
      </c>
      <c r="E5" s="24" t="s">
        <v>221</v>
      </c>
      <c r="F5" s="9">
        <f>H5*70%</f>
        <v>5509</v>
      </c>
      <c r="G5" s="9">
        <f>H5-F5</f>
        <v>2361</v>
      </c>
      <c r="H5" s="6">
        <v>7870</v>
      </c>
      <c r="I5" s="9">
        <v>26</v>
      </c>
      <c r="J5" s="10">
        <v>0</v>
      </c>
      <c r="K5" s="10">
        <v>0</v>
      </c>
      <c r="L5" s="9">
        <f t="shared" si="0"/>
        <v>0</v>
      </c>
      <c r="M5" s="9">
        <f>G5/I5*J5</f>
        <v>0</v>
      </c>
      <c r="N5" s="9">
        <f>H5/I5*K5</f>
        <v>0</v>
      </c>
      <c r="O5" s="11">
        <f t="shared" si="1"/>
        <v>0</v>
      </c>
      <c r="P5" s="9">
        <f t="shared" si="2"/>
        <v>0</v>
      </c>
      <c r="Q5" s="9">
        <f t="shared" si="3"/>
        <v>0</v>
      </c>
      <c r="R5" s="9">
        <f t="shared" si="4"/>
        <v>0</v>
      </c>
      <c r="S5" s="9">
        <v>0</v>
      </c>
      <c r="T5" s="9">
        <v>0</v>
      </c>
      <c r="U5" s="12">
        <f t="shared" si="5"/>
        <v>0</v>
      </c>
      <c r="V5" s="13">
        <f t="shared" si="6"/>
        <v>0</v>
      </c>
      <c r="W5" s="9"/>
      <c r="X5" s="11"/>
      <c r="Y5" s="9">
        <f t="shared" si="7"/>
        <v>0</v>
      </c>
      <c r="Z5" s="9">
        <f t="shared" si="8"/>
        <v>0</v>
      </c>
      <c r="AA5" s="9">
        <f t="shared" si="9"/>
        <v>0</v>
      </c>
      <c r="AB5" s="9">
        <f t="shared" si="10"/>
        <v>0</v>
      </c>
    </row>
    <row r="6" spans="1:34" ht="15.75" x14ac:dyDescent="0.2">
      <c r="A6" s="23">
        <v>4</v>
      </c>
      <c r="B6" s="24" t="s">
        <v>17</v>
      </c>
      <c r="C6" s="24" t="s">
        <v>18</v>
      </c>
      <c r="D6" s="24" t="s">
        <v>208</v>
      </c>
      <c r="E6" s="24" t="s">
        <v>222</v>
      </c>
      <c r="F6" s="9">
        <v>9132</v>
      </c>
      <c r="G6" s="9">
        <v>2283</v>
      </c>
      <c r="H6" s="6">
        <f>SUM(F6:G6)</f>
        <v>11415</v>
      </c>
      <c r="I6" s="9">
        <v>26</v>
      </c>
      <c r="J6" s="10">
        <v>26</v>
      </c>
      <c r="K6" s="10">
        <v>0</v>
      </c>
      <c r="L6" s="9">
        <f t="shared" si="0"/>
        <v>9132</v>
      </c>
      <c r="M6" s="9">
        <f>G6/I6*J6</f>
        <v>2283</v>
      </c>
      <c r="N6" s="9">
        <f>H6/I6*K6</f>
        <v>0</v>
      </c>
      <c r="O6" s="11">
        <f t="shared" si="1"/>
        <v>11415</v>
      </c>
      <c r="P6" s="9">
        <f t="shared" si="2"/>
        <v>1096</v>
      </c>
      <c r="Q6" s="9">
        <f t="shared" si="3"/>
        <v>200</v>
      </c>
      <c r="R6" s="9">
        <f t="shared" si="4"/>
        <v>110</v>
      </c>
      <c r="S6" s="9">
        <v>0</v>
      </c>
      <c r="T6" s="9">
        <v>0</v>
      </c>
      <c r="U6" s="12">
        <f t="shared" si="5"/>
        <v>1406</v>
      </c>
      <c r="V6" s="13">
        <f t="shared" si="6"/>
        <v>10009</v>
      </c>
      <c r="W6" s="9"/>
      <c r="X6" s="11"/>
      <c r="Y6" s="9">
        <f t="shared" si="7"/>
        <v>9132</v>
      </c>
      <c r="Z6" s="9">
        <f t="shared" si="8"/>
        <v>1220</v>
      </c>
      <c r="AA6" s="9">
        <f t="shared" si="9"/>
        <v>11415</v>
      </c>
      <c r="AB6" s="9">
        <f t="shared" si="10"/>
        <v>543</v>
      </c>
    </row>
    <row r="7" spans="1:34" ht="15.75" x14ac:dyDescent="0.2">
      <c r="A7" s="23">
        <v>5</v>
      </c>
      <c r="B7" s="24" t="s">
        <v>19</v>
      </c>
      <c r="C7" s="24" t="s">
        <v>20</v>
      </c>
      <c r="D7" s="24" t="s">
        <v>207</v>
      </c>
      <c r="E7" s="24" t="s">
        <v>221</v>
      </c>
      <c r="F7" s="9">
        <f>H7*70%</f>
        <v>5509</v>
      </c>
      <c r="G7" s="9">
        <f>H7-F7</f>
        <v>2361</v>
      </c>
      <c r="H7" s="6">
        <v>7870</v>
      </c>
      <c r="I7" s="9">
        <v>26</v>
      </c>
      <c r="J7" s="10">
        <v>20</v>
      </c>
      <c r="K7" s="10">
        <v>0</v>
      </c>
      <c r="L7" s="9">
        <f t="shared" si="0"/>
        <v>4238</v>
      </c>
      <c r="M7" s="9">
        <f>G7/I7*J7</f>
        <v>1816.1538461538462</v>
      </c>
      <c r="N7" s="9">
        <f>H7/I7*K7</f>
        <v>0</v>
      </c>
      <c r="O7" s="11">
        <f t="shared" si="1"/>
        <v>6054</v>
      </c>
      <c r="P7" s="9">
        <f t="shared" si="2"/>
        <v>509</v>
      </c>
      <c r="Q7" s="9">
        <f t="shared" si="3"/>
        <v>106</v>
      </c>
      <c r="R7" s="9">
        <f t="shared" si="4"/>
        <v>0</v>
      </c>
      <c r="S7" s="9">
        <v>0</v>
      </c>
      <c r="T7" s="9">
        <v>0</v>
      </c>
      <c r="U7" s="12">
        <f t="shared" si="5"/>
        <v>615</v>
      </c>
      <c r="V7" s="13">
        <f t="shared" si="6"/>
        <v>5439</v>
      </c>
      <c r="W7" s="9"/>
      <c r="X7" s="11"/>
      <c r="Y7" s="9">
        <f t="shared" si="7"/>
        <v>4238</v>
      </c>
      <c r="Z7" s="9">
        <f t="shared" si="8"/>
        <v>566</v>
      </c>
      <c r="AA7" s="9">
        <f t="shared" si="9"/>
        <v>6054</v>
      </c>
      <c r="AB7" s="9">
        <f t="shared" si="10"/>
        <v>288</v>
      </c>
    </row>
    <row r="8" spans="1:34" ht="15.75" x14ac:dyDescent="0.2">
      <c r="A8" s="23">
        <v>6</v>
      </c>
      <c r="B8" s="24" t="s">
        <v>21</v>
      </c>
      <c r="C8" s="24" t="s">
        <v>22</v>
      </c>
      <c r="D8" s="24" t="s">
        <v>209</v>
      </c>
      <c r="E8" s="24" t="s">
        <v>221</v>
      </c>
      <c r="F8" s="9">
        <v>7108</v>
      </c>
      <c r="G8" s="9">
        <v>92</v>
      </c>
      <c r="H8" s="6">
        <f>SUBTOTAL(9,F8:G8)</f>
        <v>7200</v>
      </c>
      <c r="I8" s="9">
        <v>26</v>
      </c>
      <c r="J8" s="10">
        <v>0</v>
      </c>
      <c r="K8" s="10">
        <v>0</v>
      </c>
      <c r="L8" s="9">
        <f t="shared" si="0"/>
        <v>0</v>
      </c>
      <c r="M8" s="9">
        <f t="shared" ref="M8:M71" si="11">G8/I8*J8</f>
        <v>0</v>
      </c>
      <c r="N8" s="9">
        <f t="shared" ref="N8:N71" si="12">H8/I8*K8</f>
        <v>0</v>
      </c>
      <c r="O8" s="11">
        <f t="shared" si="1"/>
        <v>0</v>
      </c>
      <c r="P8" s="9">
        <f t="shared" si="2"/>
        <v>0</v>
      </c>
      <c r="Q8" s="9">
        <f t="shared" si="3"/>
        <v>0</v>
      </c>
      <c r="R8" s="9">
        <f t="shared" si="4"/>
        <v>0</v>
      </c>
      <c r="S8" s="9">
        <v>0</v>
      </c>
      <c r="T8" s="9">
        <v>0</v>
      </c>
      <c r="U8" s="12">
        <f t="shared" si="5"/>
        <v>0</v>
      </c>
      <c r="V8" s="13">
        <f t="shared" si="6"/>
        <v>0</v>
      </c>
      <c r="W8" s="9"/>
      <c r="X8" s="11"/>
      <c r="Y8" s="9">
        <f t="shared" si="7"/>
        <v>0</v>
      </c>
      <c r="Z8" s="9">
        <f t="shared" si="8"/>
        <v>0</v>
      </c>
      <c r="AA8" s="9">
        <f t="shared" si="9"/>
        <v>0</v>
      </c>
      <c r="AB8" s="9">
        <f t="shared" si="10"/>
        <v>0</v>
      </c>
    </row>
    <row r="9" spans="1:34" ht="15.75" x14ac:dyDescent="0.2">
      <c r="A9" s="23">
        <v>7</v>
      </c>
      <c r="B9" s="24" t="s">
        <v>23</v>
      </c>
      <c r="C9" s="24" t="s">
        <v>24</v>
      </c>
      <c r="D9" s="24" t="s">
        <v>208</v>
      </c>
      <c r="E9" s="24" t="s">
        <v>221</v>
      </c>
      <c r="F9" s="9">
        <v>7546</v>
      </c>
      <c r="G9" s="9"/>
      <c r="H9" s="6">
        <f>SUBTOTAL(9,F9:G9)</f>
        <v>7546</v>
      </c>
      <c r="I9" s="9">
        <v>26</v>
      </c>
      <c r="J9" s="10">
        <v>26</v>
      </c>
      <c r="K9" s="10">
        <v>0</v>
      </c>
      <c r="L9" s="9">
        <f t="shared" si="0"/>
        <v>7546</v>
      </c>
      <c r="M9" s="9">
        <f t="shared" si="11"/>
        <v>0</v>
      </c>
      <c r="N9" s="9">
        <f t="shared" si="12"/>
        <v>0</v>
      </c>
      <c r="O9" s="11">
        <f t="shared" si="1"/>
        <v>7546</v>
      </c>
      <c r="P9" s="9">
        <f t="shared" si="2"/>
        <v>906</v>
      </c>
      <c r="Q9" s="9">
        <f t="shared" si="3"/>
        <v>133</v>
      </c>
      <c r="R9" s="9">
        <f t="shared" si="4"/>
        <v>0</v>
      </c>
      <c r="S9" s="9">
        <v>0</v>
      </c>
      <c r="T9" s="9">
        <v>0</v>
      </c>
      <c r="U9" s="12">
        <f t="shared" si="5"/>
        <v>1039</v>
      </c>
      <c r="V9" s="13">
        <f t="shared" si="6"/>
        <v>6507</v>
      </c>
      <c r="W9" s="9"/>
      <c r="X9" s="11"/>
      <c r="Y9" s="9">
        <f t="shared" si="7"/>
        <v>7546</v>
      </c>
      <c r="Z9" s="9">
        <f t="shared" si="8"/>
        <v>1008</v>
      </c>
      <c r="AA9" s="9">
        <f t="shared" si="9"/>
        <v>7546</v>
      </c>
      <c r="AB9" s="9">
        <f t="shared" si="10"/>
        <v>359</v>
      </c>
    </row>
    <row r="10" spans="1:34" ht="15.75" x14ac:dyDescent="0.2">
      <c r="A10" s="23">
        <v>8</v>
      </c>
      <c r="B10" s="24" t="s">
        <v>25</v>
      </c>
      <c r="C10" s="24" t="s">
        <v>26</v>
      </c>
      <c r="D10" s="24" t="s">
        <v>208</v>
      </c>
      <c r="E10" s="24" t="s">
        <v>221</v>
      </c>
      <c r="F10" s="9">
        <v>7546</v>
      </c>
      <c r="G10" s="9"/>
      <c r="H10" s="6">
        <f>SUBTOTAL(9,F10:G10)</f>
        <v>7546</v>
      </c>
      <c r="I10" s="9">
        <v>26</v>
      </c>
      <c r="J10" s="10">
        <v>25</v>
      </c>
      <c r="K10" s="10">
        <v>0</v>
      </c>
      <c r="L10" s="9">
        <f t="shared" si="0"/>
        <v>7256</v>
      </c>
      <c r="M10" s="9">
        <f t="shared" si="11"/>
        <v>0</v>
      </c>
      <c r="N10" s="9">
        <f t="shared" si="12"/>
        <v>0</v>
      </c>
      <c r="O10" s="11">
        <f t="shared" si="1"/>
        <v>7256</v>
      </c>
      <c r="P10" s="9">
        <f t="shared" si="2"/>
        <v>871</v>
      </c>
      <c r="Q10" s="9">
        <f t="shared" si="3"/>
        <v>127</v>
      </c>
      <c r="R10" s="9">
        <f t="shared" si="4"/>
        <v>0</v>
      </c>
      <c r="S10" s="9">
        <v>0</v>
      </c>
      <c r="T10" s="9">
        <v>0</v>
      </c>
      <c r="U10" s="12">
        <f t="shared" si="5"/>
        <v>998</v>
      </c>
      <c r="V10" s="13">
        <f t="shared" si="6"/>
        <v>6258</v>
      </c>
      <c r="W10" s="9"/>
      <c r="X10" s="11"/>
      <c r="Y10" s="9">
        <f t="shared" si="7"/>
        <v>7256</v>
      </c>
      <c r="Z10" s="9">
        <f t="shared" si="8"/>
        <v>969</v>
      </c>
      <c r="AA10" s="9">
        <f t="shared" si="9"/>
        <v>7256</v>
      </c>
      <c r="AB10" s="9">
        <f t="shared" si="10"/>
        <v>345</v>
      </c>
    </row>
    <row r="11" spans="1:34" ht="15.75" x14ac:dyDescent="0.2">
      <c r="A11" s="23">
        <v>9</v>
      </c>
      <c r="B11" s="24" t="s">
        <v>27</v>
      </c>
      <c r="C11" s="24" t="s">
        <v>28</v>
      </c>
      <c r="D11" s="24" t="s">
        <v>208</v>
      </c>
      <c r="E11" s="24" t="s">
        <v>222</v>
      </c>
      <c r="F11" s="9">
        <v>9132</v>
      </c>
      <c r="G11" s="9">
        <v>2283</v>
      </c>
      <c r="H11" s="6">
        <f>SUM(F11:G11)</f>
        <v>11415</v>
      </c>
      <c r="I11" s="9">
        <v>26</v>
      </c>
      <c r="J11" s="10">
        <v>26</v>
      </c>
      <c r="K11" s="10">
        <v>0</v>
      </c>
      <c r="L11" s="9">
        <f t="shared" si="0"/>
        <v>9132</v>
      </c>
      <c r="M11" s="9">
        <f t="shared" si="11"/>
        <v>2283</v>
      </c>
      <c r="N11" s="9">
        <f t="shared" si="12"/>
        <v>0</v>
      </c>
      <c r="O11" s="11">
        <f t="shared" si="1"/>
        <v>11415</v>
      </c>
      <c r="P11" s="9">
        <f t="shared" si="2"/>
        <v>1096</v>
      </c>
      <c r="Q11" s="9">
        <f t="shared" si="3"/>
        <v>200</v>
      </c>
      <c r="R11" s="9">
        <f t="shared" si="4"/>
        <v>110</v>
      </c>
      <c r="S11" s="9">
        <v>0</v>
      </c>
      <c r="T11" s="9">
        <v>0</v>
      </c>
      <c r="U11" s="12">
        <f t="shared" si="5"/>
        <v>1406</v>
      </c>
      <c r="V11" s="13">
        <f t="shared" si="6"/>
        <v>10009</v>
      </c>
      <c r="W11" s="9"/>
      <c r="X11" s="11"/>
      <c r="Y11" s="9">
        <f t="shared" si="7"/>
        <v>9132</v>
      </c>
      <c r="Z11" s="9">
        <f t="shared" si="8"/>
        <v>1220</v>
      </c>
      <c r="AA11" s="9">
        <f t="shared" si="9"/>
        <v>11415</v>
      </c>
      <c r="AB11" s="9">
        <f t="shared" si="10"/>
        <v>543</v>
      </c>
    </row>
    <row r="12" spans="1:34" ht="15.75" x14ac:dyDescent="0.2">
      <c r="A12" s="23">
        <v>10</v>
      </c>
      <c r="B12" s="24" t="s">
        <v>29</v>
      </c>
      <c r="C12" s="24" t="s">
        <v>30</v>
      </c>
      <c r="D12" s="24" t="s">
        <v>208</v>
      </c>
      <c r="E12" s="24" t="s">
        <v>225</v>
      </c>
      <c r="F12" s="9">
        <v>8301</v>
      </c>
      <c r="G12" s="9"/>
      <c r="H12" s="6">
        <f>SUBTOTAL(9,F12:G12)</f>
        <v>8301</v>
      </c>
      <c r="I12" s="9">
        <v>26</v>
      </c>
      <c r="J12" s="10">
        <v>18</v>
      </c>
      <c r="K12" s="10">
        <v>0</v>
      </c>
      <c r="L12" s="9">
        <f t="shared" si="0"/>
        <v>5747</v>
      </c>
      <c r="M12" s="9">
        <f t="shared" si="11"/>
        <v>0</v>
      </c>
      <c r="N12" s="9">
        <f t="shared" si="12"/>
        <v>0</v>
      </c>
      <c r="O12" s="11">
        <f t="shared" si="1"/>
        <v>5747</v>
      </c>
      <c r="P12" s="9">
        <f t="shared" si="2"/>
        <v>690</v>
      </c>
      <c r="Q12" s="9">
        <f t="shared" si="3"/>
        <v>101</v>
      </c>
      <c r="R12" s="9">
        <f t="shared" si="4"/>
        <v>0</v>
      </c>
      <c r="S12" s="9">
        <v>0</v>
      </c>
      <c r="T12" s="9">
        <v>0</v>
      </c>
      <c r="U12" s="12">
        <f t="shared" si="5"/>
        <v>791</v>
      </c>
      <c r="V12" s="13">
        <f t="shared" si="6"/>
        <v>4956</v>
      </c>
      <c r="W12" s="9"/>
      <c r="X12" s="11"/>
      <c r="Y12" s="9">
        <f t="shared" si="7"/>
        <v>5747</v>
      </c>
      <c r="Z12" s="9">
        <f t="shared" si="8"/>
        <v>768</v>
      </c>
      <c r="AA12" s="9">
        <f t="shared" si="9"/>
        <v>5747</v>
      </c>
      <c r="AB12" s="9">
        <f t="shared" si="10"/>
        <v>273</v>
      </c>
    </row>
    <row r="13" spans="1:34" ht="15.75" x14ac:dyDescent="0.2">
      <c r="A13" s="23">
        <v>11</v>
      </c>
      <c r="B13" s="24" t="s">
        <v>31</v>
      </c>
      <c r="C13" s="24" t="s">
        <v>32</v>
      </c>
      <c r="D13" s="24" t="s">
        <v>207</v>
      </c>
      <c r="E13" s="24" t="s">
        <v>221</v>
      </c>
      <c r="F13" s="9">
        <f>H13*70%</f>
        <v>5509</v>
      </c>
      <c r="G13" s="9">
        <f>H13-F13</f>
        <v>2361</v>
      </c>
      <c r="H13" s="6">
        <v>7870</v>
      </c>
      <c r="I13" s="9">
        <v>26</v>
      </c>
      <c r="J13" s="10">
        <v>15</v>
      </c>
      <c r="K13" s="10">
        <v>0</v>
      </c>
      <c r="L13" s="9">
        <f t="shared" si="0"/>
        <v>3178</v>
      </c>
      <c r="M13" s="9">
        <f t="shared" si="11"/>
        <v>1362.1153846153845</v>
      </c>
      <c r="N13" s="9">
        <f t="shared" si="12"/>
        <v>0</v>
      </c>
      <c r="O13" s="11">
        <f t="shared" si="1"/>
        <v>4540</v>
      </c>
      <c r="P13" s="9">
        <f t="shared" si="2"/>
        <v>381</v>
      </c>
      <c r="Q13" s="9">
        <f t="shared" si="3"/>
        <v>80</v>
      </c>
      <c r="R13" s="9">
        <f t="shared" si="4"/>
        <v>0</v>
      </c>
      <c r="S13" s="9">
        <v>0</v>
      </c>
      <c r="T13" s="9">
        <v>0</v>
      </c>
      <c r="U13" s="12">
        <f t="shared" si="5"/>
        <v>461</v>
      </c>
      <c r="V13" s="13">
        <f t="shared" si="6"/>
        <v>4079</v>
      </c>
      <c r="W13" s="9"/>
      <c r="X13" s="11"/>
      <c r="Y13" s="9">
        <f t="shared" si="7"/>
        <v>3178</v>
      </c>
      <c r="Z13" s="9">
        <f t="shared" si="8"/>
        <v>425</v>
      </c>
      <c r="AA13" s="9">
        <f t="shared" si="9"/>
        <v>4540</v>
      </c>
      <c r="AB13" s="9">
        <f t="shared" si="10"/>
        <v>216</v>
      </c>
    </row>
    <row r="14" spans="1:34" ht="15.75" x14ac:dyDescent="0.2">
      <c r="A14" s="23">
        <v>12</v>
      </c>
      <c r="B14" s="24" t="s">
        <v>33</v>
      </c>
      <c r="C14" s="24" t="s">
        <v>34</v>
      </c>
      <c r="D14" s="24" t="s">
        <v>207</v>
      </c>
      <c r="E14" s="24" t="s">
        <v>221</v>
      </c>
      <c r="F14" s="9">
        <f>H14*70%</f>
        <v>5509</v>
      </c>
      <c r="G14" s="9">
        <f>H14-F14</f>
        <v>2361</v>
      </c>
      <c r="H14" s="6">
        <v>7870</v>
      </c>
      <c r="I14" s="9">
        <v>26</v>
      </c>
      <c r="J14" s="10">
        <v>21</v>
      </c>
      <c r="K14" s="10">
        <v>0</v>
      </c>
      <c r="L14" s="9">
        <f t="shared" si="0"/>
        <v>4450</v>
      </c>
      <c r="M14" s="9">
        <f t="shared" si="11"/>
        <v>1906.9615384615383</v>
      </c>
      <c r="N14" s="9">
        <f t="shared" si="12"/>
        <v>0</v>
      </c>
      <c r="O14" s="11">
        <f t="shared" si="1"/>
        <v>6357</v>
      </c>
      <c r="P14" s="9">
        <f t="shared" si="2"/>
        <v>534</v>
      </c>
      <c r="Q14" s="9">
        <f t="shared" si="3"/>
        <v>112</v>
      </c>
      <c r="R14" s="9">
        <f t="shared" si="4"/>
        <v>0</v>
      </c>
      <c r="S14" s="9">
        <v>0</v>
      </c>
      <c r="T14" s="9">
        <v>0</v>
      </c>
      <c r="U14" s="12">
        <f t="shared" si="5"/>
        <v>646</v>
      </c>
      <c r="V14" s="13">
        <f t="shared" si="6"/>
        <v>5711</v>
      </c>
      <c r="W14" s="9"/>
      <c r="X14" s="11"/>
      <c r="Y14" s="9">
        <f t="shared" si="7"/>
        <v>4450</v>
      </c>
      <c r="Z14" s="9">
        <f t="shared" si="8"/>
        <v>595</v>
      </c>
      <c r="AA14" s="9">
        <f t="shared" si="9"/>
        <v>6357</v>
      </c>
      <c r="AB14" s="9">
        <f t="shared" si="10"/>
        <v>302</v>
      </c>
    </row>
    <row r="15" spans="1:34" ht="15.75" x14ac:dyDescent="0.2">
      <c r="A15" s="23">
        <v>13</v>
      </c>
      <c r="B15" s="24" t="s">
        <v>35</v>
      </c>
      <c r="C15" s="24" t="s">
        <v>36</v>
      </c>
      <c r="D15" s="24" t="s">
        <v>208</v>
      </c>
      <c r="E15" s="24" t="s">
        <v>221</v>
      </c>
      <c r="F15" s="9">
        <v>7546</v>
      </c>
      <c r="G15" s="9"/>
      <c r="H15" s="6">
        <f>SUBTOTAL(9,F15:G15)</f>
        <v>7546</v>
      </c>
      <c r="I15" s="9">
        <v>26</v>
      </c>
      <c r="J15" s="10">
        <v>22</v>
      </c>
      <c r="K15" s="10">
        <v>0</v>
      </c>
      <c r="L15" s="9">
        <f t="shared" si="0"/>
        <v>6385</v>
      </c>
      <c r="M15" s="9">
        <f t="shared" si="11"/>
        <v>0</v>
      </c>
      <c r="N15" s="9">
        <f t="shared" si="12"/>
        <v>0</v>
      </c>
      <c r="O15" s="11">
        <f t="shared" si="1"/>
        <v>6385</v>
      </c>
      <c r="P15" s="9">
        <f t="shared" si="2"/>
        <v>766</v>
      </c>
      <c r="Q15" s="9">
        <f t="shared" si="3"/>
        <v>112</v>
      </c>
      <c r="R15" s="9">
        <f t="shared" si="4"/>
        <v>0</v>
      </c>
      <c r="S15" s="9">
        <v>0</v>
      </c>
      <c r="T15" s="9">
        <v>0</v>
      </c>
      <c r="U15" s="12">
        <f t="shared" si="5"/>
        <v>878</v>
      </c>
      <c r="V15" s="13">
        <f t="shared" si="6"/>
        <v>5507</v>
      </c>
      <c r="W15" s="9"/>
      <c r="X15" s="11"/>
      <c r="Y15" s="9">
        <f t="shared" si="7"/>
        <v>6385</v>
      </c>
      <c r="Z15" s="9">
        <f t="shared" si="8"/>
        <v>853</v>
      </c>
      <c r="AA15" s="9">
        <f t="shared" si="9"/>
        <v>6385</v>
      </c>
      <c r="AB15" s="9">
        <f t="shared" si="10"/>
        <v>304</v>
      </c>
    </row>
    <row r="16" spans="1:34" ht="15.75" x14ac:dyDescent="0.2">
      <c r="A16" s="23">
        <v>14</v>
      </c>
      <c r="B16" s="24" t="s">
        <v>37</v>
      </c>
      <c r="C16" s="25" t="s">
        <v>38</v>
      </c>
      <c r="D16" s="24"/>
      <c r="E16" s="24"/>
      <c r="F16" s="9"/>
      <c r="G16" s="9"/>
      <c r="H16" s="6"/>
      <c r="I16" s="9">
        <v>26</v>
      </c>
      <c r="J16" s="10">
        <v>0</v>
      </c>
      <c r="K16" s="10">
        <v>0</v>
      </c>
      <c r="L16" s="9">
        <f t="shared" si="0"/>
        <v>0</v>
      </c>
      <c r="M16" s="9">
        <f t="shared" si="11"/>
        <v>0</v>
      </c>
      <c r="N16" s="9">
        <f t="shared" si="12"/>
        <v>0</v>
      </c>
      <c r="O16" s="11">
        <f t="shared" si="1"/>
        <v>0</v>
      </c>
      <c r="P16" s="9">
        <f t="shared" si="2"/>
        <v>0</v>
      </c>
      <c r="Q16" s="9">
        <f t="shared" si="3"/>
        <v>0</v>
      </c>
      <c r="R16" s="9">
        <f t="shared" si="4"/>
        <v>0</v>
      </c>
      <c r="S16" s="9">
        <v>0</v>
      </c>
      <c r="T16" s="9">
        <v>0</v>
      </c>
      <c r="U16" s="12">
        <f t="shared" si="5"/>
        <v>0</v>
      </c>
      <c r="V16" s="13">
        <f t="shared" si="6"/>
        <v>0</v>
      </c>
      <c r="W16" s="9"/>
      <c r="X16" s="11"/>
      <c r="Y16" s="9">
        <f t="shared" si="7"/>
        <v>0</v>
      </c>
      <c r="Z16" s="9">
        <f t="shared" si="8"/>
        <v>0</v>
      </c>
      <c r="AA16" s="9">
        <f t="shared" si="9"/>
        <v>0</v>
      </c>
      <c r="AB16" s="9">
        <f t="shared" si="10"/>
        <v>0</v>
      </c>
    </row>
    <row r="17" spans="1:28" ht="15.75" x14ac:dyDescent="0.2">
      <c r="A17" s="23">
        <v>15</v>
      </c>
      <c r="B17" s="24" t="s">
        <v>39</v>
      </c>
      <c r="C17" s="24" t="s">
        <v>40</v>
      </c>
      <c r="D17" s="24" t="s">
        <v>207</v>
      </c>
      <c r="E17" s="24" t="s">
        <v>221</v>
      </c>
      <c r="F17" s="9">
        <f>H17*70%</f>
        <v>5509</v>
      </c>
      <c r="G17" s="9">
        <f>H17-F17</f>
        <v>2361</v>
      </c>
      <c r="H17" s="6">
        <v>7870</v>
      </c>
      <c r="I17" s="9">
        <v>26</v>
      </c>
      <c r="J17" s="10">
        <v>30</v>
      </c>
      <c r="K17" s="10">
        <v>0</v>
      </c>
      <c r="L17" s="9">
        <f t="shared" si="0"/>
        <v>6357</v>
      </c>
      <c r="M17" s="9">
        <f t="shared" si="11"/>
        <v>2724.2307692307691</v>
      </c>
      <c r="N17" s="9">
        <f t="shared" si="12"/>
        <v>0</v>
      </c>
      <c r="O17" s="11">
        <f t="shared" si="1"/>
        <v>9081</v>
      </c>
      <c r="P17" s="9">
        <f t="shared" si="2"/>
        <v>763</v>
      </c>
      <c r="Q17" s="9">
        <f t="shared" si="3"/>
        <v>159</v>
      </c>
      <c r="R17" s="9">
        <f t="shared" si="4"/>
        <v>0</v>
      </c>
      <c r="S17" s="9">
        <v>0</v>
      </c>
      <c r="T17" s="9">
        <v>0</v>
      </c>
      <c r="U17" s="12">
        <f t="shared" si="5"/>
        <v>922</v>
      </c>
      <c r="V17" s="13">
        <f t="shared" si="6"/>
        <v>8159</v>
      </c>
      <c r="W17" s="9"/>
      <c r="X17" s="11"/>
      <c r="Y17" s="9">
        <f t="shared" si="7"/>
        <v>6357</v>
      </c>
      <c r="Z17" s="9">
        <f t="shared" si="8"/>
        <v>849</v>
      </c>
      <c r="AA17" s="9">
        <f t="shared" si="9"/>
        <v>9081</v>
      </c>
      <c r="AB17" s="9">
        <f t="shared" si="10"/>
        <v>432</v>
      </c>
    </row>
    <row r="18" spans="1:28" ht="15.75" x14ac:dyDescent="0.2">
      <c r="A18" s="23">
        <v>16</v>
      </c>
      <c r="B18" s="24" t="s">
        <v>41</v>
      </c>
      <c r="C18" s="24" t="s">
        <v>42</v>
      </c>
      <c r="D18" s="24" t="s">
        <v>207</v>
      </c>
      <c r="E18" s="24" t="s">
        <v>221</v>
      </c>
      <c r="F18" s="9">
        <f>H18*70%</f>
        <v>5509</v>
      </c>
      <c r="G18" s="9">
        <f>H18-F18</f>
        <v>2361</v>
      </c>
      <c r="H18" s="6">
        <v>7870</v>
      </c>
      <c r="I18" s="9">
        <v>26</v>
      </c>
      <c r="J18" s="10">
        <v>26</v>
      </c>
      <c r="K18" s="10">
        <v>0</v>
      </c>
      <c r="L18" s="9">
        <f t="shared" si="0"/>
        <v>5509</v>
      </c>
      <c r="M18" s="9">
        <f t="shared" si="11"/>
        <v>2361</v>
      </c>
      <c r="N18" s="9">
        <f t="shared" si="12"/>
        <v>0</v>
      </c>
      <c r="O18" s="11">
        <f t="shared" si="1"/>
        <v>7870</v>
      </c>
      <c r="P18" s="9">
        <f t="shared" si="2"/>
        <v>661</v>
      </c>
      <c r="Q18" s="9">
        <f t="shared" si="3"/>
        <v>138</v>
      </c>
      <c r="R18" s="9">
        <f t="shared" si="4"/>
        <v>0</v>
      </c>
      <c r="S18" s="9">
        <v>0</v>
      </c>
      <c r="T18" s="9">
        <v>0</v>
      </c>
      <c r="U18" s="12">
        <f t="shared" si="5"/>
        <v>799</v>
      </c>
      <c r="V18" s="13">
        <f t="shared" si="6"/>
        <v>7071</v>
      </c>
      <c r="W18" s="9"/>
      <c r="X18" s="11"/>
      <c r="Y18" s="9">
        <f t="shared" si="7"/>
        <v>5509</v>
      </c>
      <c r="Z18" s="9">
        <f t="shared" si="8"/>
        <v>736</v>
      </c>
      <c r="AA18" s="9">
        <f t="shared" si="9"/>
        <v>7870</v>
      </c>
      <c r="AB18" s="9">
        <f t="shared" si="10"/>
        <v>374</v>
      </c>
    </row>
    <row r="19" spans="1:28" ht="15.75" x14ac:dyDescent="0.2">
      <c r="A19" s="23">
        <v>17</v>
      </c>
      <c r="B19" s="24" t="s">
        <v>43</v>
      </c>
      <c r="C19" s="24" t="s">
        <v>44</v>
      </c>
      <c r="D19" s="24" t="s">
        <v>207</v>
      </c>
      <c r="E19" s="24" t="s">
        <v>221</v>
      </c>
      <c r="F19" s="9">
        <f>H19*70%</f>
        <v>5509</v>
      </c>
      <c r="G19" s="9">
        <f>H19-F19</f>
        <v>2361</v>
      </c>
      <c r="H19" s="6">
        <v>7870</v>
      </c>
      <c r="I19" s="9">
        <v>26</v>
      </c>
      <c r="J19" s="10">
        <v>0</v>
      </c>
      <c r="K19" s="10">
        <v>0</v>
      </c>
      <c r="L19" s="9">
        <f t="shared" si="0"/>
        <v>0</v>
      </c>
      <c r="M19" s="9">
        <f t="shared" si="11"/>
        <v>0</v>
      </c>
      <c r="N19" s="9">
        <f t="shared" si="12"/>
        <v>0</v>
      </c>
      <c r="O19" s="11">
        <f t="shared" si="1"/>
        <v>0</v>
      </c>
      <c r="P19" s="9">
        <f t="shared" si="2"/>
        <v>0</v>
      </c>
      <c r="Q19" s="9">
        <f t="shared" si="3"/>
        <v>0</v>
      </c>
      <c r="R19" s="9">
        <f t="shared" si="4"/>
        <v>0</v>
      </c>
      <c r="S19" s="9">
        <v>0</v>
      </c>
      <c r="T19" s="9">
        <v>0</v>
      </c>
      <c r="U19" s="12">
        <f t="shared" si="5"/>
        <v>0</v>
      </c>
      <c r="V19" s="13">
        <f t="shared" si="6"/>
        <v>0</v>
      </c>
      <c r="W19" s="9"/>
      <c r="X19" s="11"/>
      <c r="Y19" s="9">
        <f t="shared" si="7"/>
        <v>0</v>
      </c>
      <c r="Z19" s="9">
        <f t="shared" si="8"/>
        <v>0</v>
      </c>
      <c r="AA19" s="9">
        <f t="shared" si="9"/>
        <v>0</v>
      </c>
      <c r="AB19" s="9">
        <f t="shared" si="10"/>
        <v>0</v>
      </c>
    </row>
    <row r="20" spans="1:28" ht="15.75" x14ac:dyDescent="0.2">
      <c r="A20" s="23">
        <v>18</v>
      </c>
      <c r="B20" s="24" t="s">
        <v>45</v>
      </c>
      <c r="C20" s="24" t="s">
        <v>46</v>
      </c>
      <c r="D20" s="24" t="s">
        <v>208</v>
      </c>
      <c r="E20" s="24" t="s">
        <v>221</v>
      </c>
      <c r="F20" s="9">
        <v>7546</v>
      </c>
      <c r="G20" s="9"/>
      <c r="H20" s="6">
        <f>SUBTOTAL(9,F20:G20)</f>
        <v>7546</v>
      </c>
      <c r="I20" s="9">
        <v>26</v>
      </c>
      <c r="J20" s="10">
        <v>7</v>
      </c>
      <c r="K20" s="10">
        <v>0</v>
      </c>
      <c r="L20" s="9">
        <f t="shared" si="0"/>
        <v>2032</v>
      </c>
      <c r="M20" s="9">
        <f t="shared" si="11"/>
        <v>0</v>
      </c>
      <c r="N20" s="9">
        <f t="shared" si="12"/>
        <v>0</v>
      </c>
      <c r="O20" s="11">
        <f t="shared" si="1"/>
        <v>2032</v>
      </c>
      <c r="P20" s="9">
        <f t="shared" si="2"/>
        <v>244</v>
      </c>
      <c r="Q20" s="9">
        <f t="shared" si="3"/>
        <v>36</v>
      </c>
      <c r="R20" s="9">
        <f t="shared" si="4"/>
        <v>0</v>
      </c>
      <c r="S20" s="9">
        <v>0</v>
      </c>
      <c r="T20" s="9">
        <v>0</v>
      </c>
      <c r="U20" s="12">
        <f t="shared" si="5"/>
        <v>280</v>
      </c>
      <c r="V20" s="13">
        <f t="shared" si="6"/>
        <v>1752</v>
      </c>
      <c r="W20" s="9"/>
      <c r="X20" s="11"/>
      <c r="Y20" s="9">
        <f t="shared" si="7"/>
        <v>2032</v>
      </c>
      <c r="Z20" s="9">
        <f t="shared" si="8"/>
        <v>271</v>
      </c>
      <c r="AA20" s="9">
        <f t="shared" si="9"/>
        <v>2032</v>
      </c>
      <c r="AB20" s="9">
        <f t="shared" si="10"/>
        <v>97</v>
      </c>
    </row>
    <row r="21" spans="1:28" ht="15.75" x14ac:dyDescent="0.2">
      <c r="A21" s="23">
        <v>19</v>
      </c>
      <c r="B21" s="24" t="s">
        <v>47</v>
      </c>
      <c r="C21" s="24" t="s">
        <v>48</v>
      </c>
      <c r="D21" s="24" t="s">
        <v>208</v>
      </c>
      <c r="E21" s="24" t="s">
        <v>221</v>
      </c>
      <c r="F21" s="9">
        <v>7546</v>
      </c>
      <c r="G21" s="9"/>
      <c r="H21" s="6">
        <f>SUBTOTAL(9,F21:G21)</f>
        <v>7546</v>
      </c>
      <c r="I21" s="9">
        <v>26</v>
      </c>
      <c r="J21" s="10">
        <v>26</v>
      </c>
      <c r="K21" s="10">
        <v>1</v>
      </c>
      <c r="L21" s="9">
        <f t="shared" si="0"/>
        <v>7546</v>
      </c>
      <c r="M21" s="9">
        <f t="shared" si="11"/>
        <v>0</v>
      </c>
      <c r="N21" s="9">
        <f t="shared" si="12"/>
        <v>290.23076923076923</v>
      </c>
      <c r="O21" s="11">
        <f t="shared" si="1"/>
        <v>7836</v>
      </c>
      <c r="P21" s="9">
        <f t="shared" si="2"/>
        <v>906</v>
      </c>
      <c r="Q21" s="9">
        <f t="shared" si="3"/>
        <v>138</v>
      </c>
      <c r="R21" s="9">
        <f t="shared" si="4"/>
        <v>0</v>
      </c>
      <c r="S21" s="9">
        <v>0</v>
      </c>
      <c r="T21" s="9">
        <v>0</v>
      </c>
      <c r="U21" s="12">
        <f t="shared" si="5"/>
        <v>1044</v>
      </c>
      <c r="V21" s="13">
        <f t="shared" si="6"/>
        <v>6792</v>
      </c>
      <c r="W21" s="9"/>
      <c r="X21" s="11"/>
      <c r="Y21" s="9">
        <f t="shared" si="7"/>
        <v>7546</v>
      </c>
      <c r="Z21" s="9">
        <f t="shared" si="8"/>
        <v>1008</v>
      </c>
      <c r="AA21" s="9">
        <f t="shared" si="9"/>
        <v>7836</v>
      </c>
      <c r="AB21" s="9">
        <f t="shared" si="10"/>
        <v>373</v>
      </c>
    </row>
    <row r="22" spans="1:28" ht="15.75" x14ac:dyDescent="0.2">
      <c r="A22" s="23">
        <v>20</v>
      </c>
      <c r="B22" s="24" t="s">
        <v>49</v>
      </c>
      <c r="C22" s="24" t="s">
        <v>50</v>
      </c>
      <c r="D22" s="24" t="s">
        <v>210</v>
      </c>
      <c r="E22" s="24" t="s">
        <v>220</v>
      </c>
      <c r="F22" s="9">
        <v>4420</v>
      </c>
      <c r="G22" s="9">
        <v>1680</v>
      </c>
      <c r="H22" s="6">
        <f>SUBTOTAL(9,F22:G22)</f>
        <v>6100</v>
      </c>
      <c r="I22" s="9">
        <v>26</v>
      </c>
      <c r="J22" s="10">
        <v>24</v>
      </c>
      <c r="K22" s="10">
        <v>0</v>
      </c>
      <c r="L22" s="9">
        <f t="shared" si="0"/>
        <v>4080</v>
      </c>
      <c r="M22" s="9">
        <f t="shared" si="11"/>
        <v>1550.7692307692307</v>
      </c>
      <c r="N22" s="9">
        <f t="shared" si="12"/>
        <v>0</v>
      </c>
      <c r="O22" s="11">
        <f t="shared" si="1"/>
        <v>5631</v>
      </c>
      <c r="P22" s="9">
        <f t="shared" si="2"/>
        <v>490</v>
      </c>
      <c r="Q22" s="9">
        <f t="shared" si="3"/>
        <v>99</v>
      </c>
      <c r="R22" s="9">
        <f t="shared" si="4"/>
        <v>0</v>
      </c>
      <c r="S22" s="9">
        <v>0</v>
      </c>
      <c r="T22" s="9">
        <v>0</v>
      </c>
      <c r="U22" s="12">
        <f t="shared" si="5"/>
        <v>589</v>
      </c>
      <c r="V22" s="13">
        <f t="shared" si="6"/>
        <v>5042</v>
      </c>
      <c r="W22" s="9"/>
      <c r="X22" s="11"/>
      <c r="Y22" s="9">
        <f t="shared" si="7"/>
        <v>4080</v>
      </c>
      <c r="Z22" s="9">
        <f t="shared" si="8"/>
        <v>545</v>
      </c>
      <c r="AA22" s="9">
        <f t="shared" si="9"/>
        <v>5631</v>
      </c>
      <c r="AB22" s="9">
        <f t="shared" si="10"/>
        <v>268</v>
      </c>
    </row>
    <row r="23" spans="1:28" ht="15.75" x14ac:dyDescent="0.2">
      <c r="A23" s="23">
        <v>21</v>
      </c>
      <c r="B23" s="24" t="s">
        <v>51</v>
      </c>
      <c r="C23" s="25" t="s">
        <v>52</v>
      </c>
      <c r="D23" s="24"/>
      <c r="E23" s="24"/>
      <c r="F23" s="9"/>
      <c r="G23" s="9"/>
      <c r="H23" s="6"/>
      <c r="I23" s="9">
        <v>26</v>
      </c>
      <c r="J23" s="10">
        <v>0</v>
      </c>
      <c r="K23" s="10">
        <v>0</v>
      </c>
      <c r="L23" s="9">
        <f t="shared" si="0"/>
        <v>0</v>
      </c>
      <c r="M23" s="9">
        <f t="shared" si="11"/>
        <v>0</v>
      </c>
      <c r="N23" s="9">
        <f t="shared" si="12"/>
        <v>0</v>
      </c>
      <c r="O23" s="11">
        <f t="shared" si="1"/>
        <v>0</v>
      </c>
      <c r="P23" s="9">
        <f t="shared" si="2"/>
        <v>0</v>
      </c>
      <c r="Q23" s="9">
        <f t="shared" si="3"/>
        <v>0</v>
      </c>
      <c r="R23" s="9">
        <f t="shared" si="4"/>
        <v>0</v>
      </c>
      <c r="S23" s="9">
        <v>0</v>
      </c>
      <c r="T23" s="9">
        <v>0</v>
      </c>
      <c r="U23" s="12">
        <f t="shared" si="5"/>
        <v>0</v>
      </c>
      <c r="V23" s="13">
        <f t="shared" si="6"/>
        <v>0</v>
      </c>
      <c r="W23" s="9"/>
      <c r="X23" s="11"/>
      <c r="Y23" s="9">
        <f t="shared" si="7"/>
        <v>0</v>
      </c>
      <c r="Z23" s="9">
        <f t="shared" si="8"/>
        <v>0</v>
      </c>
      <c r="AA23" s="9">
        <f t="shared" si="9"/>
        <v>0</v>
      </c>
      <c r="AB23" s="9">
        <f t="shared" si="10"/>
        <v>0</v>
      </c>
    </row>
    <row r="24" spans="1:28" ht="15.75" x14ac:dyDescent="0.2">
      <c r="A24" s="23">
        <v>22</v>
      </c>
      <c r="B24" s="24" t="s">
        <v>53</v>
      </c>
      <c r="C24" s="24" t="s">
        <v>54</v>
      </c>
      <c r="D24" s="24" t="s">
        <v>207</v>
      </c>
      <c r="E24" s="24" t="s">
        <v>221</v>
      </c>
      <c r="F24" s="9">
        <f>H24*70%</f>
        <v>5509</v>
      </c>
      <c r="G24" s="9">
        <f>H24-F24</f>
        <v>2361</v>
      </c>
      <c r="H24" s="6">
        <v>7870</v>
      </c>
      <c r="I24" s="9">
        <v>26</v>
      </c>
      <c r="J24" s="10">
        <v>29</v>
      </c>
      <c r="K24" s="10">
        <v>0</v>
      </c>
      <c r="L24" s="9">
        <f t="shared" si="0"/>
        <v>6145</v>
      </c>
      <c r="M24" s="9">
        <f t="shared" si="11"/>
        <v>2633.4230769230767</v>
      </c>
      <c r="N24" s="9">
        <f t="shared" si="12"/>
        <v>0</v>
      </c>
      <c r="O24" s="11">
        <f t="shared" si="1"/>
        <v>8778</v>
      </c>
      <c r="P24" s="9">
        <f t="shared" si="2"/>
        <v>737</v>
      </c>
      <c r="Q24" s="9">
        <f t="shared" si="3"/>
        <v>154</v>
      </c>
      <c r="R24" s="9">
        <f t="shared" si="4"/>
        <v>0</v>
      </c>
      <c r="S24" s="9">
        <v>0</v>
      </c>
      <c r="T24" s="9">
        <v>0</v>
      </c>
      <c r="U24" s="12">
        <f t="shared" si="5"/>
        <v>891</v>
      </c>
      <c r="V24" s="13">
        <f t="shared" si="6"/>
        <v>7887</v>
      </c>
      <c r="W24" s="9"/>
      <c r="X24" s="11"/>
      <c r="Y24" s="9">
        <f t="shared" si="7"/>
        <v>6145</v>
      </c>
      <c r="Z24" s="9">
        <f t="shared" si="8"/>
        <v>821</v>
      </c>
      <c r="AA24" s="9">
        <f t="shared" si="9"/>
        <v>8778</v>
      </c>
      <c r="AB24" s="9">
        <f t="shared" si="10"/>
        <v>417</v>
      </c>
    </row>
    <row r="25" spans="1:28" ht="15.75" x14ac:dyDescent="0.2">
      <c r="A25" s="23">
        <v>23</v>
      </c>
      <c r="B25" s="24" t="s">
        <v>55</v>
      </c>
      <c r="C25" s="24" t="s">
        <v>56</v>
      </c>
      <c r="D25" s="24" t="s">
        <v>207</v>
      </c>
      <c r="E25" s="24" t="s">
        <v>221</v>
      </c>
      <c r="F25" s="9">
        <f>H25*70%</f>
        <v>5509</v>
      </c>
      <c r="G25" s="9">
        <f>H25-F25</f>
        <v>2361</v>
      </c>
      <c r="H25" s="6">
        <v>7870</v>
      </c>
      <c r="I25" s="9">
        <v>26</v>
      </c>
      <c r="J25" s="10">
        <v>27</v>
      </c>
      <c r="K25" s="10">
        <v>0</v>
      </c>
      <c r="L25" s="9">
        <f t="shared" si="0"/>
        <v>5721</v>
      </c>
      <c r="M25" s="9">
        <f t="shared" si="11"/>
        <v>2451.8076923076924</v>
      </c>
      <c r="N25" s="9">
        <f t="shared" si="12"/>
        <v>0</v>
      </c>
      <c r="O25" s="11">
        <f t="shared" si="1"/>
        <v>8173</v>
      </c>
      <c r="P25" s="9">
        <f t="shared" si="2"/>
        <v>687</v>
      </c>
      <c r="Q25" s="9">
        <f t="shared" si="3"/>
        <v>144</v>
      </c>
      <c r="R25" s="9">
        <f t="shared" si="4"/>
        <v>0</v>
      </c>
      <c r="S25" s="9">
        <v>0</v>
      </c>
      <c r="T25" s="9">
        <v>0</v>
      </c>
      <c r="U25" s="12">
        <f t="shared" si="5"/>
        <v>831</v>
      </c>
      <c r="V25" s="13">
        <f t="shared" si="6"/>
        <v>7342</v>
      </c>
      <c r="W25" s="9"/>
      <c r="X25" s="11"/>
      <c r="Y25" s="9">
        <f t="shared" si="7"/>
        <v>5721</v>
      </c>
      <c r="Z25" s="9">
        <f t="shared" si="8"/>
        <v>764</v>
      </c>
      <c r="AA25" s="9">
        <f t="shared" si="9"/>
        <v>8173</v>
      </c>
      <c r="AB25" s="9">
        <f t="shared" si="10"/>
        <v>389</v>
      </c>
    </row>
    <row r="26" spans="1:28" ht="15.75" x14ac:dyDescent="0.2">
      <c r="A26" s="23">
        <v>24</v>
      </c>
      <c r="B26" s="24" t="s">
        <v>57</v>
      </c>
      <c r="C26" s="24" t="s">
        <v>58</v>
      </c>
      <c r="D26" s="24" t="s">
        <v>207</v>
      </c>
      <c r="E26" s="24" t="s">
        <v>221</v>
      </c>
      <c r="F26" s="9">
        <f>H26*70%</f>
        <v>5509</v>
      </c>
      <c r="G26" s="9">
        <f>H26-F26</f>
        <v>2361</v>
      </c>
      <c r="H26" s="6">
        <v>7870</v>
      </c>
      <c r="I26" s="9">
        <v>26</v>
      </c>
      <c r="J26" s="10">
        <v>21</v>
      </c>
      <c r="K26" s="10">
        <v>0</v>
      </c>
      <c r="L26" s="9">
        <f t="shared" si="0"/>
        <v>4450</v>
      </c>
      <c r="M26" s="9">
        <f t="shared" si="11"/>
        <v>1906.9615384615383</v>
      </c>
      <c r="N26" s="9">
        <f t="shared" si="12"/>
        <v>0</v>
      </c>
      <c r="O26" s="11">
        <f t="shared" si="1"/>
        <v>6357</v>
      </c>
      <c r="P26" s="9">
        <f t="shared" si="2"/>
        <v>534</v>
      </c>
      <c r="Q26" s="9">
        <f t="shared" si="3"/>
        <v>112</v>
      </c>
      <c r="R26" s="9">
        <f t="shared" si="4"/>
        <v>0</v>
      </c>
      <c r="S26" s="9">
        <v>0</v>
      </c>
      <c r="T26" s="9">
        <v>0</v>
      </c>
      <c r="U26" s="12">
        <f t="shared" si="5"/>
        <v>646</v>
      </c>
      <c r="V26" s="13">
        <f t="shared" si="6"/>
        <v>5711</v>
      </c>
      <c r="W26" s="9"/>
      <c r="X26" s="11"/>
      <c r="Y26" s="9">
        <f t="shared" si="7"/>
        <v>4450</v>
      </c>
      <c r="Z26" s="9">
        <f t="shared" si="8"/>
        <v>595</v>
      </c>
      <c r="AA26" s="9">
        <f t="shared" si="9"/>
        <v>6357</v>
      </c>
      <c r="AB26" s="9">
        <f t="shared" si="10"/>
        <v>302</v>
      </c>
    </row>
    <row r="27" spans="1:28" ht="15.75" x14ac:dyDescent="0.2">
      <c r="A27" s="23">
        <v>25</v>
      </c>
      <c r="B27" s="24" t="s">
        <v>59</v>
      </c>
      <c r="C27" s="24" t="s">
        <v>60</v>
      </c>
      <c r="D27" s="24" t="s">
        <v>211</v>
      </c>
      <c r="E27" s="24" t="s">
        <v>220</v>
      </c>
      <c r="F27" s="9">
        <f>H27*50%</f>
        <v>2712.5</v>
      </c>
      <c r="G27" s="9">
        <f>H27*50%</f>
        <v>2712.5</v>
      </c>
      <c r="H27" s="6">
        <v>5425</v>
      </c>
      <c r="I27" s="9">
        <v>26</v>
      </c>
      <c r="J27" s="10">
        <v>18</v>
      </c>
      <c r="K27" s="10">
        <v>0</v>
      </c>
      <c r="L27" s="9">
        <f t="shared" si="0"/>
        <v>1878</v>
      </c>
      <c r="M27" s="9">
        <f t="shared" si="11"/>
        <v>1877.8846153846155</v>
      </c>
      <c r="N27" s="9">
        <f t="shared" si="12"/>
        <v>0</v>
      </c>
      <c r="O27" s="11">
        <f t="shared" si="1"/>
        <v>3756</v>
      </c>
      <c r="P27" s="9">
        <f t="shared" si="2"/>
        <v>225</v>
      </c>
      <c r="Q27" s="9">
        <f t="shared" si="3"/>
        <v>66</v>
      </c>
      <c r="R27" s="9">
        <f t="shared" si="4"/>
        <v>0</v>
      </c>
      <c r="S27" s="9">
        <v>0</v>
      </c>
      <c r="T27" s="9">
        <v>0</v>
      </c>
      <c r="U27" s="12">
        <f t="shared" si="5"/>
        <v>291</v>
      </c>
      <c r="V27" s="13">
        <f t="shared" si="6"/>
        <v>3465</v>
      </c>
      <c r="W27" s="9"/>
      <c r="X27" s="11"/>
      <c r="Y27" s="9">
        <f t="shared" si="7"/>
        <v>1878</v>
      </c>
      <c r="Z27" s="9">
        <f t="shared" si="8"/>
        <v>251</v>
      </c>
      <c r="AA27" s="9">
        <f t="shared" si="9"/>
        <v>3756</v>
      </c>
      <c r="AB27" s="9">
        <f t="shared" si="10"/>
        <v>179</v>
      </c>
    </row>
    <row r="28" spans="1:28" ht="15.75" x14ac:dyDescent="0.2">
      <c r="A28" s="23">
        <v>26</v>
      </c>
      <c r="B28" s="24" t="s">
        <v>61</v>
      </c>
      <c r="C28" s="24" t="s">
        <v>62</v>
      </c>
      <c r="D28" s="24" t="s">
        <v>207</v>
      </c>
      <c r="E28" s="24" t="s">
        <v>221</v>
      </c>
      <c r="F28" s="9">
        <f>H28*70%</f>
        <v>5509</v>
      </c>
      <c r="G28" s="9">
        <f>H28-F28</f>
        <v>2361</v>
      </c>
      <c r="H28" s="6">
        <v>7870</v>
      </c>
      <c r="I28" s="9">
        <v>26</v>
      </c>
      <c r="J28" s="10">
        <v>21</v>
      </c>
      <c r="K28" s="10">
        <v>0</v>
      </c>
      <c r="L28" s="9">
        <f t="shared" si="0"/>
        <v>4450</v>
      </c>
      <c r="M28" s="9">
        <f t="shared" si="11"/>
        <v>1906.9615384615383</v>
      </c>
      <c r="N28" s="9">
        <f t="shared" si="12"/>
        <v>0</v>
      </c>
      <c r="O28" s="11">
        <f t="shared" si="1"/>
        <v>6357</v>
      </c>
      <c r="P28" s="9">
        <f t="shared" si="2"/>
        <v>534</v>
      </c>
      <c r="Q28" s="9">
        <f t="shared" si="3"/>
        <v>112</v>
      </c>
      <c r="R28" s="9">
        <f t="shared" si="4"/>
        <v>0</v>
      </c>
      <c r="S28" s="9">
        <v>0</v>
      </c>
      <c r="T28" s="9">
        <v>0</v>
      </c>
      <c r="U28" s="12">
        <f t="shared" si="5"/>
        <v>646</v>
      </c>
      <c r="V28" s="13">
        <f t="shared" si="6"/>
        <v>5711</v>
      </c>
      <c r="W28" s="9"/>
      <c r="X28" s="11"/>
      <c r="Y28" s="9">
        <f t="shared" si="7"/>
        <v>4450</v>
      </c>
      <c r="Z28" s="9">
        <f t="shared" si="8"/>
        <v>595</v>
      </c>
      <c r="AA28" s="9">
        <f t="shared" si="9"/>
        <v>6357</v>
      </c>
      <c r="AB28" s="9">
        <f t="shared" si="10"/>
        <v>302</v>
      </c>
    </row>
    <row r="29" spans="1:28" ht="15.75" x14ac:dyDescent="0.2">
      <c r="A29" s="23">
        <v>27</v>
      </c>
      <c r="B29" s="24" t="s">
        <v>63</v>
      </c>
      <c r="C29" s="24" t="s">
        <v>64</v>
      </c>
      <c r="D29" s="24" t="s">
        <v>208</v>
      </c>
      <c r="E29" s="24" t="s">
        <v>221</v>
      </c>
      <c r="F29" s="9">
        <v>7546</v>
      </c>
      <c r="G29" s="9"/>
      <c r="H29" s="6">
        <f>SUBTOTAL(9,F29:G29)</f>
        <v>7546</v>
      </c>
      <c r="I29" s="9">
        <v>26</v>
      </c>
      <c r="J29" s="10">
        <v>24</v>
      </c>
      <c r="K29" s="10">
        <v>0</v>
      </c>
      <c r="L29" s="9">
        <f t="shared" si="0"/>
        <v>6966</v>
      </c>
      <c r="M29" s="9">
        <f t="shared" si="11"/>
        <v>0</v>
      </c>
      <c r="N29" s="9">
        <f t="shared" si="12"/>
        <v>0</v>
      </c>
      <c r="O29" s="11">
        <f t="shared" si="1"/>
        <v>6966</v>
      </c>
      <c r="P29" s="9">
        <f t="shared" si="2"/>
        <v>836</v>
      </c>
      <c r="Q29" s="9">
        <f t="shared" si="3"/>
        <v>122</v>
      </c>
      <c r="R29" s="9">
        <f t="shared" si="4"/>
        <v>0</v>
      </c>
      <c r="S29" s="9">
        <v>0</v>
      </c>
      <c r="T29" s="9">
        <v>0</v>
      </c>
      <c r="U29" s="12">
        <f t="shared" si="5"/>
        <v>958</v>
      </c>
      <c r="V29" s="13">
        <f t="shared" si="6"/>
        <v>6008</v>
      </c>
      <c r="W29" s="9"/>
      <c r="X29" s="11"/>
      <c r="Y29" s="9">
        <f t="shared" si="7"/>
        <v>6966</v>
      </c>
      <c r="Z29" s="9">
        <f t="shared" si="8"/>
        <v>931</v>
      </c>
      <c r="AA29" s="9">
        <f t="shared" si="9"/>
        <v>6966</v>
      </c>
      <c r="AB29" s="9">
        <f t="shared" si="10"/>
        <v>331</v>
      </c>
    </row>
    <row r="30" spans="1:28" ht="15.75" x14ac:dyDescent="0.2">
      <c r="A30" s="23">
        <v>28</v>
      </c>
      <c r="B30" s="24" t="s">
        <v>65</v>
      </c>
      <c r="C30" s="24" t="s">
        <v>66</v>
      </c>
      <c r="D30" s="24" t="s">
        <v>208</v>
      </c>
      <c r="E30" s="24" t="s">
        <v>223</v>
      </c>
      <c r="F30" s="9">
        <v>9132</v>
      </c>
      <c r="G30" s="9">
        <v>550</v>
      </c>
      <c r="H30" s="6">
        <f>F30+G30</f>
        <v>9682</v>
      </c>
      <c r="I30" s="9">
        <v>26</v>
      </c>
      <c r="J30" s="10">
        <v>24</v>
      </c>
      <c r="K30" s="10">
        <v>0</v>
      </c>
      <c r="L30" s="9">
        <f t="shared" si="0"/>
        <v>8430</v>
      </c>
      <c r="M30" s="9">
        <f t="shared" si="11"/>
        <v>507.69230769230768</v>
      </c>
      <c r="N30" s="9">
        <f t="shared" si="12"/>
        <v>0</v>
      </c>
      <c r="O30" s="11">
        <f t="shared" si="1"/>
        <v>8938</v>
      </c>
      <c r="P30" s="9">
        <f t="shared" si="2"/>
        <v>1012</v>
      </c>
      <c r="Q30" s="9">
        <f t="shared" si="3"/>
        <v>157</v>
      </c>
      <c r="R30" s="9">
        <f t="shared" si="4"/>
        <v>0</v>
      </c>
      <c r="S30" s="9">
        <v>0</v>
      </c>
      <c r="T30" s="9">
        <v>0</v>
      </c>
      <c r="U30" s="12">
        <f t="shared" si="5"/>
        <v>1169</v>
      </c>
      <c r="V30" s="13">
        <f t="shared" si="6"/>
        <v>7769</v>
      </c>
      <c r="W30" s="9"/>
      <c r="X30" s="11"/>
      <c r="Y30" s="9">
        <f t="shared" si="7"/>
        <v>8430</v>
      </c>
      <c r="Z30" s="9">
        <f t="shared" si="8"/>
        <v>1126</v>
      </c>
      <c r="AA30" s="9">
        <f t="shared" si="9"/>
        <v>8937</v>
      </c>
      <c r="AB30" s="9">
        <f t="shared" si="10"/>
        <v>425</v>
      </c>
    </row>
    <row r="31" spans="1:28" ht="15.75" x14ac:dyDescent="0.2">
      <c r="A31" s="23">
        <v>29</v>
      </c>
      <c r="B31" s="24" t="s">
        <v>67</v>
      </c>
      <c r="C31" s="24" t="s">
        <v>68</v>
      </c>
      <c r="D31" s="24" t="s">
        <v>208</v>
      </c>
      <c r="E31" s="24" t="s">
        <v>220</v>
      </c>
      <c r="F31" s="9">
        <v>7546</v>
      </c>
      <c r="G31" s="9">
        <f>ROUND((F31*50%)/8*4,0)</f>
        <v>1887</v>
      </c>
      <c r="H31" s="6">
        <f>F31+G31</f>
        <v>9433</v>
      </c>
      <c r="I31" s="9">
        <v>26</v>
      </c>
      <c r="J31" s="10">
        <v>24</v>
      </c>
      <c r="K31" s="10">
        <v>0</v>
      </c>
      <c r="L31" s="9">
        <f t="shared" si="0"/>
        <v>6966</v>
      </c>
      <c r="M31" s="9">
        <f t="shared" si="11"/>
        <v>1741.8461538461538</v>
      </c>
      <c r="N31" s="9">
        <f t="shared" si="12"/>
        <v>0</v>
      </c>
      <c r="O31" s="11">
        <f t="shared" si="1"/>
        <v>8708</v>
      </c>
      <c r="P31" s="9">
        <f t="shared" si="2"/>
        <v>836</v>
      </c>
      <c r="Q31" s="9">
        <f t="shared" si="3"/>
        <v>153</v>
      </c>
      <c r="R31" s="9">
        <f t="shared" si="4"/>
        <v>0</v>
      </c>
      <c r="S31" s="9">
        <v>0</v>
      </c>
      <c r="T31" s="9">
        <v>0</v>
      </c>
      <c r="U31" s="12">
        <f t="shared" si="5"/>
        <v>989</v>
      </c>
      <c r="V31" s="13">
        <f t="shared" si="6"/>
        <v>7719</v>
      </c>
      <c r="W31" s="9"/>
      <c r="X31" s="11"/>
      <c r="Y31" s="9">
        <f t="shared" si="7"/>
        <v>6966</v>
      </c>
      <c r="Z31" s="9">
        <f t="shared" si="8"/>
        <v>931</v>
      </c>
      <c r="AA31" s="9">
        <f t="shared" si="9"/>
        <v>8707</v>
      </c>
      <c r="AB31" s="9">
        <f t="shared" si="10"/>
        <v>414</v>
      </c>
    </row>
    <row r="32" spans="1:28" ht="15.75" x14ac:dyDescent="0.2">
      <c r="A32" s="23">
        <v>30</v>
      </c>
      <c r="B32" s="24" t="s">
        <v>69</v>
      </c>
      <c r="C32" s="24" t="s">
        <v>70</v>
      </c>
      <c r="D32" s="24" t="s">
        <v>208</v>
      </c>
      <c r="E32" s="24" t="s">
        <v>224</v>
      </c>
      <c r="F32" s="9">
        <v>7546</v>
      </c>
      <c r="G32" s="9">
        <v>7080</v>
      </c>
      <c r="H32" s="6">
        <f>F32+G32</f>
        <v>14626</v>
      </c>
      <c r="I32" s="9">
        <v>26</v>
      </c>
      <c r="J32" s="10">
        <v>26</v>
      </c>
      <c r="K32" s="10">
        <v>1</v>
      </c>
      <c r="L32" s="9">
        <f t="shared" si="0"/>
        <v>7546</v>
      </c>
      <c r="M32" s="9">
        <f t="shared" si="11"/>
        <v>7080</v>
      </c>
      <c r="N32" s="9">
        <f t="shared" si="12"/>
        <v>562.53846153846155</v>
      </c>
      <c r="O32" s="11">
        <f t="shared" si="1"/>
        <v>15189</v>
      </c>
      <c r="P32" s="9">
        <f t="shared" si="2"/>
        <v>906</v>
      </c>
      <c r="Q32" s="9">
        <f t="shared" si="3"/>
        <v>266</v>
      </c>
      <c r="R32" s="9">
        <f t="shared" si="4"/>
        <v>130</v>
      </c>
      <c r="S32" s="9">
        <v>0</v>
      </c>
      <c r="T32" s="9">
        <v>0</v>
      </c>
      <c r="U32" s="12">
        <f t="shared" si="5"/>
        <v>1302</v>
      </c>
      <c r="V32" s="13">
        <f t="shared" si="6"/>
        <v>13887</v>
      </c>
      <c r="W32" s="9"/>
      <c r="X32" s="11"/>
      <c r="Y32" s="9">
        <f t="shared" si="7"/>
        <v>7546</v>
      </c>
      <c r="Z32" s="9">
        <f t="shared" si="8"/>
        <v>1008</v>
      </c>
      <c r="AA32" s="9">
        <f t="shared" si="9"/>
        <v>15189</v>
      </c>
      <c r="AB32" s="9">
        <f t="shared" si="10"/>
        <v>722</v>
      </c>
    </row>
    <row r="33" spans="1:28" ht="15.75" x14ac:dyDescent="0.2">
      <c r="A33" s="23">
        <v>31</v>
      </c>
      <c r="B33" s="24" t="s">
        <v>71</v>
      </c>
      <c r="C33" s="24" t="s">
        <v>72</v>
      </c>
      <c r="D33" s="24" t="s">
        <v>207</v>
      </c>
      <c r="E33" s="24" t="s">
        <v>221</v>
      </c>
      <c r="F33" s="9">
        <f>H33*70%</f>
        <v>5509</v>
      </c>
      <c r="G33" s="9">
        <f>H33-F33</f>
        <v>2361</v>
      </c>
      <c r="H33" s="6">
        <v>7870</v>
      </c>
      <c r="I33" s="9">
        <v>26</v>
      </c>
      <c r="J33" s="10">
        <v>1</v>
      </c>
      <c r="K33" s="10">
        <v>0</v>
      </c>
      <c r="L33" s="9">
        <f t="shared" si="0"/>
        <v>212</v>
      </c>
      <c r="M33" s="9">
        <f t="shared" si="11"/>
        <v>90.807692307692307</v>
      </c>
      <c r="N33" s="9">
        <f t="shared" si="12"/>
        <v>0</v>
      </c>
      <c r="O33" s="11">
        <f t="shared" si="1"/>
        <v>303</v>
      </c>
      <c r="P33" s="9">
        <f t="shared" si="2"/>
        <v>25</v>
      </c>
      <c r="Q33" s="9">
        <f t="shared" si="3"/>
        <v>6</v>
      </c>
      <c r="R33" s="9">
        <f t="shared" si="4"/>
        <v>0</v>
      </c>
      <c r="S33" s="9">
        <v>0</v>
      </c>
      <c r="T33" s="9">
        <v>0</v>
      </c>
      <c r="U33" s="12">
        <f t="shared" si="5"/>
        <v>31</v>
      </c>
      <c r="V33" s="13">
        <f t="shared" si="6"/>
        <v>272</v>
      </c>
      <c r="W33" s="9"/>
      <c r="X33" s="11"/>
      <c r="Y33" s="9">
        <f t="shared" si="7"/>
        <v>212</v>
      </c>
      <c r="Z33" s="9">
        <f t="shared" si="8"/>
        <v>28</v>
      </c>
      <c r="AA33" s="9">
        <f t="shared" si="9"/>
        <v>303</v>
      </c>
      <c r="AB33" s="9">
        <f t="shared" si="10"/>
        <v>15</v>
      </c>
    </row>
    <row r="34" spans="1:28" ht="15.75" x14ac:dyDescent="0.2">
      <c r="A34" s="23">
        <v>32</v>
      </c>
      <c r="B34" s="24" t="s">
        <v>73</v>
      </c>
      <c r="C34" s="24" t="s">
        <v>74</v>
      </c>
      <c r="D34" s="24" t="s">
        <v>208</v>
      </c>
      <c r="E34" s="24" t="s">
        <v>221</v>
      </c>
      <c r="F34" s="9">
        <v>7546</v>
      </c>
      <c r="G34" s="9"/>
      <c r="H34" s="6">
        <f>SUBTOTAL(9,F34:G34)</f>
        <v>7546</v>
      </c>
      <c r="I34" s="9">
        <v>26</v>
      </c>
      <c r="J34" s="10">
        <v>25</v>
      </c>
      <c r="K34" s="10">
        <v>0</v>
      </c>
      <c r="L34" s="9">
        <f t="shared" si="0"/>
        <v>7256</v>
      </c>
      <c r="M34" s="9">
        <f t="shared" si="11"/>
        <v>0</v>
      </c>
      <c r="N34" s="9">
        <f t="shared" si="12"/>
        <v>0</v>
      </c>
      <c r="O34" s="11">
        <f t="shared" si="1"/>
        <v>7256</v>
      </c>
      <c r="P34" s="9">
        <f t="shared" si="2"/>
        <v>871</v>
      </c>
      <c r="Q34" s="9">
        <f t="shared" si="3"/>
        <v>127</v>
      </c>
      <c r="R34" s="9">
        <f t="shared" si="4"/>
        <v>0</v>
      </c>
      <c r="S34" s="9">
        <v>0</v>
      </c>
      <c r="T34" s="9">
        <v>0</v>
      </c>
      <c r="U34" s="12">
        <f t="shared" si="5"/>
        <v>998</v>
      </c>
      <c r="V34" s="13">
        <f t="shared" si="6"/>
        <v>6258</v>
      </c>
      <c r="W34" s="9"/>
      <c r="X34" s="11"/>
      <c r="Y34" s="9">
        <f t="shared" si="7"/>
        <v>7256</v>
      </c>
      <c r="Z34" s="9">
        <f t="shared" si="8"/>
        <v>969</v>
      </c>
      <c r="AA34" s="9">
        <f t="shared" si="9"/>
        <v>7256</v>
      </c>
      <c r="AB34" s="9">
        <f t="shared" si="10"/>
        <v>345</v>
      </c>
    </row>
    <row r="35" spans="1:28" ht="15.75" x14ac:dyDescent="0.2">
      <c r="A35" s="23">
        <v>33</v>
      </c>
      <c r="B35" s="24" t="s">
        <v>75</v>
      </c>
      <c r="C35" s="24" t="s">
        <v>76</v>
      </c>
      <c r="D35" s="24" t="s">
        <v>208</v>
      </c>
      <c r="E35" s="24" t="s">
        <v>220</v>
      </c>
      <c r="F35" s="9">
        <v>7546</v>
      </c>
      <c r="G35" s="9">
        <f>ROUND((F35*50%)/8*4,0)</f>
        <v>1887</v>
      </c>
      <c r="H35" s="6">
        <f>F35+G35</f>
        <v>9433</v>
      </c>
      <c r="I35" s="9">
        <v>26</v>
      </c>
      <c r="J35" s="10">
        <v>24</v>
      </c>
      <c r="K35" s="10">
        <v>0</v>
      </c>
      <c r="L35" s="9">
        <f t="shared" si="0"/>
        <v>6966</v>
      </c>
      <c r="M35" s="9">
        <f t="shared" si="11"/>
        <v>1741.8461538461538</v>
      </c>
      <c r="N35" s="9">
        <f t="shared" si="12"/>
        <v>0</v>
      </c>
      <c r="O35" s="11">
        <f t="shared" si="1"/>
        <v>8708</v>
      </c>
      <c r="P35" s="9">
        <f t="shared" si="2"/>
        <v>836</v>
      </c>
      <c r="Q35" s="9">
        <f t="shared" si="3"/>
        <v>153</v>
      </c>
      <c r="R35" s="9">
        <f t="shared" si="4"/>
        <v>0</v>
      </c>
      <c r="S35" s="9">
        <v>0</v>
      </c>
      <c r="T35" s="9">
        <v>0</v>
      </c>
      <c r="U35" s="12">
        <f t="shared" si="5"/>
        <v>989</v>
      </c>
      <c r="V35" s="13">
        <f t="shared" si="6"/>
        <v>7719</v>
      </c>
      <c r="W35" s="9"/>
      <c r="X35" s="11"/>
      <c r="Y35" s="9">
        <f t="shared" si="7"/>
        <v>6966</v>
      </c>
      <c r="Z35" s="9">
        <f t="shared" si="8"/>
        <v>931</v>
      </c>
      <c r="AA35" s="9">
        <f t="shared" si="9"/>
        <v>8707</v>
      </c>
      <c r="AB35" s="9">
        <f t="shared" si="10"/>
        <v>414</v>
      </c>
    </row>
    <row r="36" spans="1:28" ht="15.75" x14ac:dyDescent="0.2">
      <c r="A36" s="26">
        <v>34</v>
      </c>
      <c r="B36" s="27" t="s">
        <v>77</v>
      </c>
      <c r="C36" s="24" t="s">
        <v>78</v>
      </c>
      <c r="D36" s="24" t="s">
        <v>208</v>
      </c>
      <c r="E36" s="24" t="s">
        <v>222</v>
      </c>
      <c r="F36" s="9">
        <v>9132</v>
      </c>
      <c r="G36" s="9">
        <v>2283</v>
      </c>
      <c r="H36" s="6">
        <f>SUM(F36:G36)</f>
        <v>11415</v>
      </c>
      <c r="I36" s="9">
        <v>26</v>
      </c>
      <c r="J36" s="10">
        <v>3</v>
      </c>
      <c r="K36" s="10">
        <v>0</v>
      </c>
      <c r="L36" s="9">
        <f t="shared" si="0"/>
        <v>1054</v>
      </c>
      <c r="M36" s="9">
        <f t="shared" si="11"/>
        <v>263.42307692307691</v>
      </c>
      <c r="N36" s="9">
        <f t="shared" si="12"/>
        <v>0</v>
      </c>
      <c r="O36" s="11">
        <f t="shared" si="1"/>
        <v>1317</v>
      </c>
      <c r="P36" s="9">
        <f t="shared" si="2"/>
        <v>126</v>
      </c>
      <c r="Q36" s="9">
        <f t="shared" si="3"/>
        <v>24</v>
      </c>
      <c r="R36" s="9">
        <f t="shared" si="4"/>
        <v>0</v>
      </c>
      <c r="S36" s="9">
        <v>0</v>
      </c>
      <c r="T36" s="9">
        <v>0</v>
      </c>
      <c r="U36" s="12">
        <f t="shared" si="5"/>
        <v>150</v>
      </c>
      <c r="V36" s="13">
        <f t="shared" si="6"/>
        <v>1167</v>
      </c>
      <c r="W36" s="9"/>
      <c r="X36" s="11"/>
      <c r="Y36" s="9">
        <f t="shared" si="7"/>
        <v>1054</v>
      </c>
      <c r="Z36" s="9">
        <f t="shared" si="8"/>
        <v>141</v>
      </c>
      <c r="AA36" s="9">
        <f t="shared" si="9"/>
        <v>1317</v>
      </c>
      <c r="AB36" s="9">
        <f t="shared" si="10"/>
        <v>63</v>
      </c>
    </row>
    <row r="37" spans="1:28" ht="15.75" x14ac:dyDescent="0.2">
      <c r="A37" s="23">
        <v>35</v>
      </c>
      <c r="B37" s="24" t="s">
        <v>79</v>
      </c>
      <c r="C37" s="24" t="s">
        <v>80</v>
      </c>
      <c r="D37" s="24" t="s">
        <v>208</v>
      </c>
      <c r="E37" s="24" t="s">
        <v>221</v>
      </c>
      <c r="F37" s="9">
        <v>7546</v>
      </c>
      <c r="G37" s="9"/>
      <c r="H37" s="6">
        <f>SUBTOTAL(9,F37:G37)</f>
        <v>7546</v>
      </c>
      <c r="I37" s="9">
        <v>26</v>
      </c>
      <c r="J37" s="10">
        <v>1</v>
      </c>
      <c r="K37" s="10">
        <v>0</v>
      </c>
      <c r="L37" s="9">
        <f t="shared" si="0"/>
        <v>290</v>
      </c>
      <c r="M37" s="9">
        <f t="shared" si="11"/>
        <v>0</v>
      </c>
      <c r="N37" s="9">
        <f t="shared" si="12"/>
        <v>0</v>
      </c>
      <c r="O37" s="11">
        <f t="shared" si="1"/>
        <v>290</v>
      </c>
      <c r="P37" s="9">
        <f t="shared" si="2"/>
        <v>35</v>
      </c>
      <c r="Q37" s="9">
        <f t="shared" si="3"/>
        <v>6</v>
      </c>
      <c r="R37" s="9">
        <f t="shared" si="4"/>
        <v>0</v>
      </c>
      <c r="S37" s="9">
        <v>0</v>
      </c>
      <c r="T37" s="9">
        <v>0</v>
      </c>
      <c r="U37" s="12">
        <f t="shared" si="5"/>
        <v>41</v>
      </c>
      <c r="V37" s="13">
        <f t="shared" si="6"/>
        <v>249</v>
      </c>
      <c r="W37" s="9"/>
      <c r="X37" s="11"/>
      <c r="Y37" s="9">
        <f t="shared" si="7"/>
        <v>290</v>
      </c>
      <c r="Z37" s="9">
        <f t="shared" si="8"/>
        <v>39</v>
      </c>
      <c r="AA37" s="9">
        <f t="shared" si="9"/>
        <v>290</v>
      </c>
      <c r="AB37" s="9">
        <f t="shared" si="10"/>
        <v>14</v>
      </c>
    </row>
    <row r="38" spans="1:28" ht="15.75" x14ac:dyDescent="0.2">
      <c r="A38" s="23">
        <v>36</v>
      </c>
      <c r="B38" s="24" t="s">
        <v>81</v>
      </c>
      <c r="C38" s="24" t="s">
        <v>82</v>
      </c>
      <c r="D38" s="24" t="s">
        <v>212</v>
      </c>
      <c r="E38" s="24" t="s">
        <v>220</v>
      </c>
      <c r="F38" s="9">
        <f>H38*70%</f>
        <v>4668.2999999999993</v>
      </c>
      <c r="G38" s="9">
        <f>H38*30%</f>
        <v>2000.6999999999998</v>
      </c>
      <c r="H38" s="6">
        <v>6669</v>
      </c>
      <c r="I38" s="9">
        <v>26</v>
      </c>
      <c r="J38" s="10">
        <v>29</v>
      </c>
      <c r="K38" s="10">
        <v>0</v>
      </c>
      <c r="L38" s="9">
        <f t="shared" si="0"/>
        <v>5207</v>
      </c>
      <c r="M38" s="9">
        <f t="shared" si="11"/>
        <v>2231.5499999999997</v>
      </c>
      <c r="N38" s="9">
        <f t="shared" si="12"/>
        <v>0</v>
      </c>
      <c r="O38" s="11">
        <f t="shared" si="1"/>
        <v>7439</v>
      </c>
      <c r="P38" s="9">
        <f t="shared" si="2"/>
        <v>625</v>
      </c>
      <c r="Q38" s="9">
        <f t="shared" si="3"/>
        <v>131</v>
      </c>
      <c r="R38" s="9">
        <f t="shared" si="4"/>
        <v>0</v>
      </c>
      <c r="S38" s="9">
        <v>0</v>
      </c>
      <c r="T38" s="9">
        <v>0</v>
      </c>
      <c r="U38" s="12">
        <f t="shared" si="5"/>
        <v>756</v>
      </c>
      <c r="V38" s="13">
        <f t="shared" si="6"/>
        <v>6683</v>
      </c>
      <c r="W38" s="9"/>
      <c r="X38" s="11"/>
      <c r="Y38" s="9">
        <f t="shared" si="7"/>
        <v>5207</v>
      </c>
      <c r="Z38" s="9">
        <f t="shared" si="8"/>
        <v>696</v>
      </c>
      <c r="AA38" s="9">
        <f t="shared" si="9"/>
        <v>7439</v>
      </c>
      <c r="AB38" s="9">
        <f t="shared" si="10"/>
        <v>354</v>
      </c>
    </row>
    <row r="39" spans="1:28" ht="15.75" x14ac:dyDescent="0.2">
      <c r="A39" s="23">
        <v>37</v>
      </c>
      <c r="B39" s="24" t="s">
        <v>83</v>
      </c>
      <c r="C39" s="24" t="s">
        <v>84</v>
      </c>
      <c r="D39" s="24" t="s">
        <v>208</v>
      </c>
      <c r="E39" s="24" t="s">
        <v>220</v>
      </c>
      <c r="F39" s="9">
        <v>7546</v>
      </c>
      <c r="G39" s="9">
        <f>ROUND((F39*50%)/8*4,0)</f>
        <v>1887</v>
      </c>
      <c r="H39" s="6">
        <f>F39+G39</f>
        <v>9433</v>
      </c>
      <c r="I39" s="9">
        <v>26</v>
      </c>
      <c r="J39" s="10">
        <v>24</v>
      </c>
      <c r="K39" s="10">
        <v>0</v>
      </c>
      <c r="L39" s="9">
        <f t="shared" si="0"/>
        <v>6966</v>
      </c>
      <c r="M39" s="9">
        <f t="shared" si="11"/>
        <v>1741.8461538461538</v>
      </c>
      <c r="N39" s="9">
        <f t="shared" si="12"/>
        <v>0</v>
      </c>
      <c r="O39" s="11">
        <f t="shared" si="1"/>
        <v>8708</v>
      </c>
      <c r="P39" s="9">
        <f t="shared" si="2"/>
        <v>836</v>
      </c>
      <c r="Q39" s="9">
        <f t="shared" si="3"/>
        <v>153</v>
      </c>
      <c r="R39" s="9">
        <f t="shared" si="4"/>
        <v>0</v>
      </c>
      <c r="S39" s="9">
        <v>0</v>
      </c>
      <c r="T39" s="9">
        <v>0</v>
      </c>
      <c r="U39" s="12">
        <f t="shared" si="5"/>
        <v>989</v>
      </c>
      <c r="V39" s="13">
        <f t="shared" si="6"/>
        <v>7719</v>
      </c>
      <c r="W39" s="9"/>
      <c r="X39" s="11"/>
      <c r="Y39" s="9">
        <f t="shared" si="7"/>
        <v>6966</v>
      </c>
      <c r="Z39" s="9">
        <f t="shared" si="8"/>
        <v>931</v>
      </c>
      <c r="AA39" s="9">
        <f t="shared" si="9"/>
        <v>8707</v>
      </c>
      <c r="AB39" s="9">
        <f t="shared" si="10"/>
        <v>414</v>
      </c>
    </row>
    <row r="40" spans="1:28" ht="15.75" x14ac:dyDescent="0.2">
      <c r="A40" s="23">
        <v>38</v>
      </c>
      <c r="B40" s="24" t="s">
        <v>85</v>
      </c>
      <c r="C40" s="24" t="s">
        <v>86</v>
      </c>
      <c r="D40" s="24" t="s">
        <v>208</v>
      </c>
      <c r="E40" s="24" t="s">
        <v>220</v>
      </c>
      <c r="F40" s="9">
        <v>7546</v>
      </c>
      <c r="G40" s="9">
        <f>ROUND((F40*50%)/8*4,0)</f>
        <v>1887</v>
      </c>
      <c r="H40" s="6">
        <f>F40+G40</f>
        <v>9433</v>
      </c>
      <c r="I40" s="9">
        <v>26</v>
      </c>
      <c r="J40" s="10">
        <v>24</v>
      </c>
      <c r="K40" s="10">
        <v>0</v>
      </c>
      <c r="L40" s="9">
        <f t="shared" si="0"/>
        <v>6966</v>
      </c>
      <c r="M40" s="9">
        <f t="shared" si="11"/>
        <v>1741.8461538461538</v>
      </c>
      <c r="N40" s="9">
        <f t="shared" si="12"/>
        <v>0</v>
      </c>
      <c r="O40" s="11">
        <f t="shared" si="1"/>
        <v>8708</v>
      </c>
      <c r="P40" s="9">
        <f t="shared" si="2"/>
        <v>836</v>
      </c>
      <c r="Q40" s="9">
        <f t="shared" si="3"/>
        <v>153</v>
      </c>
      <c r="R40" s="9">
        <f t="shared" si="4"/>
        <v>0</v>
      </c>
      <c r="S40" s="9">
        <v>0</v>
      </c>
      <c r="T40" s="9">
        <v>0</v>
      </c>
      <c r="U40" s="12">
        <f t="shared" si="5"/>
        <v>989</v>
      </c>
      <c r="V40" s="13">
        <f t="shared" si="6"/>
        <v>7719</v>
      </c>
      <c r="W40" s="9"/>
      <c r="X40" s="11"/>
      <c r="Y40" s="9">
        <f t="shared" si="7"/>
        <v>6966</v>
      </c>
      <c r="Z40" s="9">
        <f t="shared" si="8"/>
        <v>931</v>
      </c>
      <c r="AA40" s="9">
        <f t="shared" si="9"/>
        <v>8707</v>
      </c>
      <c r="AB40" s="9">
        <f t="shared" si="10"/>
        <v>414</v>
      </c>
    </row>
    <row r="41" spans="1:28" ht="15.75" x14ac:dyDescent="0.2">
      <c r="A41" s="23">
        <v>39</v>
      </c>
      <c r="B41" s="24" t="s">
        <v>87</v>
      </c>
      <c r="C41" s="24" t="s">
        <v>88</v>
      </c>
      <c r="D41" s="24" t="s">
        <v>209</v>
      </c>
      <c r="E41" s="24" t="s">
        <v>221</v>
      </c>
      <c r="F41" s="9">
        <v>7108</v>
      </c>
      <c r="G41" s="9">
        <v>92</v>
      </c>
      <c r="H41" s="6">
        <f>SUBTOTAL(9,F41:G41)</f>
        <v>7200</v>
      </c>
      <c r="I41" s="9">
        <v>26</v>
      </c>
      <c r="J41" s="10">
        <v>0</v>
      </c>
      <c r="K41" s="10">
        <v>0</v>
      </c>
      <c r="L41" s="9">
        <f t="shared" si="0"/>
        <v>0</v>
      </c>
      <c r="M41" s="9">
        <f t="shared" si="11"/>
        <v>0</v>
      </c>
      <c r="N41" s="9">
        <f t="shared" si="12"/>
        <v>0</v>
      </c>
      <c r="O41" s="11">
        <f t="shared" si="1"/>
        <v>0</v>
      </c>
      <c r="P41" s="9">
        <f t="shared" si="2"/>
        <v>0</v>
      </c>
      <c r="Q41" s="9">
        <f t="shared" si="3"/>
        <v>0</v>
      </c>
      <c r="R41" s="9">
        <f t="shared" si="4"/>
        <v>0</v>
      </c>
      <c r="S41" s="9">
        <v>0</v>
      </c>
      <c r="T41" s="9">
        <v>0</v>
      </c>
      <c r="U41" s="12">
        <f t="shared" si="5"/>
        <v>0</v>
      </c>
      <c r="V41" s="13">
        <f t="shared" si="6"/>
        <v>0</v>
      </c>
      <c r="W41" s="9"/>
      <c r="X41" s="11"/>
      <c r="Y41" s="9">
        <f t="shared" si="7"/>
        <v>0</v>
      </c>
      <c r="Z41" s="9">
        <f t="shared" si="8"/>
        <v>0</v>
      </c>
      <c r="AA41" s="9">
        <f t="shared" si="9"/>
        <v>0</v>
      </c>
      <c r="AB41" s="9">
        <f t="shared" si="10"/>
        <v>0</v>
      </c>
    </row>
    <row r="42" spans="1:28" ht="15.75" x14ac:dyDescent="0.2">
      <c r="A42" s="23">
        <v>40</v>
      </c>
      <c r="B42" s="24" t="s">
        <v>89</v>
      </c>
      <c r="C42" s="24" t="s">
        <v>90</v>
      </c>
      <c r="D42" s="24" t="s">
        <v>208</v>
      </c>
      <c r="E42" s="24" t="s">
        <v>220</v>
      </c>
      <c r="F42" s="9">
        <v>7546</v>
      </c>
      <c r="G42" s="9">
        <f>ROUND((F42*50%)/8*4,0)</f>
        <v>1887</v>
      </c>
      <c r="H42" s="6">
        <f>F42+G42</f>
        <v>9433</v>
      </c>
      <c r="I42" s="9">
        <v>26</v>
      </c>
      <c r="J42" s="10">
        <v>0</v>
      </c>
      <c r="K42" s="10">
        <v>0</v>
      </c>
      <c r="L42" s="9">
        <f t="shared" si="0"/>
        <v>0</v>
      </c>
      <c r="M42" s="9">
        <f t="shared" si="11"/>
        <v>0</v>
      </c>
      <c r="N42" s="9">
        <f t="shared" si="12"/>
        <v>0</v>
      </c>
      <c r="O42" s="11">
        <f t="shared" si="1"/>
        <v>0</v>
      </c>
      <c r="P42" s="9">
        <f t="shared" si="2"/>
        <v>0</v>
      </c>
      <c r="Q42" s="9">
        <f t="shared" si="3"/>
        <v>0</v>
      </c>
      <c r="R42" s="9">
        <f t="shared" si="4"/>
        <v>0</v>
      </c>
      <c r="S42" s="9">
        <v>0</v>
      </c>
      <c r="T42" s="9">
        <v>0</v>
      </c>
      <c r="U42" s="12">
        <f t="shared" si="5"/>
        <v>0</v>
      </c>
      <c r="V42" s="13">
        <f t="shared" si="6"/>
        <v>0</v>
      </c>
      <c r="W42" s="9"/>
      <c r="X42" s="11"/>
      <c r="Y42" s="9">
        <f t="shared" si="7"/>
        <v>0</v>
      </c>
      <c r="Z42" s="9">
        <f t="shared" si="8"/>
        <v>0</v>
      </c>
      <c r="AA42" s="9">
        <f t="shared" si="9"/>
        <v>0</v>
      </c>
      <c r="AB42" s="9">
        <f t="shared" si="10"/>
        <v>0</v>
      </c>
    </row>
    <row r="43" spans="1:28" ht="15.75" x14ac:dyDescent="0.2">
      <c r="A43" s="23">
        <v>41</v>
      </c>
      <c r="B43" s="24" t="s">
        <v>91</v>
      </c>
      <c r="C43" s="24" t="s">
        <v>92</v>
      </c>
      <c r="D43" s="24" t="s">
        <v>209</v>
      </c>
      <c r="E43" s="24" t="s">
        <v>221</v>
      </c>
      <c r="F43" s="9">
        <v>7108</v>
      </c>
      <c r="G43" s="9">
        <v>92</v>
      </c>
      <c r="H43" s="6">
        <f>SUBTOTAL(9,F43:G43)</f>
        <v>7200</v>
      </c>
      <c r="I43" s="9">
        <v>26</v>
      </c>
      <c r="J43" s="10">
        <v>27</v>
      </c>
      <c r="K43" s="10">
        <v>0</v>
      </c>
      <c r="L43" s="9">
        <f t="shared" si="0"/>
        <v>7381</v>
      </c>
      <c r="M43" s="9">
        <f t="shared" si="11"/>
        <v>95.538461538461533</v>
      </c>
      <c r="N43" s="9">
        <f t="shared" si="12"/>
        <v>0</v>
      </c>
      <c r="O43" s="11">
        <f t="shared" si="1"/>
        <v>7477</v>
      </c>
      <c r="P43" s="9">
        <f t="shared" si="2"/>
        <v>886</v>
      </c>
      <c r="Q43" s="9">
        <f t="shared" si="3"/>
        <v>131</v>
      </c>
      <c r="R43" s="9">
        <f t="shared" si="4"/>
        <v>0</v>
      </c>
      <c r="S43" s="9">
        <v>0</v>
      </c>
      <c r="T43" s="9">
        <v>0</v>
      </c>
      <c r="U43" s="12">
        <f t="shared" si="5"/>
        <v>1017</v>
      </c>
      <c r="V43" s="13">
        <f t="shared" si="6"/>
        <v>6460</v>
      </c>
      <c r="W43" s="9"/>
      <c r="X43" s="11"/>
      <c r="Y43" s="9">
        <f t="shared" si="7"/>
        <v>7381</v>
      </c>
      <c r="Z43" s="9">
        <f t="shared" si="8"/>
        <v>986</v>
      </c>
      <c r="AA43" s="9">
        <f t="shared" si="9"/>
        <v>7477</v>
      </c>
      <c r="AB43" s="9">
        <f t="shared" si="10"/>
        <v>356</v>
      </c>
    </row>
    <row r="44" spans="1:28" ht="15.75" x14ac:dyDescent="0.2">
      <c r="A44" s="23">
        <v>42</v>
      </c>
      <c r="B44" s="24" t="s">
        <v>93</v>
      </c>
      <c r="C44" s="24" t="s">
        <v>94</v>
      </c>
      <c r="D44" s="24" t="s">
        <v>208</v>
      </c>
      <c r="E44" s="24" t="s">
        <v>221</v>
      </c>
      <c r="F44" s="9">
        <v>7546</v>
      </c>
      <c r="G44" s="9"/>
      <c r="H44" s="6">
        <f>SUBTOTAL(9,F44:G44)</f>
        <v>7546</v>
      </c>
      <c r="I44" s="9">
        <v>26</v>
      </c>
      <c r="J44" s="10">
        <v>20</v>
      </c>
      <c r="K44" s="10">
        <v>0</v>
      </c>
      <c r="L44" s="9">
        <f t="shared" si="0"/>
        <v>5805</v>
      </c>
      <c r="M44" s="9">
        <f t="shared" si="11"/>
        <v>0</v>
      </c>
      <c r="N44" s="9">
        <f t="shared" si="12"/>
        <v>0</v>
      </c>
      <c r="O44" s="11">
        <f t="shared" si="1"/>
        <v>5805</v>
      </c>
      <c r="P44" s="9">
        <f t="shared" si="2"/>
        <v>697</v>
      </c>
      <c r="Q44" s="9">
        <f t="shared" si="3"/>
        <v>102</v>
      </c>
      <c r="R44" s="9">
        <f t="shared" si="4"/>
        <v>0</v>
      </c>
      <c r="S44" s="9">
        <v>0</v>
      </c>
      <c r="T44" s="9">
        <v>0</v>
      </c>
      <c r="U44" s="12">
        <f t="shared" si="5"/>
        <v>799</v>
      </c>
      <c r="V44" s="13">
        <f t="shared" si="6"/>
        <v>5006</v>
      </c>
      <c r="W44" s="9"/>
      <c r="X44" s="11"/>
      <c r="Y44" s="9">
        <f t="shared" si="7"/>
        <v>5805</v>
      </c>
      <c r="Z44" s="9">
        <f t="shared" si="8"/>
        <v>776</v>
      </c>
      <c r="AA44" s="9">
        <f t="shared" si="9"/>
        <v>5805</v>
      </c>
      <c r="AB44" s="9">
        <f t="shared" si="10"/>
        <v>276</v>
      </c>
    </row>
    <row r="45" spans="1:28" ht="15.75" x14ac:dyDescent="0.2">
      <c r="A45" s="23">
        <v>43</v>
      </c>
      <c r="B45" s="24" t="s">
        <v>95</v>
      </c>
      <c r="C45" s="24" t="s">
        <v>96</v>
      </c>
      <c r="D45" s="24" t="s">
        <v>207</v>
      </c>
      <c r="E45" s="24" t="s">
        <v>220</v>
      </c>
      <c r="F45" s="9">
        <f>H45*70%</f>
        <v>5509</v>
      </c>
      <c r="G45" s="9">
        <f>H45-F45</f>
        <v>2361</v>
      </c>
      <c r="H45" s="6">
        <v>7870</v>
      </c>
      <c r="I45" s="9">
        <v>26</v>
      </c>
      <c r="J45" s="10">
        <v>19</v>
      </c>
      <c r="K45" s="10">
        <v>0</v>
      </c>
      <c r="L45" s="9">
        <f t="shared" si="0"/>
        <v>4026</v>
      </c>
      <c r="M45" s="9">
        <f t="shared" si="11"/>
        <v>1725.3461538461538</v>
      </c>
      <c r="N45" s="9">
        <f t="shared" si="12"/>
        <v>0</v>
      </c>
      <c r="O45" s="11">
        <f t="shared" si="1"/>
        <v>5751</v>
      </c>
      <c r="P45" s="9">
        <f t="shared" si="2"/>
        <v>483</v>
      </c>
      <c r="Q45" s="9">
        <f t="shared" si="3"/>
        <v>101</v>
      </c>
      <c r="R45" s="9">
        <f t="shared" si="4"/>
        <v>0</v>
      </c>
      <c r="S45" s="9">
        <v>0</v>
      </c>
      <c r="T45" s="9">
        <v>0</v>
      </c>
      <c r="U45" s="12">
        <f t="shared" si="5"/>
        <v>584</v>
      </c>
      <c r="V45" s="13">
        <f t="shared" si="6"/>
        <v>5167</v>
      </c>
      <c r="W45" s="9"/>
      <c r="X45" s="11"/>
      <c r="Y45" s="9">
        <f t="shared" si="7"/>
        <v>4026</v>
      </c>
      <c r="Z45" s="9">
        <f t="shared" si="8"/>
        <v>538</v>
      </c>
      <c r="AA45" s="9">
        <f t="shared" si="9"/>
        <v>5751</v>
      </c>
      <c r="AB45" s="9">
        <f t="shared" si="10"/>
        <v>274</v>
      </c>
    </row>
    <row r="46" spans="1:28" ht="15.75" x14ac:dyDescent="0.2">
      <c r="A46" s="23">
        <v>44</v>
      </c>
      <c r="B46" s="24" t="s">
        <v>97</v>
      </c>
      <c r="C46" s="24" t="s">
        <v>98</v>
      </c>
      <c r="D46" s="24" t="s">
        <v>208</v>
      </c>
      <c r="E46" s="24" t="s">
        <v>222</v>
      </c>
      <c r="F46" s="9">
        <v>9132</v>
      </c>
      <c r="G46" s="9">
        <v>2283</v>
      </c>
      <c r="H46" s="6">
        <f>SUM(F46:G46)</f>
        <v>11415</v>
      </c>
      <c r="I46" s="9">
        <v>26</v>
      </c>
      <c r="J46" s="10">
        <v>26</v>
      </c>
      <c r="K46" s="10">
        <v>2</v>
      </c>
      <c r="L46" s="9">
        <f t="shared" si="0"/>
        <v>9132</v>
      </c>
      <c r="M46" s="9">
        <f t="shared" si="11"/>
        <v>2283</v>
      </c>
      <c r="N46" s="9">
        <f t="shared" si="12"/>
        <v>878.07692307692309</v>
      </c>
      <c r="O46" s="11">
        <f t="shared" si="1"/>
        <v>12293</v>
      </c>
      <c r="P46" s="9">
        <f t="shared" si="2"/>
        <v>1096</v>
      </c>
      <c r="Q46" s="9">
        <f t="shared" si="3"/>
        <v>216</v>
      </c>
      <c r="R46" s="9">
        <f t="shared" si="4"/>
        <v>110</v>
      </c>
      <c r="S46" s="9">
        <v>0</v>
      </c>
      <c r="T46" s="9">
        <v>0</v>
      </c>
      <c r="U46" s="12">
        <f t="shared" si="5"/>
        <v>1422</v>
      </c>
      <c r="V46" s="13">
        <f t="shared" si="6"/>
        <v>10871</v>
      </c>
      <c r="W46" s="9"/>
      <c r="X46" s="11"/>
      <c r="Y46" s="9">
        <f t="shared" si="7"/>
        <v>9132</v>
      </c>
      <c r="Z46" s="9">
        <f t="shared" si="8"/>
        <v>1220</v>
      </c>
      <c r="AA46" s="9">
        <f t="shared" si="9"/>
        <v>12293</v>
      </c>
      <c r="AB46" s="9">
        <f t="shared" si="10"/>
        <v>584</v>
      </c>
    </row>
    <row r="47" spans="1:28" ht="15.75" x14ac:dyDescent="0.2">
      <c r="A47" s="23">
        <v>45</v>
      </c>
      <c r="B47" s="24" t="s">
        <v>99</v>
      </c>
      <c r="C47" s="24" t="s">
        <v>100</v>
      </c>
      <c r="D47" s="24" t="s">
        <v>208</v>
      </c>
      <c r="E47" s="24" t="s">
        <v>220</v>
      </c>
      <c r="F47" s="9">
        <v>7546</v>
      </c>
      <c r="G47" s="9">
        <f>ROUND((F47*50%)/8*4,0)</f>
        <v>1887</v>
      </c>
      <c r="H47" s="6">
        <f>F47+G47</f>
        <v>9433</v>
      </c>
      <c r="I47" s="9">
        <v>26</v>
      </c>
      <c r="J47" s="10">
        <v>24</v>
      </c>
      <c r="K47" s="10">
        <v>0</v>
      </c>
      <c r="L47" s="9">
        <f t="shared" si="0"/>
        <v>6966</v>
      </c>
      <c r="M47" s="9">
        <f t="shared" si="11"/>
        <v>1741.8461538461538</v>
      </c>
      <c r="N47" s="9">
        <f t="shared" si="12"/>
        <v>0</v>
      </c>
      <c r="O47" s="11">
        <f t="shared" si="1"/>
        <v>8708</v>
      </c>
      <c r="P47" s="9">
        <f t="shared" si="2"/>
        <v>836</v>
      </c>
      <c r="Q47" s="9">
        <f t="shared" si="3"/>
        <v>153</v>
      </c>
      <c r="R47" s="9">
        <f t="shared" si="4"/>
        <v>0</v>
      </c>
      <c r="S47" s="9">
        <v>0</v>
      </c>
      <c r="T47" s="9">
        <v>0</v>
      </c>
      <c r="U47" s="12">
        <f t="shared" si="5"/>
        <v>989</v>
      </c>
      <c r="V47" s="13">
        <f t="shared" si="6"/>
        <v>7719</v>
      </c>
      <c r="W47" s="9"/>
      <c r="X47" s="11"/>
      <c r="Y47" s="9">
        <f t="shared" si="7"/>
        <v>6966</v>
      </c>
      <c r="Z47" s="9">
        <f t="shared" si="8"/>
        <v>931</v>
      </c>
      <c r="AA47" s="9">
        <f t="shared" si="9"/>
        <v>8707</v>
      </c>
      <c r="AB47" s="9">
        <f t="shared" si="10"/>
        <v>414</v>
      </c>
    </row>
    <row r="48" spans="1:28" ht="15.75" x14ac:dyDescent="0.2">
      <c r="A48" s="23">
        <v>46</v>
      </c>
      <c r="B48" s="24" t="s">
        <v>101</v>
      </c>
      <c r="C48" s="25" t="s">
        <v>102</v>
      </c>
      <c r="D48" s="24"/>
      <c r="E48" s="24"/>
      <c r="F48" s="9"/>
      <c r="G48" s="9"/>
      <c r="H48" s="6"/>
      <c r="I48" s="9">
        <v>26</v>
      </c>
      <c r="J48" s="10">
        <v>0</v>
      </c>
      <c r="K48" s="10">
        <v>0</v>
      </c>
      <c r="L48" s="9">
        <f t="shared" si="0"/>
        <v>0</v>
      </c>
      <c r="M48" s="9">
        <f t="shared" si="11"/>
        <v>0</v>
      </c>
      <c r="N48" s="9">
        <f t="shared" si="12"/>
        <v>0</v>
      </c>
      <c r="O48" s="11">
        <f t="shared" si="1"/>
        <v>0</v>
      </c>
      <c r="P48" s="9">
        <f t="shared" si="2"/>
        <v>0</v>
      </c>
      <c r="Q48" s="9">
        <f t="shared" si="3"/>
        <v>0</v>
      </c>
      <c r="R48" s="9">
        <f t="shared" si="4"/>
        <v>0</v>
      </c>
      <c r="S48" s="9">
        <v>0</v>
      </c>
      <c r="T48" s="9">
        <v>0</v>
      </c>
      <c r="U48" s="12">
        <f t="shared" si="5"/>
        <v>0</v>
      </c>
      <c r="V48" s="13">
        <f t="shared" si="6"/>
        <v>0</v>
      </c>
      <c r="W48" s="9"/>
      <c r="X48" s="11"/>
      <c r="Y48" s="9">
        <f t="shared" si="7"/>
        <v>0</v>
      </c>
      <c r="Z48" s="9">
        <f t="shared" si="8"/>
        <v>0</v>
      </c>
      <c r="AA48" s="9">
        <f t="shared" si="9"/>
        <v>0</v>
      </c>
      <c r="AB48" s="9">
        <f t="shared" si="10"/>
        <v>0</v>
      </c>
    </row>
    <row r="49" spans="1:28" ht="15.75" x14ac:dyDescent="0.2">
      <c r="A49" s="23">
        <v>47</v>
      </c>
      <c r="B49" s="24" t="s">
        <v>103</v>
      </c>
      <c r="C49" s="24" t="s">
        <v>104</v>
      </c>
      <c r="D49" s="24" t="s">
        <v>213</v>
      </c>
      <c r="E49" s="24" t="s">
        <v>221</v>
      </c>
      <c r="F49" s="9">
        <v>4420</v>
      </c>
      <c r="G49" s="9">
        <v>2250</v>
      </c>
      <c r="H49" s="6">
        <f>SUBTOTAL(9,F49:G49)</f>
        <v>6670</v>
      </c>
      <c r="I49" s="9">
        <v>28</v>
      </c>
      <c r="J49" s="10">
        <v>28</v>
      </c>
      <c r="K49" s="10">
        <v>0</v>
      </c>
      <c r="L49" s="9">
        <f t="shared" si="0"/>
        <v>4420</v>
      </c>
      <c r="M49" s="9">
        <f t="shared" si="11"/>
        <v>2250</v>
      </c>
      <c r="N49" s="9">
        <f t="shared" si="12"/>
        <v>0</v>
      </c>
      <c r="O49" s="11">
        <f t="shared" si="1"/>
        <v>6670</v>
      </c>
      <c r="P49" s="9">
        <f t="shared" si="2"/>
        <v>530</v>
      </c>
      <c r="Q49" s="9">
        <f t="shared" si="3"/>
        <v>117</v>
      </c>
      <c r="R49" s="9">
        <f t="shared" si="4"/>
        <v>0</v>
      </c>
      <c r="S49" s="9">
        <v>0</v>
      </c>
      <c r="T49" s="9">
        <v>0</v>
      </c>
      <c r="U49" s="12">
        <f t="shared" si="5"/>
        <v>647</v>
      </c>
      <c r="V49" s="13">
        <f t="shared" si="6"/>
        <v>6023</v>
      </c>
      <c r="W49" s="9"/>
      <c r="X49" s="11"/>
      <c r="Y49" s="9">
        <f t="shared" si="7"/>
        <v>4420</v>
      </c>
      <c r="Z49" s="9">
        <f t="shared" si="8"/>
        <v>591</v>
      </c>
      <c r="AA49" s="9">
        <f t="shared" si="9"/>
        <v>6670</v>
      </c>
      <c r="AB49" s="9">
        <f t="shared" si="10"/>
        <v>317</v>
      </c>
    </row>
    <row r="50" spans="1:28" ht="15.75" x14ac:dyDescent="0.2">
      <c r="A50" s="23">
        <v>48</v>
      </c>
      <c r="B50" s="24" t="s">
        <v>105</v>
      </c>
      <c r="C50" s="24" t="s">
        <v>106</v>
      </c>
      <c r="D50" s="24" t="s">
        <v>208</v>
      </c>
      <c r="E50" s="24" t="s">
        <v>221</v>
      </c>
      <c r="F50" s="9">
        <v>7546</v>
      </c>
      <c r="G50" s="9"/>
      <c r="H50" s="6">
        <f>SUBTOTAL(9,F50:G50)</f>
        <v>7546</v>
      </c>
      <c r="I50" s="9">
        <v>26</v>
      </c>
      <c r="J50" s="10">
        <v>8</v>
      </c>
      <c r="K50" s="10">
        <v>0</v>
      </c>
      <c r="L50" s="9">
        <f t="shared" si="0"/>
        <v>2322</v>
      </c>
      <c r="M50" s="9">
        <f t="shared" si="11"/>
        <v>0</v>
      </c>
      <c r="N50" s="9">
        <f t="shared" si="12"/>
        <v>0</v>
      </c>
      <c r="O50" s="11">
        <f t="shared" si="1"/>
        <v>2322</v>
      </c>
      <c r="P50" s="9">
        <f t="shared" si="2"/>
        <v>279</v>
      </c>
      <c r="Q50" s="9">
        <f t="shared" si="3"/>
        <v>41</v>
      </c>
      <c r="R50" s="9">
        <f t="shared" si="4"/>
        <v>0</v>
      </c>
      <c r="S50" s="9">
        <v>0</v>
      </c>
      <c r="T50" s="9">
        <v>0</v>
      </c>
      <c r="U50" s="12">
        <f t="shared" si="5"/>
        <v>320</v>
      </c>
      <c r="V50" s="13">
        <f t="shared" si="6"/>
        <v>2002</v>
      </c>
      <c r="W50" s="9"/>
      <c r="X50" s="11"/>
      <c r="Y50" s="9">
        <f t="shared" si="7"/>
        <v>2322</v>
      </c>
      <c r="Z50" s="9">
        <f t="shared" si="8"/>
        <v>310</v>
      </c>
      <c r="AA50" s="9">
        <f t="shared" si="9"/>
        <v>2322</v>
      </c>
      <c r="AB50" s="9">
        <f t="shared" si="10"/>
        <v>111</v>
      </c>
    </row>
    <row r="51" spans="1:28" ht="15.75" x14ac:dyDescent="0.2">
      <c r="A51" s="23">
        <v>49</v>
      </c>
      <c r="B51" s="24" t="s">
        <v>107</v>
      </c>
      <c r="C51" s="25" t="s">
        <v>108</v>
      </c>
      <c r="D51" s="24"/>
      <c r="E51" s="24"/>
      <c r="F51" s="9"/>
      <c r="G51" s="9"/>
      <c r="H51" s="6"/>
      <c r="I51" s="9">
        <v>26</v>
      </c>
      <c r="J51" s="10">
        <v>0</v>
      </c>
      <c r="K51" s="10">
        <v>0</v>
      </c>
      <c r="L51" s="9">
        <f t="shared" si="0"/>
        <v>0</v>
      </c>
      <c r="M51" s="9">
        <f t="shared" si="11"/>
        <v>0</v>
      </c>
      <c r="N51" s="9">
        <f t="shared" si="12"/>
        <v>0</v>
      </c>
      <c r="O51" s="11">
        <f t="shared" si="1"/>
        <v>0</v>
      </c>
      <c r="P51" s="9">
        <f t="shared" si="2"/>
        <v>0</v>
      </c>
      <c r="Q51" s="9">
        <f t="shared" si="3"/>
        <v>0</v>
      </c>
      <c r="R51" s="9">
        <f t="shared" si="4"/>
        <v>0</v>
      </c>
      <c r="S51" s="9">
        <v>0</v>
      </c>
      <c r="T51" s="9">
        <v>0</v>
      </c>
      <c r="U51" s="12">
        <f t="shared" si="5"/>
        <v>0</v>
      </c>
      <c r="V51" s="13">
        <f t="shared" si="6"/>
        <v>0</v>
      </c>
      <c r="W51" s="9"/>
      <c r="X51" s="11"/>
      <c r="Y51" s="9">
        <f t="shared" si="7"/>
        <v>0</v>
      </c>
      <c r="Z51" s="9">
        <f t="shared" si="8"/>
        <v>0</v>
      </c>
      <c r="AA51" s="9">
        <f t="shared" si="9"/>
        <v>0</v>
      </c>
      <c r="AB51" s="9">
        <f t="shared" si="10"/>
        <v>0</v>
      </c>
    </row>
    <row r="52" spans="1:28" ht="15.75" x14ac:dyDescent="0.2">
      <c r="A52" s="23">
        <v>50</v>
      </c>
      <c r="B52" s="24" t="s">
        <v>109</v>
      </c>
      <c r="C52" s="24" t="s">
        <v>110</v>
      </c>
      <c r="D52" s="24" t="s">
        <v>208</v>
      </c>
      <c r="E52" s="24" t="s">
        <v>221</v>
      </c>
      <c r="F52" s="9">
        <v>7546</v>
      </c>
      <c r="G52" s="9"/>
      <c r="H52" s="6">
        <f>SUBTOTAL(9,F52:G52)</f>
        <v>7546</v>
      </c>
      <c r="I52" s="9">
        <v>26</v>
      </c>
      <c r="J52" s="10">
        <v>24</v>
      </c>
      <c r="K52" s="10">
        <v>0</v>
      </c>
      <c r="L52" s="9">
        <f t="shared" si="0"/>
        <v>6966</v>
      </c>
      <c r="M52" s="9">
        <f t="shared" si="11"/>
        <v>0</v>
      </c>
      <c r="N52" s="9">
        <f t="shared" si="12"/>
        <v>0</v>
      </c>
      <c r="O52" s="11">
        <f t="shared" si="1"/>
        <v>6966</v>
      </c>
      <c r="P52" s="9">
        <f t="shared" si="2"/>
        <v>836</v>
      </c>
      <c r="Q52" s="9">
        <f t="shared" si="3"/>
        <v>122</v>
      </c>
      <c r="R52" s="9">
        <f t="shared" si="4"/>
        <v>0</v>
      </c>
      <c r="S52" s="9">
        <v>0</v>
      </c>
      <c r="T52" s="9">
        <v>0</v>
      </c>
      <c r="U52" s="12">
        <f t="shared" si="5"/>
        <v>958</v>
      </c>
      <c r="V52" s="13">
        <f t="shared" si="6"/>
        <v>6008</v>
      </c>
      <c r="W52" s="9"/>
      <c r="X52" s="11"/>
      <c r="Y52" s="9">
        <f t="shared" si="7"/>
        <v>6966</v>
      </c>
      <c r="Z52" s="9">
        <f t="shared" si="8"/>
        <v>931</v>
      </c>
      <c r="AA52" s="9">
        <f t="shared" si="9"/>
        <v>6966</v>
      </c>
      <c r="AB52" s="9">
        <f t="shared" si="10"/>
        <v>331</v>
      </c>
    </row>
    <row r="53" spans="1:28" ht="15.75" x14ac:dyDescent="0.2">
      <c r="A53" s="23">
        <v>51</v>
      </c>
      <c r="B53" s="24" t="s">
        <v>111</v>
      </c>
      <c r="C53" s="24" t="s">
        <v>112</v>
      </c>
      <c r="D53" s="24" t="s">
        <v>208</v>
      </c>
      <c r="E53" s="24" t="s">
        <v>221</v>
      </c>
      <c r="F53" s="9">
        <v>7546</v>
      </c>
      <c r="G53" s="9"/>
      <c r="H53" s="6">
        <f>SUBTOTAL(9,F53:G53)</f>
        <v>7546</v>
      </c>
      <c r="I53" s="9">
        <v>26</v>
      </c>
      <c r="J53" s="10">
        <v>26</v>
      </c>
      <c r="K53" s="10">
        <v>3</v>
      </c>
      <c r="L53" s="9">
        <f t="shared" si="0"/>
        <v>7546</v>
      </c>
      <c r="M53" s="9">
        <f t="shared" si="11"/>
        <v>0</v>
      </c>
      <c r="N53" s="9">
        <f t="shared" si="12"/>
        <v>870.69230769230762</v>
      </c>
      <c r="O53" s="11">
        <f t="shared" si="1"/>
        <v>8417</v>
      </c>
      <c r="P53" s="9">
        <f t="shared" si="2"/>
        <v>906</v>
      </c>
      <c r="Q53" s="9">
        <f t="shared" si="3"/>
        <v>148</v>
      </c>
      <c r="R53" s="9">
        <f t="shared" si="4"/>
        <v>0</v>
      </c>
      <c r="S53" s="9">
        <v>0</v>
      </c>
      <c r="T53" s="9">
        <v>0</v>
      </c>
      <c r="U53" s="12">
        <f t="shared" si="5"/>
        <v>1054</v>
      </c>
      <c r="V53" s="13">
        <f t="shared" si="6"/>
        <v>7363</v>
      </c>
      <c r="W53" s="9"/>
      <c r="X53" s="11"/>
      <c r="Y53" s="9">
        <f t="shared" si="7"/>
        <v>7546</v>
      </c>
      <c r="Z53" s="9">
        <f t="shared" si="8"/>
        <v>1008</v>
      </c>
      <c r="AA53" s="9">
        <f t="shared" si="9"/>
        <v>8417</v>
      </c>
      <c r="AB53" s="9">
        <f t="shared" si="10"/>
        <v>400</v>
      </c>
    </row>
    <row r="54" spans="1:28" ht="15.75" x14ac:dyDescent="0.2">
      <c r="A54" s="23">
        <v>52</v>
      </c>
      <c r="B54" s="24" t="s">
        <v>113</v>
      </c>
      <c r="C54" s="24" t="s">
        <v>114</v>
      </c>
      <c r="D54" s="24" t="s">
        <v>207</v>
      </c>
      <c r="E54" s="24" t="s">
        <v>220</v>
      </c>
      <c r="F54" s="9">
        <f>H54*70%</f>
        <v>5509</v>
      </c>
      <c r="G54" s="9">
        <f>H54-F54</f>
        <v>2361</v>
      </c>
      <c r="H54" s="6">
        <v>7870</v>
      </c>
      <c r="I54" s="9">
        <v>26</v>
      </c>
      <c r="J54" s="10">
        <v>30</v>
      </c>
      <c r="K54" s="10">
        <v>0</v>
      </c>
      <c r="L54" s="9">
        <f t="shared" si="0"/>
        <v>6357</v>
      </c>
      <c r="M54" s="9">
        <f t="shared" si="11"/>
        <v>2724.2307692307691</v>
      </c>
      <c r="N54" s="9">
        <f t="shared" si="12"/>
        <v>0</v>
      </c>
      <c r="O54" s="11">
        <f t="shared" si="1"/>
        <v>9081</v>
      </c>
      <c r="P54" s="9">
        <f t="shared" si="2"/>
        <v>763</v>
      </c>
      <c r="Q54" s="9">
        <f t="shared" si="3"/>
        <v>159</v>
      </c>
      <c r="R54" s="9">
        <f t="shared" si="4"/>
        <v>0</v>
      </c>
      <c r="S54" s="9">
        <v>0</v>
      </c>
      <c r="T54" s="9">
        <v>0</v>
      </c>
      <c r="U54" s="12">
        <f t="shared" si="5"/>
        <v>922</v>
      </c>
      <c r="V54" s="13">
        <f t="shared" si="6"/>
        <v>8159</v>
      </c>
      <c r="W54" s="9"/>
      <c r="X54" s="11"/>
      <c r="Y54" s="9">
        <f t="shared" si="7"/>
        <v>6357</v>
      </c>
      <c r="Z54" s="9">
        <f t="shared" si="8"/>
        <v>849</v>
      </c>
      <c r="AA54" s="9">
        <f t="shared" si="9"/>
        <v>9081</v>
      </c>
      <c r="AB54" s="9">
        <f t="shared" si="10"/>
        <v>432</v>
      </c>
    </row>
    <row r="55" spans="1:28" ht="15.75" x14ac:dyDescent="0.2">
      <c r="A55" s="23">
        <v>53</v>
      </c>
      <c r="B55" s="24" t="s">
        <v>115</v>
      </c>
      <c r="C55" s="24" t="s">
        <v>116</v>
      </c>
      <c r="D55" s="24" t="s">
        <v>208</v>
      </c>
      <c r="E55" s="24" t="s">
        <v>220</v>
      </c>
      <c r="F55" s="9">
        <v>7546</v>
      </c>
      <c r="G55" s="9">
        <f>ROUND((F55*50%)/8*4,0)</f>
        <v>1887</v>
      </c>
      <c r="H55" s="6">
        <f>F55+G55</f>
        <v>9433</v>
      </c>
      <c r="I55" s="9">
        <v>26</v>
      </c>
      <c r="J55" s="10">
        <v>24</v>
      </c>
      <c r="K55" s="10">
        <v>0</v>
      </c>
      <c r="L55" s="9">
        <f t="shared" si="0"/>
        <v>6966</v>
      </c>
      <c r="M55" s="9">
        <f t="shared" si="11"/>
        <v>1741.8461538461538</v>
      </c>
      <c r="N55" s="9">
        <f t="shared" si="12"/>
        <v>0</v>
      </c>
      <c r="O55" s="11">
        <f t="shared" si="1"/>
        <v>8708</v>
      </c>
      <c r="P55" s="9">
        <f t="shared" si="2"/>
        <v>836</v>
      </c>
      <c r="Q55" s="9">
        <f t="shared" si="3"/>
        <v>153</v>
      </c>
      <c r="R55" s="9">
        <f t="shared" si="4"/>
        <v>0</v>
      </c>
      <c r="S55" s="9">
        <v>0</v>
      </c>
      <c r="T55" s="9">
        <v>0</v>
      </c>
      <c r="U55" s="12">
        <f t="shared" si="5"/>
        <v>989</v>
      </c>
      <c r="V55" s="13">
        <f t="shared" si="6"/>
        <v>7719</v>
      </c>
      <c r="W55" s="9"/>
      <c r="X55" s="11"/>
      <c r="Y55" s="9">
        <f t="shared" si="7"/>
        <v>6966</v>
      </c>
      <c r="Z55" s="9">
        <f t="shared" si="8"/>
        <v>931</v>
      </c>
      <c r="AA55" s="9">
        <f t="shared" si="9"/>
        <v>8707</v>
      </c>
      <c r="AB55" s="9">
        <f t="shared" si="10"/>
        <v>414</v>
      </c>
    </row>
    <row r="56" spans="1:28" ht="15.75" x14ac:dyDescent="0.2">
      <c r="A56" s="23">
        <v>54</v>
      </c>
      <c r="B56" s="24" t="s">
        <v>117</v>
      </c>
      <c r="C56" s="24" t="s">
        <v>118</v>
      </c>
      <c r="D56" s="24" t="s">
        <v>214</v>
      </c>
      <c r="E56" s="24" t="s">
        <v>220</v>
      </c>
      <c r="F56" s="9">
        <v>2800</v>
      </c>
      <c r="G56" s="9">
        <v>2700</v>
      </c>
      <c r="H56" s="6">
        <f>SUBTOTAL(9,F56:G56)</f>
        <v>5500</v>
      </c>
      <c r="I56" s="9">
        <v>28</v>
      </c>
      <c r="J56" s="10">
        <v>28</v>
      </c>
      <c r="K56" s="10">
        <v>0</v>
      </c>
      <c r="L56" s="9">
        <f t="shared" si="0"/>
        <v>2800</v>
      </c>
      <c r="M56" s="9">
        <f t="shared" si="11"/>
        <v>2700</v>
      </c>
      <c r="N56" s="9">
        <f t="shared" si="12"/>
        <v>0</v>
      </c>
      <c r="O56" s="11">
        <f t="shared" si="1"/>
        <v>5500</v>
      </c>
      <c r="P56" s="9">
        <f t="shared" si="2"/>
        <v>336</v>
      </c>
      <c r="Q56" s="9">
        <f t="shared" si="3"/>
        <v>97</v>
      </c>
      <c r="R56" s="9">
        <f t="shared" si="4"/>
        <v>0</v>
      </c>
      <c r="S56" s="9">
        <v>0</v>
      </c>
      <c r="T56" s="9">
        <v>0</v>
      </c>
      <c r="U56" s="12">
        <f t="shared" si="5"/>
        <v>433</v>
      </c>
      <c r="V56" s="13">
        <f t="shared" si="6"/>
        <v>5067</v>
      </c>
      <c r="W56" s="9"/>
      <c r="X56" s="11"/>
      <c r="Y56" s="9">
        <f t="shared" si="7"/>
        <v>2800</v>
      </c>
      <c r="Z56" s="9">
        <f t="shared" si="8"/>
        <v>374</v>
      </c>
      <c r="AA56" s="9">
        <f t="shared" si="9"/>
        <v>5500</v>
      </c>
      <c r="AB56" s="9">
        <f t="shared" si="10"/>
        <v>262</v>
      </c>
    </row>
    <row r="57" spans="1:28" ht="15.75" x14ac:dyDescent="0.2">
      <c r="A57" s="23">
        <v>55</v>
      </c>
      <c r="B57" s="24" t="s">
        <v>119</v>
      </c>
      <c r="C57" s="24" t="s">
        <v>120</v>
      </c>
      <c r="D57" s="24" t="s">
        <v>208</v>
      </c>
      <c r="E57" s="24"/>
      <c r="F57" s="9">
        <v>7546</v>
      </c>
      <c r="G57" s="9"/>
      <c r="H57" s="6"/>
      <c r="I57" s="9">
        <v>26</v>
      </c>
      <c r="J57" s="10">
        <v>26</v>
      </c>
      <c r="K57" s="10">
        <v>0</v>
      </c>
      <c r="L57" s="9">
        <f t="shared" si="0"/>
        <v>7546</v>
      </c>
      <c r="M57" s="9">
        <f t="shared" si="11"/>
        <v>0</v>
      </c>
      <c r="N57" s="9">
        <f t="shared" si="12"/>
        <v>0</v>
      </c>
      <c r="O57" s="11">
        <f t="shared" si="1"/>
        <v>7546</v>
      </c>
      <c r="P57" s="9">
        <f t="shared" si="2"/>
        <v>906</v>
      </c>
      <c r="Q57" s="9">
        <f t="shared" si="3"/>
        <v>0</v>
      </c>
      <c r="R57" s="9">
        <f t="shared" si="4"/>
        <v>0</v>
      </c>
      <c r="S57" s="9">
        <v>0</v>
      </c>
      <c r="T57" s="9">
        <v>0</v>
      </c>
      <c r="U57" s="12">
        <f t="shared" si="5"/>
        <v>906</v>
      </c>
      <c r="V57" s="13">
        <f t="shared" si="6"/>
        <v>6640</v>
      </c>
      <c r="W57" s="9"/>
      <c r="X57" s="11"/>
      <c r="Y57" s="9">
        <f t="shared" si="7"/>
        <v>7546</v>
      </c>
      <c r="Z57" s="9">
        <f t="shared" si="8"/>
        <v>1008</v>
      </c>
      <c r="AA57" s="9">
        <f t="shared" si="9"/>
        <v>0</v>
      </c>
      <c r="AB57" s="9">
        <f t="shared" si="10"/>
        <v>0</v>
      </c>
    </row>
    <row r="58" spans="1:28" ht="15.75" x14ac:dyDescent="0.2">
      <c r="A58" s="23">
        <v>56</v>
      </c>
      <c r="B58" s="24" t="s">
        <v>121</v>
      </c>
      <c r="C58" s="24" t="s">
        <v>122</v>
      </c>
      <c r="D58" s="24" t="s">
        <v>207</v>
      </c>
      <c r="E58" s="24" t="s">
        <v>221</v>
      </c>
      <c r="F58" s="9">
        <f>H58*70%</f>
        <v>5509</v>
      </c>
      <c r="G58" s="9">
        <f>H58-F58</f>
        <v>2361</v>
      </c>
      <c r="H58" s="6">
        <v>7870</v>
      </c>
      <c r="I58" s="9">
        <v>26</v>
      </c>
      <c r="J58" s="10">
        <v>13</v>
      </c>
      <c r="K58" s="10">
        <v>0</v>
      </c>
      <c r="L58" s="9">
        <f t="shared" si="0"/>
        <v>2755</v>
      </c>
      <c r="M58" s="9">
        <f t="shared" si="11"/>
        <v>1180.5</v>
      </c>
      <c r="N58" s="9">
        <f t="shared" si="12"/>
        <v>0</v>
      </c>
      <c r="O58" s="11">
        <f t="shared" si="1"/>
        <v>3936</v>
      </c>
      <c r="P58" s="9">
        <f t="shared" si="2"/>
        <v>331</v>
      </c>
      <c r="Q58" s="9">
        <f t="shared" si="3"/>
        <v>69</v>
      </c>
      <c r="R58" s="9">
        <f t="shared" si="4"/>
        <v>0</v>
      </c>
      <c r="S58" s="9">
        <v>0</v>
      </c>
      <c r="T58" s="9">
        <v>0</v>
      </c>
      <c r="U58" s="12">
        <f t="shared" si="5"/>
        <v>400</v>
      </c>
      <c r="V58" s="13">
        <f t="shared" si="6"/>
        <v>3536</v>
      </c>
      <c r="W58" s="9"/>
      <c r="X58" s="11"/>
      <c r="Y58" s="9">
        <f t="shared" si="7"/>
        <v>2755</v>
      </c>
      <c r="Z58" s="9">
        <f t="shared" si="8"/>
        <v>368</v>
      </c>
      <c r="AA58" s="9">
        <f t="shared" si="9"/>
        <v>3935</v>
      </c>
      <c r="AB58" s="9">
        <f t="shared" si="10"/>
        <v>187</v>
      </c>
    </row>
    <row r="59" spans="1:28" ht="15.75" x14ac:dyDescent="0.2">
      <c r="A59" s="23">
        <v>57</v>
      </c>
      <c r="B59" s="24" t="s">
        <v>123</v>
      </c>
      <c r="C59" s="24" t="s">
        <v>124</v>
      </c>
      <c r="D59" s="24" t="s">
        <v>208</v>
      </c>
      <c r="E59" s="24" t="s">
        <v>220</v>
      </c>
      <c r="F59" s="9">
        <v>7546</v>
      </c>
      <c r="G59" s="9">
        <f>ROUND((F59*50%)/8*4,0)</f>
        <v>1887</v>
      </c>
      <c r="H59" s="6">
        <f>F59+G59</f>
        <v>9433</v>
      </c>
      <c r="I59" s="9">
        <v>26</v>
      </c>
      <c r="J59" s="10">
        <v>24</v>
      </c>
      <c r="K59" s="10">
        <v>0</v>
      </c>
      <c r="L59" s="9">
        <f t="shared" si="0"/>
        <v>6966</v>
      </c>
      <c r="M59" s="9">
        <f t="shared" si="11"/>
        <v>1741.8461538461538</v>
      </c>
      <c r="N59" s="9">
        <f t="shared" si="12"/>
        <v>0</v>
      </c>
      <c r="O59" s="11">
        <f t="shared" si="1"/>
        <v>8708</v>
      </c>
      <c r="P59" s="9">
        <f t="shared" si="2"/>
        <v>836</v>
      </c>
      <c r="Q59" s="9">
        <f t="shared" si="3"/>
        <v>153</v>
      </c>
      <c r="R59" s="9">
        <f t="shared" si="4"/>
        <v>0</v>
      </c>
      <c r="S59" s="9">
        <v>0</v>
      </c>
      <c r="T59" s="9">
        <v>0</v>
      </c>
      <c r="U59" s="12">
        <f t="shared" si="5"/>
        <v>989</v>
      </c>
      <c r="V59" s="13">
        <f t="shared" si="6"/>
        <v>7719</v>
      </c>
      <c r="W59" s="9"/>
      <c r="X59" s="11"/>
      <c r="Y59" s="9">
        <f t="shared" si="7"/>
        <v>6966</v>
      </c>
      <c r="Z59" s="9">
        <f t="shared" si="8"/>
        <v>931</v>
      </c>
      <c r="AA59" s="9">
        <f t="shared" si="9"/>
        <v>8707</v>
      </c>
      <c r="AB59" s="9">
        <f t="shared" si="10"/>
        <v>414</v>
      </c>
    </row>
    <row r="60" spans="1:28" ht="15.75" x14ac:dyDescent="0.2">
      <c r="A60" s="23">
        <v>58</v>
      </c>
      <c r="B60" s="24" t="s">
        <v>125</v>
      </c>
      <c r="C60" s="24" t="s">
        <v>126</v>
      </c>
      <c r="D60" s="24" t="s">
        <v>209</v>
      </c>
      <c r="E60" s="24" t="s">
        <v>226</v>
      </c>
      <c r="F60" s="9">
        <v>7108</v>
      </c>
      <c r="G60" s="9">
        <v>3012</v>
      </c>
      <c r="H60" s="6">
        <f>SUBTOTAL(9,F60:G60)</f>
        <v>10120</v>
      </c>
      <c r="I60" s="9">
        <v>26</v>
      </c>
      <c r="J60" s="10">
        <v>0</v>
      </c>
      <c r="K60" s="10">
        <v>0</v>
      </c>
      <c r="L60" s="9">
        <f t="shared" si="0"/>
        <v>0</v>
      </c>
      <c r="M60" s="9">
        <f t="shared" si="11"/>
        <v>0</v>
      </c>
      <c r="N60" s="9">
        <f t="shared" si="12"/>
        <v>0</v>
      </c>
      <c r="O60" s="11">
        <f t="shared" si="1"/>
        <v>0</v>
      </c>
      <c r="P60" s="9">
        <f t="shared" si="2"/>
        <v>0</v>
      </c>
      <c r="Q60" s="9">
        <f t="shared" si="3"/>
        <v>0</v>
      </c>
      <c r="R60" s="9">
        <f t="shared" si="4"/>
        <v>0</v>
      </c>
      <c r="S60" s="9">
        <v>0</v>
      </c>
      <c r="T60" s="9">
        <v>0</v>
      </c>
      <c r="U60" s="12">
        <f t="shared" si="5"/>
        <v>0</v>
      </c>
      <c r="V60" s="13">
        <f t="shared" si="6"/>
        <v>0</v>
      </c>
      <c r="W60" s="9"/>
      <c r="X60" s="11"/>
      <c r="Y60" s="9">
        <f t="shared" si="7"/>
        <v>0</v>
      </c>
      <c r="Z60" s="9">
        <f t="shared" si="8"/>
        <v>0</v>
      </c>
      <c r="AA60" s="9">
        <f t="shared" si="9"/>
        <v>0</v>
      </c>
      <c r="AB60" s="9">
        <f t="shared" si="10"/>
        <v>0</v>
      </c>
    </row>
    <row r="61" spans="1:28" ht="15.75" x14ac:dyDescent="0.2">
      <c r="A61" s="23">
        <v>59</v>
      </c>
      <c r="B61" s="24" t="s">
        <v>127</v>
      </c>
      <c r="C61" s="24" t="s">
        <v>128</v>
      </c>
      <c r="D61" s="24" t="s">
        <v>209</v>
      </c>
      <c r="E61" s="24" t="s">
        <v>221</v>
      </c>
      <c r="F61" s="9">
        <v>7108</v>
      </c>
      <c r="G61" s="9">
        <v>92</v>
      </c>
      <c r="H61" s="6">
        <f>SUBTOTAL(9,F61:G61)</f>
        <v>7200</v>
      </c>
      <c r="I61" s="9">
        <v>26</v>
      </c>
      <c r="J61" s="10">
        <v>25</v>
      </c>
      <c r="K61" s="10">
        <v>0</v>
      </c>
      <c r="L61" s="9">
        <f t="shared" si="0"/>
        <v>6835</v>
      </c>
      <c r="M61" s="9">
        <f t="shared" si="11"/>
        <v>88.461538461538453</v>
      </c>
      <c r="N61" s="9">
        <f t="shared" si="12"/>
        <v>0</v>
      </c>
      <c r="O61" s="11">
        <f t="shared" si="1"/>
        <v>6923</v>
      </c>
      <c r="P61" s="9">
        <f t="shared" si="2"/>
        <v>820</v>
      </c>
      <c r="Q61" s="9">
        <f t="shared" si="3"/>
        <v>122</v>
      </c>
      <c r="R61" s="9">
        <f t="shared" si="4"/>
        <v>0</v>
      </c>
      <c r="S61" s="9">
        <v>0</v>
      </c>
      <c r="T61" s="9">
        <v>0</v>
      </c>
      <c r="U61" s="12">
        <f t="shared" si="5"/>
        <v>942</v>
      </c>
      <c r="V61" s="13">
        <f t="shared" si="6"/>
        <v>5981</v>
      </c>
      <c r="W61" s="9"/>
      <c r="X61" s="11"/>
      <c r="Y61" s="9">
        <f t="shared" si="7"/>
        <v>6835</v>
      </c>
      <c r="Z61" s="9">
        <f t="shared" si="8"/>
        <v>913</v>
      </c>
      <c r="AA61" s="9">
        <f t="shared" si="9"/>
        <v>6923</v>
      </c>
      <c r="AB61" s="9">
        <f t="shared" si="10"/>
        <v>329</v>
      </c>
    </row>
    <row r="62" spans="1:28" ht="15.75" x14ac:dyDescent="0.2">
      <c r="A62" s="23">
        <v>60</v>
      </c>
      <c r="B62" s="24" t="s">
        <v>129</v>
      </c>
      <c r="C62" s="24" t="s">
        <v>130</v>
      </c>
      <c r="D62" s="24" t="s">
        <v>208</v>
      </c>
      <c r="E62" s="24" t="s">
        <v>221</v>
      </c>
      <c r="F62" s="9">
        <v>7546</v>
      </c>
      <c r="G62" s="9"/>
      <c r="H62" s="6">
        <f>SUBTOTAL(9,F62:G62)</f>
        <v>7546</v>
      </c>
      <c r="I62" s="9">
        <v>26</v>
      </c>
      <c r="J62" s="10">
        <v>22</v>
      </c>
      <c r="K62" s="10">
        <v>0</v>
      </c>
      <c r="L62" s="9">
        <f t="shared" si="0"/>
        <v>6385</v>
      </c>
      <c r="M62" s="9">
        <f t="shared" si="11"/>
        <v>0</v>
      </c>
      <c r="N62" s="9">
        <f t="shared" si="12"/>
        <v>0</v>
      </c>
      <c r="O62" s="11">
        <f t="shared" si="1"/>
        <v>6385</v>
      </c>
      <c r="P62" s="9">
        <f t="shared" si="2"/>
        <v>766</v>
      </c>
      <c r="Q62" s="9">
        <f t="shared" si="3"/>
        <v>112</v>
      </c>
      <c r="R62" s="9">
        <f t="shared" si="4"/>
        <v>0</v>
      </c>
      <c r="S62" s="9">
        <v>0</v>
      </c>
      <c r="T62" s="9">
        <v>0</v>
      </c>
      <c r="U62" s="12">
        <f t="shared" si="5"/>
        <v>878</v>
      </c>
      <c r="V62" s="13">
        <f t="shared" si="6"/>
        <v>5507</v>
      </c>
      <c r="W62" s="9"/>
      <c r="X62" s="11"/>
      <c r="Y62" s="9">
        <f t="shared" si="7"/>
        <v>6385</v>
      </c>
      <c r="Z62" s="9">
        <f t="shared" si="8"/>
        <v>853</v>
      </c>
      <c r="AA62" s="9">
        <f t="shared" si="9"/>
        <v>6385</v>
      </c>
      <c r="AB62" s="9">
        <f t="shared" si="10"/>
        <v>304</v>
      </c>
    </row>
    <row r="63" spans="1:28" ht="15.75" x14ac:dyDescent="0.2">
      <c r="A63" s="23">
        <v>61</v>
      </c>
      <c r="B63" s="24" t="s">
        <v>131</v>
      </c>
      <c r="C63" s="24" t="s">
        <v>132</v>
      </c>
      <c r="D63" s="24" t="s">
        <v>208</v>
      </c>
      <c r="E63" s="24" t="s">
        <v>220</v>
      </c>
      <c r="F63" s="9">
        <v>7546</v>
      </c>
      <c r="G63" s="9">
        <f>ROUND((F63*50%)/8*4,0)</f>
        <v>1887</v>
      </c>
      <c r="H63" s="6">
        <f>F63+G63</f>
        <v>9433</v>
      </c>
      <c r="I63" s="9">
        <v>26</v>
      </c>
      <c r="J63" s="10">
        <v>0</v>
      </c>
      <c r="K63" s="10">
        <v>0</v>
      </c>
      <c r="L63" s="9">
        <f t="shared" si="0"/>
        <v>0</v>
      </c>
      <c r="M63" s="9">
        <f t="shared" si="11"/>
        <v>0</v>
      </c>
      <c r="N63" s="9">
        <f t="shared" si="12"/>
        <v>0</v>
      </c>
      <c r="O63" s="11">
        <f t="shared" si="1"/>
        <v>0</v>
      </c>
      <c r="P63" s="9">
        <f t="shared" si="2"/>
        <v>0</v>
      </c>
      <c r="Q63" s="9">
        <f t="shared" si="3"/>
        <v>0</v>
      </c>
      <c r="R63" s="9">
        <f t="shared" si="4"/>
        <v>0</v>
      </c>
      <c r="S63" s="9">
        <v>0</v>
      </c>
      <c r="T63" s="9">
        <v>0</v>
      </c>
      <c r="U63" s="12">
        <f t="shared" si="5"/>
        <v>0</v>
      </c>
      <c r="V63" s="13">
        <f t="shared" si="6"/>
        <v>0</v>
      </c>
      <c r="W63" s="9"/>
      <c r="X63" s="11"/>
      <c r="Y63" s="9">
        <f t="shared" si="7"/>
        <v>0</v>
      </c>
      <c r="Z63" s="9">
        <f t="shared" si="8"/>
        <v>0</v>
      </c>
      <c r="AA63" s="9">
        <f t="shared" si="9"/>
        <v>0</v>
      </c>
      <c r="AB63" s="9">
        <f t="shared" si="10"/>
        <v>0</v>
      </c>
    </row>
    <row r="64" spans="1:28" ht="15.75" x14ac:dyDescent="0.2">
      <c r="A64" s="23">
        <v>62</v>
      </c>
      <c r="B64" s="24" t="s">
        <v>133</v>
      </c>
      <c r="C64" s="24" t="s">
        <v>134</v>
      </c>
      <c r="D64" s="24" t="s">
        <v>207</v>
      </c>
      <c r="E64" s="24" t="s">
        <v>221</v>
      </c>
      <c r="F64" s="9">
        <f>H64*70%</f>
        <v>5509</v>
      </c>
      <c r="G64" s="9">
        <f>H64-F64</f>
        <v>2361</v>
      </c>
      <c r="H64" s="6">
        <v>7870</v>
      </c>
      <c r="I64" s="9">
        <v>26</v>
      </c>
      <c r="J64" s="10">
        <v>26</v>
      </c>
      <c r="K64" s="10">
        <v>0</v>
      </c>
      <c r="L64" s="9">
        <f t="shared" si="0"/>
        <v>5509</v>
      </c>
      <c r="M64" s="9">
        <f t="shared" si="11"/>
        <v>2361</v>
      </c>
      <c r="N64" s="9">
        <f t="shared" si="12"/>
        <v>0</v>
      </c>
      <c r="O64" s="11">
        <f t="shared" si="1"/>
        <v>7870</v>
      </c>
      <c r="P64" s="9">
        <f t="shared" si="2"/>
        <v>661</v>
      </c>
      <c r="Q64" s="9">
        <f t="shared" si="3"/>
        <v>138</v>
      </c>
      <c r="R64" s="9">
        <f t="shared" si="4"/>
        <v>0</v>
      </c>
      <c r="S64" s="9">
        <v>0</v>
      </c>
      <c r="T64" s="9">
        <v>0</v>
      </c>
      <c r="U64" s="12">
        <f t="shared" si="5"/>
        <v>799</v>
      </c>
      <c r="V64" s="13">
        <f t="shared" si="6"/>
        <v>7071</v>
      </c>
      <c r="W64" s="9"/>
      <c r="X64" s="11"/>
      <c r="Y64" s="9">
        <f t="shared" si="7"/>
        <v>5509</v>
      </c>
      <c r="Z64" s="9">
        <f t="shared" si="8"/>
        <v>736</v>
      </c>
      <c r="AA64" s="9">
        <f t="shared" si="9"/>
        <v>7870</v>
      </c>
      <c r="AB64" s="9">
        <f t="shared" si="10"/>
        <v>374</v>
      </c>
    </row>
    <row r="65" spans="1:28" ht="15.75" x14ac:dyDescent="0.2">
      <c r="A65" s="23">
        <v>63</v>
      </c>
      <c r="B65" s="24" t="s">
        <v>135</v>
      </c>
      <c r="C65" s="24" t="s">
        <v>136</v>
      </c>
      <c r="D65" s="24" t="s">
        <v>207</v>
      </c>
      <c r="E65" s="24" t="s">
        <v>221</v>
      </c>
      <c r="F65" s="9">
        <f>H65*70%</f>
        <v>5509</v>
      </c>
      <c r="G65" s="9">
        <f>H65-F65</f>
        <v>2361</v>
      </c>
      <c r="H65" s="6">
        <v>7870</v>
      </c>
      <c r="I65" s="9">
        <v>26</v>
      </c>
      <c r="J65" s="10">
        <v>25</v>
      </c>
      <c r="K65" s="10">
        <v>0</v>
      </c>
      <c r="L65" s="9">
        <f t="shared" si="0"/>
        <v>5297</v>
      </c>
      <c r="M65" s="9">
        <f t="shared" si="11"/>
        <v>2270.1923076923076</v>
      </c>
      <c r="N65" s="9">
        <f t="shared" si="12"/>
        <v>0</v>
      </c>
      <c r="O65" s="11">
        <f t="shared" si="1"/>
        <v>7567</v>
      </c>
      <c r="P65" s="9">
        <f t="shared" si="2"/>
        <v>636</v>
      </c>
      <c r="Q65" s="9">
        <f t="shared" si="3"/>
        <v>133</v>
      </c>
      <c r="R65" s="9">
        <f t="shared" si="4"/>
        <v>0</v>
      </c>
      <c r="S65" s="9">
        <v>0</v>
      </c>
      <c r="T65" s="9">
        <v>0</v>
      </c>
      <c r="U65" s="12">
        <f t="shared" si="5"/>
        <v>769</v>
      </c>
      <c r="V65" s="13">
        <f t="shared" si="6"/>
        <v>6798</v>
      </c>
      <c r="W65" s="9"/>
      <c r="X65" s="11"/>
      <c r="Y65" s="9">
        <f t="shared" si="7"/>
        <v>5297</v>
      </c>
      <c r="Z65" s="9">
        <f t="shared" si="8"/>
        <v>708</v>
      </c>
      <c r="AA65" s="9">
        <f t="shared" si="9"/>
        <v>7567</v>
      </c>
      <c r="AB65" s="9">
        <f t="shared" si="10"/>
        <v>360</v>
      </c>
    </row>
    <row r="66" spans="1:28" ht="15.75" x14ac:dyDescent="0.2">
      <c r="A66" s="23">
        <v>64</v>
      </c>
      <c r="B66" s="24" t="s">
        <v>137</v>
      </c>
      <c r="C66" s="28" t="s">
        <v>138</v>
      </c>
      <c r="D66" s="24" t="s">
        <v>208</v>
      </c>
      <c r="E66" s="24" t="s">
        <v>220</v>
      </c>
      <c r="F66" s="9">
        <v>7546</v>
      </c>
      <c r="G66" s="9">
        <f>ROUND((F66*50%)/8*4,0)</f>
        <v>1887</v>
      </c>
      <c r="H66" s="6">
        <f>F66+G66</f>
        <v>9433</v>
      </c>
      <c r="I66" s="9">
        <v>26</v>
      </c>
      <c r="J66" s="10">
        <v>24</v>
      </c>
      <c r="K66" s="10">
        <v>0</v>
      </c>
      <c r="L66" s="9">
        <f t="shared" si="0"/>
        <v>6966</v>
      </c>
      <c r="M66" s="9">
        <f t="shared" si="11"/>
        <v>1741.8461538461538</v>
      </c>
      <c r="N66" s="9">
        <f t="shared" si="12"/>
        <v>0</v>
      </c>
      <c r="O66" s="11">
        <f t="shared" si="1"/>
        <v>8708</v>
      </c>
      <c r="P66" s="9">
        <f t="shared" si="2"/>
        <v>836</v>
      </c>
      <c r="Q66" s="9">
        <f t="shared" si="3"/>
        <v>153</v>
      </c>
      <c r="R66" s="9">
        <f t="shared" si="4"/>
        <v>0</v>
      </c>
      <c r="S66" s="9">
        <v>0</v>
      </c>
      <c r="T66" s="9">
        <v>0</v>
      </c>
      <c r="U66" s="12">
        <f t="shared" si="5"/>
        <v>989</v>
      </c>
      <c r="V66" s="13">
        <f t="shared" si="6"/>
        <v>7719</v>
      </c>
      <c r="W66" s="9"/>
      <c r="X66" s="11"/>
      <c r="Y66" s="9">
        <f t="shared" si="7"/>
        <v>6966</v>
      </c>
      <c r="Z66" s="9">
        <f t="shared" si="8"/>
        <v>931</v>
      </c>
      <c r="AA66" s="9">
        <f t="shared" si="9"/>
        <v>8707</v>
      </c>
      <c r="AB66" s="9">
        <f t="shared" si="10"/>
        <v>414</v>
      </c>
    </row>
    <row r="67" spans="1:28" ht="15.75" x14ac:dyDescent="0.2">
      <c r="A67" s="23">
        <v>65</v>
      </c>
      <c r="B67" s="24" t="s">
        <v>139</v>
      </c>
      <c r="C67" s="24" t="s">
        <v>140</v>
      </c>
      <c r="D67" s="24" t="s">
        <v>215</v>
      </c>
      <c r="E67" s="24" t="s">
        <v>220</v>
      </c>
      <c r="F67" s="9">
        <f>H67*60%</f>
        <v>4626.5999999999995</v>
      </c>
      <c r="G67" s="9">
        <f>H67*40%</f>
        <v>3084.4</v>
      </c>
      <c r="H67" s="6">
        <v>7711</v>
      </c>
      <c r="I67" s="9">
        <v>26</v>
      </c>
      <c r="J67" s="10">
        <v>27</v>
      </c>
      <c r="K67" s="10">
        <v>0</v>
      </c>
      <c r="L67" s="9">
        <f t="shared" si="0"/>
        <v>4805</v>
      </c>
      <c r="M67" s="9">
        <f t="shared" si="11"/>
        <v>3203.0307692307692</v>
      </c>
      <c r="N67" s="9">
        <f t="shared" si="12"/>
        <v>0</v>
      </c>
      <c r="O67" s="11">
        <f t="shared" si="1"/>
        <v>8008</v>
      </c>
      <c r="P67" s="9">
        <f t="shared" si="2"/>
        <v>577</v>
      </c>
      <c r="Q67" s="9">
        <f t="shared" si="3"/>
        <v>141</v>
      </c>
      <c r="R67" s="9">
        <f t="shared" si="4"/>
        <v>0</v>
      </c>
      <c r="S67" s="9">
        <v>0</v>
      </c>
      <c r="T67" s="9">
        <v>0</v>
      </c>
      <c r="U67" s="12">
        <f t="shared" si="5"/>
        <v>718</v>
      </c>
      <c r="V67" s="13">
        <f t="shared" si="6"/>
        <v>7290</v>
      </c>
      <c r="W67" s="9"/>
      <c r="X67" s="11"/>
      <c r="Y67" s="9">
        <f t="shared" si="7"/>
        <v>4805</v>
      </c>
      <c r="Z67" s="9">
        <f t="shared" si="8"/>
        <v>642</v>
      </c>
      <c r="AA67" s="9">
        <f t="shared" si="9"/>
        <v>8008</v>
      </c>
      <c r="AB67" s="9">
        <f t="shared" si="10"/>
        <v>381</v>
      </c>
    </row>
    <row r="68" spans="1:28" ht="15.75" x14ac:dyDescent="0.2">
      <c r="A68" s="23">
        <v>66</v>
      </c>
      <c r="B68" s="24" t="s">
        <v>141</v>
      </c>
      <c r="C68" s="24" t="s">
        <v>142</v>
      </c>
      <c r="D68" s="24" t="s">
        <v>208</v>
      </c>
      <c r="E68" s="24" t="s">
        <v>220</v>
      </c>
      <c r="F68" s="9">
        <v>7546</v>
      </c>
      <c r="G68" s="9">
        <f>ROUND((F68*50%)/8*4,0)</f>
        <v>1887</v>
      </c>
      <c r="H68" s="6">
        <f>F68+G68</f>
        <v>9433</v>
      </c>
      <c r="I68" s="9">
        <v>26</v>
      </c>
      <c r="J68" s="10">
        <v>24</v>
      </c>
      <c r="K68" s="10">
        <v>0</v>
      </c>
      <c r="L68" s="9">
        <f t="shared" ref="L68:L95" si="13">ROUND(F68/I68*J68,0)</f>
        <v>6966</v>
      </c>
      <c r="M68" s="9">
        <f t="shared" si="11"/>
        <v>1741.8461538461538</v>
      </c>
      <c r="N68" s="9">
        <f t="shared" si="12"/>
        <v>0</v>
      </c>
      <c r="O68" s="11">
        <f t="shared" ref="O68:O95" si="14">ROUND(L68+M68+N68,0)</f>
        <v>8708</v>
      </c>
      <c r="P68" s="9">
        <f t="shared" ref="P68:P95" si="15">ROUND(Y68*12%,0)</f>
        <v>836</v>
      </c>
      <c r="Q68" s="9">
        <f t="shared" ref="Q68:Q95" si="16">ROUNDUP(AA68*1.75%,0)</f>
        <v>153</v>
      </c>
      <c r="R68" s="9">
        <f t="shared" ref="R68:R95" si="17">IF(O68&gt;40000,200,IF(O68&gt;25000,150,IF(O68&gt;15000,130,IF(O68&gt;10000,110,IF(O68&gt;8500,0,)))))</f>
        <v>0</v>
      </c>
      <c r="S68" s="9">
        <v>0</v>
      </c>
      <c r="T68" s="9">
        <v>0</v>
      </c>
      <c r="U68" s="12">
        <f t="shared" ref="U68:U95" si="18">SUM(P68:T68)</f>
        <v>989</v>
      </c>
      <c r="V68" s="13">
        <f t="shared" ref="V68:V95" si="19">O68-U68</f>
        <v>7719</v>
      </c>
      <c r="W68" s="9"/>
      <c r="X68" s="11"/>
      <c r="Y68" s="9">
        <f t="shared" ref="Y68:Y95" si="20">ROUND(IF(($L68)&gt;15000,15000,IF(($L68)&lt;=15000,($L68))),0)</f>
        <v>6966</v>
      </c>
      <c r="Z68" s="9">
        <f t="shared" ref="Z68:Z95" si="21">ROUND(Y68*13.36%,0)</f>
        <v>931</v>
      </c>
      <c r="AA68" s="9">
        <f t="shared" ref="AA68:AA95" si="22">ROUND($H68/$I68*($J68+K68),0)</f>
        <v>8707</v>
      </c>
      <c r="AB68" s="9">
        <f t="shared" ref="AB68:AB95" si="23">ROUNDUP(AA68*4.75%,0)</f>
        <v>414</v>
      </c>
    </row>
    <row r="69" spans="1:28" ht="15.75" x14ac:dyDescent="0.2">
      <c r="A69" s="23">
        <v>67</v>
      </c>
      <c r="B69" s="24" t="s">
        <v>143</v>
      </c>
      <c r="C69" s="24" t="s">
        <v>144</v>
      </c>
      <c r="D69" s="24" t="s">
        <v>212</v>
      </c>
      <c r="E69" s="24" t="s">
        <v>221</v>
      </c>
      <c r="F69" s="9">
        <f>H69*70%</f>
        <v>4668.2999999999993</v>
      </c>
      <c r="G69" s="9">
        <f>H69*30%</f>
        <v>2000.6999999999998</v>
      </c>
      <c r="H69" s="6">
        <v>6669</v>
      </c>
      <c r="I69" s="9">
        <v>26</v>
      </c>
      <c r="J69" s="10">
        <v>30</v>
      </c>
      <c r="K69" s="10">
        <v>0</v>
      </c>
      <c r="L69" s="9">
        <f t="shared" si="13"/>
        <v>5387</v>
      </c>
      <c r="M69" s="9">
        <f t="shared" si="11"/>
        <v>2308.4999999999995</v>
      </c>
      <c r="N69" s="9">
        <f t="shared" si="12"/>
        <v>0</v>
      </c>
      <c r="O69" s="11">
        <f t="shared" si="14"/>
        <v>7696</v>
      </c>
      <c r="P69" s="9">
        <f t="shared" si="15"/>
        <v>646</v>
      </c>
      <c r="Q69" s="9">
        <f t="shared" si="16"/>
        <v>135</v>
      </c>
      <c r="R69" s="9">
        <f t="shared" si="17"/>
        <v>0</v>
      </c>
      <c r="S69" s="9">
        <v>0</v>
      </c>
      <c r="T69" s="9">
        <v>0</v>
      </c>
      <c r="U69" s="12">
        <f t="shared" si="18"/>
        <v>781</v>
      </c>
      <c r="V69" s="13">
        <f t="shared" si="19"/>
        <v>6915</v>
      </c>
      <c r="W69" s="9"/>
      <c r="X69" s="11"/>
      <c r="Y69" s="9">
        <f t="shared" si="20"/>
        <v>5387</v>
      </c>
      <c r="Z69" s="9">
        <f t="shared" si="21"/>
        <v>720</v>
      </c>
      <c r="AA69" s="9">
        <f t="shared" si="22"/>
        <v>7695</v>
      </c>
      <c r="AB69" s="9">
        <f t="shared" si="23"/>
        <v>366</v>
      </c>
    </row>
    <row r="70" spans="1:28" ht="15.75" x14ac:dyDescent="0.2">
      <c r="A70" s="23">
        <v>68</v>
      </c>
      <c r="B70" s="24" t="s">
        <v>145</v>
      </c>
      <c r="C70" s="24" t="s">
        <v>146</v>
      </c>
      <c r="D70" s="24" t="s">
        <v>208</v>
      </c>
      <c r="E70" s="24" t="s">
        <v>221</v>
      </c>
      <c r="F70" s="9">
        <v>7546</v>
      </c>
      <c r="G70" s="9"/>
      <c r="H70" s="6">
        <f>SUBTOTAL(9,F70:G70)</f>
        <v>7546</v>
      </c>
      <c r="I70" s="9">
        <v>26</v>
      </c>
      <c r="J70" s="10">
        <v>26</v>
      </c>
      <c r="K70" s="10">
        <v>0</v>
      </c>
      <c r="L70" s="9">
        <f t="shared" si="13"/>
        <v>7546</v>
      </c>
      <c r="M70" s="9">
        <f t="shared" si="11"/>
        <v>0</v>
      </c>
      <c r="N70" s="9">
        <f t="shared" si="12"/>
        <v>0</v>
      </c>
      <c r="O70" s="11">
        <f t="shared" si="14"/>
        <v>7546</v>
      </c>
      <c r="P70" s="9">
        <f t="shared" si="15"/>
        <v>906</v>
      </c>
      <c r="Q70" s="9">
        <f t="shared" si="16"/>
        <v>133</v>
      </c>
      <c r="R70" s="9">
        <f t="shared" si="17"/>
        <v>0</v>
      </c>
      <c r="S70" s="9">
        <v>0</v>
      </c>
      <c r="T70" s="9">
        <v>0</v>
      </c>
      <c r="U70" s="12">
        <f t="shared" si="18"/>
        <v>1039</v>
      </c>
      <c r="V70" s="13">
        <f t="shared" si="19"/>
        <v>6507</v>
      </c>
      <c r="W70" s="9"/>
      <c r="X70" s="11"/>
      <c r="Y70" s="9">
        <f t="shared" si="20"/>
        <v>7546</v>
      </c>
      <c r="Z70" s="9">
        <f t="shared" si="21"/>
        <v>1008</v>
      </c>
      <c r="AA70" s="9">
        <f t="shared" si="22"/>
        <v>7546</v>
      </c>
      <c r="AB70" s="9">
        <f t="shared" si="23"/>
        <v>359</v>
      </c>
    </row>
    <row r="71" spans="1:28" ht="15.75" x14ac:dyDescent="0.2">
      <c r="A71" s="23">
        <v>69</v>
      </c>
      <c r="B71" s="24" t="s">
        <v>147</v>
      </c>
      <c r="C71" s="24" t="s">
        <v>148</v>
      </c>
      <c r="D71" s="24" t="s">
        <v>207</v>
      </c>
      <c r="E71" s="24" t="s">
        <v>221</v>
      </c>
      <c r="F71" s="9">
        <f>H71*70%</f>
        <v>5509</v>
      </c>
      <c r="G71" s="9">
        <f>H71-F71</f>
        <v>2361</v>
      </c>
      <c r="H71" s="6">
        <v>7870</v>
      </c>
      <c r="I71" s="9">
        <v>26</v>
      </c>
      <c r="J71" s="10">
        <v>29</v>
      </c>
      <c r="K71" s="10">
        <v>0</v>
      </c>
      <c r="L71" s="9">
        <f t="shared" si="13"/>
        <v>6145</v>
      </c>
      <c r="M71" s="9">
        <f t="shared" si="11"/>
        <v>2633.4230769230767</v>
      </c>
      <c r="N71" s="9">
        <f t="shared" si="12"/>
        <v>0</v>
      </c>
      <c r="O71" s="11">
        <f t="shared" si="14"/>
        <v>8778</v>
      </c>
      <c r="P71" s="9">
        <f t="shared" si="15"/>
        <v>737</v>
      </c>
      <c r="Q71" s="9">
        <f t="shared" si="16"/>
        <v>154</v>
      </c>
      <c r="R71" s="9">
        <f t="shared" si="17"/>
        <v>0</v>
      </c>
      <c r="S71" s="9">
        <v>0</v>
      </c>
      <c r="T71" s="9">
        <v>0</v>
      </c>
      <c r="U71" s="12">
        <f t="shared" si="18"/>
        <v>891</v>
      </c>
      <c r="V71" s="13">
        <f t="shared" si="19"/>
        <v>7887</v>
      </c>
      <c r="W71" s="9"/>
      <c r="X71" s="11"/>
      <c r="Y71" s="9">
        <f t="shared" si="20"/>
        <v>6145</v>
      </c>
      <c r="Z71" s="9">
        <f t="shared" si="21"/>
        <v>821</v>
      </c>
      <c r="AA71" s="9">
        <f t="shared" si="22"/>
        <v>8778</v>
      </c>
      <c r="AB71" s="9">
        <f t="shared" si="23"/>
        <v>417</v>
      </c>
    </row>
    <row r="72" spans="1:28" ht="15.75" x14ac:dyDescent="0.2">
      <c r="A72" s="23">
        <v>70</v>
      </c>
      <c r="B72" s="24" t="s">
        <v>149</v>
      </c>
      <c r="C72" s="24" t="s">
        <v>150</v>
      </c>
      <c r="D72" s="24" t="s">
        <v>207</v>
      </c>
      <c r="E72" s="24" t="s">
        <v>221</v>
      </c>
      <c r="F72" s="9">
        <f>H72*70%</f>
        <v>5509</v>
      </c>
      <c r="G72" s="9">
        <f>H72-F72</f>
        <v>2361</v>
      </c>
      <c r="H72" s="6">
        <v>7870</v>
      </c>
      <c r="I72" s="9">
        <v>26</v>
      </c>
      <c r="J72" s="10">
        <v>25</v>
      </c>
      <c r="K72" s="10">
        <v>0</v>
      </c>
      <c r="L72" s="9">
        <f t="shared" si="13"/>
        <v>5297</v>
      </c>
      <c r="M72" s="9">
        <f t="shared" ref="M72:M95" si="24">G72/I72*J72</f>
        <v>2270.1923076923076</v>
      </c>
      <c r="N72" s="9">
        <f t="shared" ref="N72:N95" si="25">H72/I72*K72</f>
        <v>0</v>
      </c>
      <c r="O72" s="11">
        <f t="shared" si="14"/>
        <v>7567</v>
      </c>
      <c r="P72" s="9">
        <f t="shared" si="15"/>
        <v>636</v>
      </c>
      <c r="Q72" s="9">
        <f t="shared" si="16"/>
        <v>133</v>
      </c>
      <c r="R72" s="9">
        <f t="shared" si="17"/>
        <v>0</v>
      </c>
      <c r="S72" s="9">
        <v>0</v>
      </c>
      <c r="T72" s="9">
        <v>0</v>
      </c>
      <c r="U72" s="12">
        <f t="shared" si="18"/>
        <v>769</v>
      </c>
      <c r="V72" s="13">
        <f t="shared" si="19"/>
        <v>6798</v>
      </c>
      <c r="W72" s="9"/>
      <c r="X72" s="11"/>
      <c r="Y72" s="9">
        <f t="shared" si="20"/>
        <v>5297</v>
      </c>
      <c r="Z72" s="9">
        <f t="shared" si="21"/>
        <v>708</v>
      </c>
      <c r="AA72" s="9">
        <f t="shared" si="22"/>
        <v>7567</v>
      </c>
      <c r="AB72" s="9">
        <f t="shared" si="23"/>
        <v>360</v>
      </c>
    </row>
    <row r="73" spans="1:28" ht="15.75" x14ac:dyDescent="0.2">
      <c r="A73" s="23">
        <v>71</v>
      </c>
      <c r="B73" s="24" t="s">
        <v>151</v>
      </c>
      <c r="C73" s="24" t="s">
        <v>152</v>
      </c>
      <c r="D73" s="24" t="s">
        <v>214</v>
      </c>
      <c r="E73" s="24" t="s">
        <v>220</v>
      </c>
      <c r="F73" s="9">
        <v>2800</v>
      </c>
      <c r="G73" s="9">
        <v>2700</v>
      </c>
      <c r="H73" s="6">
        <f>SUBTOTAL(9,F73:G73)</f>
        <v>5500</v>
      </c>
      <c r="I73" s="9">
        <v>28</v>
      </c>
      <c r="J73" s="10">
        <v>28</v>
      </c>
      <c r="K73" s="10">
        <v>0</v>
      </c>
      <c r="L73" s="9">
        <f t="shared" si="13"/>
        <v>2800</v>
      </c>
      <c r="M73" s="9">
        <f t="shared" si="24"/>
        <v>2700</v>
      </c>
      <c r="N73" s="9">
        <f t="shared" si="25"/>
        <v>0</v>
      </c>
      <c r="O73" s="11">
        <f t="shared" si="14"/>
        <v>5500</v>
      </c>
      <c r="P73" s="9">
        <f t="shared" si="15"/>
        <v>336</v>
      </c>
      <c r="Q73" s="9">
        <f t="shared" si="16"/>
        <v>97</v>
      </c>
      <c r="R73" s="9">
        <f t="shared" si="17"/>
        <v>0</v>
      </c>
      <c r="S73" s="9">
        <v>0</v>
      </c>
      <c r="T73" s="9">
        <v>0</v>
      </c>
      <c r="U73" s="12">
        <f t="shared" si="18"/>
        <v>433</v>
      </c>
      <c r="V73" s="13">
        <f t="shared" si="19"/>
        <v>5067</v>
      </c>
      <c r="W73" s="9"/>
      <c r="X73" s="11"/>
      <c r="Y73" s="9">
        <f t="shared" si="20"/>
        <v>2800</v>
      </c>
      <c r="Z73" s="9">
        <f t="shared" si="21"/>
        <v>374</v>
      </c>
      <c r="AA73" s="9">
        <f t="shared" si="22"/>
        <v>5500</v>
      </c>
      <c r="AB73" s="9">
        <f t="shared" si="23"/>
        <v>262</v>
      </c>
    </row>
    <row r="74" spans="1:28" ht="15.75" x14ac:dyDescent="0.2">
      <c r="A74" s="23">
        <v>72</v>
      </c>
      <c r="B74" s="24" t="s">
        <v>153</v>
      </c>
      <c r="C74" s="24" t="s">
        <v>154</v>
      </c>
      <c r="D74" s="24" t="s">
        <v>208</v>
      </c>
      <c r="E74" s="24" t="s">
        <v>221</v>
      </c>
      <c r="F74" s="9">
        <v>7546</v>
      </c>
      <c r="G74" s="9"/>
      <c r="H74" s="6">
        <f>SUBTOTAL(9,F74:G74)</f>
        <v>7546</v>
      </c>
      <c r="I74" s="9">
        <v>26</v>
      </c>
      <c r="J74" s="10">
        <v>23</v>
      </c>
      <c r="K74" s="10">
        <v>0</v>
      </c>
      <c r="L74" s="9">
        <f t="shared" si="13"/>
        <v>6675</v>
      </c>
      <c r="M74" s="9">
        <f t="shared" si="24"/>
        <v>0</v>
      </c>
      <c r="N74" s="9">
        <f t="shared" si="25"/>
        <v>0</v>
      </c>
      <c r="O74" s="11">
        <f t="shared" si="14"/>
        <v>6675</v>
      </c>
      <c r="P74" s="9">
        <f t="shared" si="15"/>
        <v>801</v>
      </c>
      <c r="Q74" s="9">
        <f t="shared" si="16"/>
        <v>117</v>
      </c>
      <c r="R74" s="9">
        <f t="shared" si="17"/>
        <v>0</v>
      </c>
      <c r="S74" s="9">
        <v>0</v>
      </c>
      <c r="T74" s="9">
        <v>0</v>
      </c>
      <c r="U74" s="12">
        <f t="shared" si="18"/>
        <v>918</v>
      </c>
      <c r="V74" s="13">
        <f t="shared" si="19"/>
        <v>5757</v>
      </c>
      <c r="W74" s="9"/>
      <c r="X74" s="11"/>
      <c r="Y74" s="9">
        <f t="shared" si="20"/>
        <v>6675</v>
      </c>
      <c r="Z74" s="9">
        <f t="shared" si="21"/>
        <v>892</v>
      </c>
      <c r="AA74" s="9">
        <f t="shared" si="22"/>
        <v>6675</v>
      </c>
      <c r="AB74" s="9">
        <f t="shared" si="23"/>
        <v>318</v>
      </c>
    </row>
    <row r="75" spans="1:28" ht="15.75" x14ac:dyDescent="0.2">
      <c r="A75" s="23">
        <v>73</v>
      </c>
      <c r="B75" s="24" t="s">
        <v>155</v>
      </c>
      <c r="C75" s="24" t="s">
        <v>156</v>
      </c>
      <c r="D75" s="24" t="s">
        <v>210</v>
      </c>
      <c r="E75" s="24" t="s">
        <v>221</v>
      </c>
      <c r="F75" s="9">
        <v>4420</v>
      </c>
      <c r="G75" s="9">
        <v>780</v>
      </c>
      <c r="H75" s="6">
        <f>SUBTOTAL(9,F75:G75)</f>
        <v>5200</v>
      </c>
      <c r="I75" s="9">
        <v>26</v>
      </c>
      <c r="J75" s="10">
        <v>27</v>
      </c>
      <c r="K75" s="10">
        <v>0</v>
      </c>
      <c r="L75" s="9">
        <f t="shared" si="13"/>
        <v>4590</v>
      </c>
      <c r="M75" s="9">
        <f t="shared" si="24"/>
        <v>810</v>
      </c>
      <c r="N75" s="9">
        <f t="shared" si="25"/>
        <v>0</v>
      </c>
      <c r="O75" s="11">
        <f t="shared" si="14"/>
        <v>5400</v>
      </c>
      <c r="P75" s="9">
        <f t="shared" si="15"/>
        <v>551</v>
      </c>
      <c r="Q75" s="9">
        <f t="shared" si="16"/>
        <v>95</v>
      </c>
      <c r="R75" s="9">
        <f t="shared" si="17"/>
        <v>0</v>
      </c>
      <c r="S75" s="9">
        <v>0</v>
      </c>
      <c r="T75" s="9">
        <v>0</v>
      </c>
      <c r="U75" s="12">
        <f t="shared" si="18"/>
        <v>646</v>
      </c>
      <c r="V75" s="13">
        <f t="shared" si="19"/>
        <v>4754</v>
      </c>
      <c r="W75" s="9"/>
      <c r="X75" s="11"/>
      <c r="Y75" s="9">
        <f t="shared" si="20"/>
        <v>4590</v>
      </c>
      <c r="Z75" s="9">
        <f t="shared" si="21"/>
        <v>613</v>
      </c>
      <c r="AA75" s="9">
        <f t="shared" si="22"/>
        <v>5400</v>
      </c>
      <c r="AB75" s="9">
        <f t="shared" si="23"/>
        <v>257</v>
      </c>
    </row>
    <row r="76" spans="1:28" ht="15.75" x14ac:dyDescent="0.2">
      <c r="A76" s="23">
        <v>74</v>
      </c>
      <c r="B76" s="24" t="s">
        <v>157</v>
      </c>
      <c r="C76" s="24" t="s">
        <v>158</v>
      </c>
      <c r="D76" s="24" t="s">
        <v>209</v>
      </c>
      <c r="E76" s="24" t="s">
        <v>221</v>
      </c>
      <c r="F76" s="9">
        <v>7108</v>
      </c>
      <c r="G76" s="9">
        <v>92</v>
      </c>
      <c r="H76" s="6">
        <f>SUBTOTAL(9,F76:G76)</f>
        <v>7200</v>
      </c>
      <c r="I76" s="9">
        <v>26</v>
      </c>
      <c r="J76" s="10">
        <v>27</v>
      </c>
      <c r="K76" s="10">
        <v>0</v>
      </c>
      <c r="L76" s="9">
        <f t="shared" si="13"/>
        <v>7381</v>
      </c>
      <c r="M76" s="9">
        <f t="shared" si="24"/>
        <v>95.538461538461533</v>
      </c>
      <c r="N76" s="9">
        <f t="shared" si="25"/>
        <v>0</v>
      </c>
      <c r="O76" s="11">
        <f t="shared" si="14"/>
        <v>7477</v>
      </c>
      <c r="P76" s="9">
        <f t="shared" si="15"/>
        <v>886</v>
      </c>
      <c r="Q76" s="9">
        <f t="shared" si="16"/>
        <v>131</v>
      </c>
      <c r="R76" s="9">
        <f t="shared" si="17"/>
        <v>0</v>
      </c>
      <c r="S76" s="9">
        <v>0</v>
      </c>
      <c r="T76" s="9">
        <v>0</v>
      </c>
      <c r="U76" s="12">
        <f t="shared" si="18"/>
        <v>1017</v>
      </c>
      <c r="V76" s="13">
        <f t="shared" si="19"/>
        <v>6460</v>
      </c>
      <c r="W76" s="9"/>
      <c r="X76" s="11"/>
      <c r="Y76" s="9">
        <f t="shared" si="20"/>
        <v>7381</v>
      </c>
      <c r="Z76" s="9">
        <f t="shared" si="21"/>
        <v>986</v>
      </c>
      <c r="AA76" s="9">
        <f t="shared" si="22"/>
        <v>7477</v>
      </c>
      <c r="AB76" s="9">
        <f t="shared" si="23"/>
        <v>356</v>
      </c>
    </row>
    <row r="77" spans="1:28" ht="15.75" x14ac:dyDescent="0.2">
      <c r="A77" s="23">
        <v>75</v>
      </c>
      <c r="B77" s="24" t="s">
        <v>159</v>
      </c>
      <c r="C77" s="25" t="s">
        <v>160</v>
      </c>
      <c r="D77" s="24"/>
      <c r="E77" s="24"/>
      <c r="F77" s="9"/>
      <c r="G77" s="9"/>
      <c r="H77" s="6"/>
      <c r="I77" s="9">
        <v>26</v>
      </c>
      <c r="J77" s="10">
        <v>0</v>
      </c>
      <c r="K77" s="10">
        <v>0</v>
      </c>
      <c r="L77" s="9">
        <f t="shared" si="13"/>
        <v>0</v>
      </c>
      <c r="M77" s="9">
        <f t="shared" si="24"/>
        <v>0</v>
      </c>
      <c r="N77" s="9">
        <f t="shared" si="25"/>
        <v>0</v>
      </c>
      <c r="O77" s="11">
        <f t="shared" si="14"/>
        <v>0</v>
      </c>
      <c r="P77" s="9">
        <f t="shared" si="15"/>
        <v>0</v>
      </c>
      <c r="Q77" s="9">
        <f t="shared" si="16"/>
        <v>0</v>
      </c>
      <c r="R77" s="9">
        <f t="shared" si="17"/>
        <v>0</v>
      </c>
      <c r="S77" s="9">
        <v>0</v>
      </c>
      <c r="T77" s="9">
        <v>0</v>
      </c>
      <c r="U77" s="12">
        <f t="shared" si="18"/>
        <v>0</v>
      </c>
      <c r="V77" s="13">
        <f t="shared" si="19"/>
        <v>0</v>
      </c>
      <c r="W77" s="9"/>
      <c r="X77" s="11"/>
      <c r="Y77" s="9">
        <f t="shared" si="20"/>
        <v>0</v>
      </c>
      <c r="Z77" s="9">
        <f t="shared" si="21"/>
        <v>0</v>
      </c>
      <c r="AA77" s="9">
        <f t="shared" si="22"/>
        <v>0</v>
      </c>
      <c r="AB77" s="9">
        <f t="shared" si="23"/>
        <v>0</v>
      </c>
    </row>
    <row r="78" spans="1:28" ht="15.75" x14ac:dyDescent="0.2">
      <c r="A78" s="23">
        <v>76</v>
      </c>
      <c r="B78" s="24" t="s">
        <v>161</v>
      </c>
      <c r="C78" s="24" t="s">
        <v>162</v>
      </c>
      <c r="D78" s="24" t="s">
        <v>207</v>
      </c>
      <c r="E78" s="24" t="s">
        <v>221</v>
      </c>
      <c r="F78" s="9">
        <f>H78*70%</f>
        <v>5509</v>
      </c>
      <c r="G78" s="9">
        <f>H78-F78</f>
        <v>2361</v>
      </c>
      <c r="H78" s="6">
        <v>7870</v>
      </c>
      <c r="I78" s="9">
        <v>26</v>
      </c>
      <c r="J78" s="10">
        <v>25</v>
      </c>
      <c r="K78" s="10">
        <v>0</v>
      </c>
      <c r="L78" s="9">
        <f t="shared" si="13"/>
        <v>5297</v>
      </c>
      <c r="M78" s="9">
        <f t="shared" si="24"/>
        <v>2270.1923076923076</v>
      </c>
      <c r="N78" s="9">
        <f t="shared" si="25"/>
        <v>0</v>
      </c>
      <c r="O78" s="11">
        <f t="shared" si="14"/>
        <v>7567</v>
      </c>
      <c r="P78" s="9">
        <f t="shared" si="15"/>
        <v>636</v>
      </c>
      <c r="Q78" s="9">
        <f t="shared" si="16"/>
        <v>133</v>
      </c>
      <c r="R78" s="9">
        <f t="shared" si="17"/>
        <v>0</v>
      </c>
      <c r="S78" s="9">
        <v>0</v>
      </c>
      <c r="T78" s="9">
        <v>0</v>
      </c>
      <c r="U78" s="12">
        <f t="shared" si="18"/>
        <v>769</v>
      </c>
      <c r="V78" s="13">
        <f t="shared" si="19"/>
        <v>6798</v>
      </c>
      <c r="W78" s="9"/>
      <c r="X78" s="11"/>
      <c r="Y78" s="9">
        <f t="shared" si="20"/>
        <v>5297</v>
      </c>
      <c r="Z78" s="9">
        <f t="shared" si="21"/>
        <v>708</v>
      </c>
      <c r="AA78" s="9">
        <f t="shared" si="22"/>
        <v>7567</v>
      </c>
      <c r="AB78" s="9">
        <f t="shared" si="23"/>
        <v>360</v>
      </c>
    </row>
    <row r="79" spans="1:28" ht="15.75" x14ac:dyDescent="0.2">
      <c r="A79" s="23">
        <v>77</v>
      </c>
      <c r="B79" s="24" t="s">
        <v>163</v>
      </c>
      <c r="C79" s="24" t="s">
        <v>164</v>
      </c>
      <c r="D79" s="24" t="s">
        <v>213</v>
      </c>
      <c r="E79" s="24" t="s">
        <v>221</v>
      </c>
      <c r="F79" s="9">
        <v>4420</v>
      </c>
      <c r="G79" s="9">
        <v>2250</v>
      </c>
      <c r="H79" s="6">
        <f>SUBTOTAL(9,F79:G79)</f>
        <v>6670</v>
      </c>
      <c r="I79" s="9">
        <v>28</v>
      </c>
      <c r="J79" s="10">
        <v>28</v>
      </c>
      <c r="K79" s="10">
        <v>0</v>
      </c>
      <c r="L79" s="9">
        <f t="shared" si="13"/>
        <v>4420</v>
      </c>
      <c r="M79" s="9">
        <f t="shared" si="24"/>
        <v>2250</v>
      </c>
      <c r="N79" s="9">
        <f t="shared" si="25"/>
        <v>0</v>
      </c>
      <c r="O79" s="11">
        <f t="shared" si="14"/>
        <v>6670</v>
      </c>
      <c r="P79" s="9">
        <f t="shared" si="15"/>
        <v>530</v>
      </c>
      <c r="Q79" s="9">
        <f t="shared" si="16"/>
        <v>117</v>
      </c>
      <c r="R79" s="9">
        <f t="shared" si="17"/>
        <v>0</v>
      </c>
      <c r="S79" s="9">
        <v>0</v>
      </c>
      <c r="T79" s="9">
        <v>0</v>
      </c>
      <c r="U79" s="12">
        <f t="shared" si="18"/>
        <v>647</v>
      </c>
      <c r="V79" s="13">
        <f t="shared" si="19"/>
        <v>6023</v>
      </c>
      <c r="W79" s="9"/>
      <c r="X79" s="11"/>
      <c r="Y79" s="9">
        <f t="shared" si="20"/>
        <v>4420</v>
      </c>
      <c r="Z79" s="9">
        <f t="shared" si="21"/>
        <v>591</v>
      </c>
      <c r="AA79" s="9">
        <f t="shared" si="22"/>
        <v>6670</v>
      </c>
      <c r="AB79" s="9">
        <f t="shared" si="23"/>
        <v>317</v>
      </c>
    </row>
    <row r="80" spans="1:28" ht="15.75" x14ac:dyDescent="0.2">
      <c r="A80" s="23">
        <v>78</v>
      </c>
      <c r="B80" s="24" t="s">
        <v>165</v>
      </c>
      <c r="C80" s="24" t="s">
        <v>166</v>
      </c>
      <c r="D80" s="24" t="s">
        <v>208</v>
      </c>
      <c r="E80" s="24" t="s">
        <v>221</v>
      </c>
      <c r="F80" s="9">
        <v>7546</v>
      </c>
      <c r="G80" s="9"/>
      <c r="H80" s="6">
        <f>SUBTOTAL(9,F80:G80)</f>
        <v>7546</v>
      </c>
      <c r="I80" s="9">
        <v>26</v>
      </c>
      <c r="J80" s="10">
        <v>23</v>
      </c>
      <c r="K80" s="10">
        <v>0</v>
      </c>
      <c r="L80" s="9">
        <f t="shared" si="13"/>
        <v>6675</v>
      </c>
      <c r="M80" s="9">
        <f t="shared" si="24"/>
        <v>0</v>
      </c>
      <c r="N80" s="9">
        <f t="shared" si="25"/>
        <v>0</v>
      </c>
      <c r="O80" s="11">
        <f t="shared" si="14"/>
        <v>6675</v>
      </c>
      <c r="P80" s="9">
        <f t="shared" si="15"/>
        <v>801</v>
      </c>
      <c r="Q80" s="9">
        <f t="shared" si="16"/>
        <v>117</v>
      </c>
      <c r="R80" s="9">
        <f t="shared" si="17"/>
        <v>0</v>
      </c>
      <c r="S80" s="9">
        <v>0</v>
      </c>
      <c r="T80" s="9">
        <v>0</v>
      </c>
      <c r="U80" s="12">
        <f t="shared" si="18"/>
        <v>918</v>
      </c>
      <c r="V80" s="13">
        <f t="shared" si="19"/>
        <v>5757</v>
      </c>
      <c r="W80" s="9"/>
      <c r="X80" s="11"/>
      <c r="Y80" s="9">
        <f t="shared" si="20"/>
        <v>6675</v>
      </c>
      <c r="Z80" s="9">
        <f t="shared" si="21"/>
        <v>892</v>
      </c>
      <c r="AA80" s="9">
        <f t="shared" si="22"/>
        <v>6675</v>
      </c>
      <c r="AB80" s="9">
        <f t="shared" si="23"/>
        <v>318</v>
      </c>
    </row>
    <row r="81" spans="1:28" ht="15.75" x14ac:dyDescent="0.2">
      <c r="A81" s="23">
        <v>79</v>
      </c>
      <c r="B81" s="24" t="s">
        <v>167</v>
      </c>
      <c r="C81" s="24" t="s">
        <v>168</v>
      </c>
      <c r="D81" s="24" t="s">
        <v>208</v>
      </c>
      <c r="E81" s="24" t="s">
        <v>222</v>
      </c>
      <c r="F81" s="9">
        <v>9132</v>
      </c>
      <c r="G81" s="9">
        <v>2283</v>
      </c>
      <c r="H81" s="6">
        <f>SUM(F81:G81)</f>
        <v>11415</v>
      </c>
      <c r="I81" s="9">
        <v>26</v>
      </c>
      <c r="J81" s="10">
        <v>26</v>
      </c>
      <c r="K81" s="10">
        <v>0</v>
      </c>
      <c r="L81" s="9">
        <f t="shared" si="13"/>
        <v>9132</v>
      </c>
      <c r="M81" s="9">
        <f t="shared" si="24"/>
        <v>2283</v>
      </c>
      <c r="N81" s="9">
        <f t="shared" si="25"/>
        <v>0</v>
      </c>
      <c r="O81" s="11">
        <f t="shared" si="14"/>
        <v>11415</v>
      </c>
      <c r="P81" s="9">
        <f t="shared" si="15"/>
        <v>1096</v>
      </c>
      <c r="Q81" s="9">
        <f t="shared" si="16"/>
        <v>200</v>
      </c>
      <c r="R81" s="9">
        <f t="shared" si="17"/>
        <v>110</v>
      </c>
      <c r="S81" s="9">
        <v>0</v>
      </c>
      <c r="T81" s="9">
        <v>0</v>
      </c>
      <c r="U81" s="12">
        <f t="shared" si="18"/>
        <v>1406</v>
      </c>
      <c r="V81" s="13">
        <f t="shared" si="19"/>
        <v>10009</v>
      </c>
      <c r="W81" s="9"/>
      <c r="X81" s="11"/>
      <c r="Y81" s="9">
        <f t="shared" si="20"/>
        <v>9132</v>
      </c>
      <c r="Z81" s="9">
        <f t="shared" si="21"/>
        <v>1220</v>
      </c>
      <c r="AA81" s="9">
        <f t="shared" si="22"/>
        <v>11415</v>
      </c>
      <c r="AB81" s="9">
        <f t="shared" si="23"/>
        <v>543</v>
      </c>
    </row>
    <row r="82" spans="1:28" ht="15.75" x14ac:dyDescent="0.2">
      <c r="A82" s="23">
        <v>80</v>
      </c>
      <c r="B82" s="24" t="s">
        <v>169</v>
      </c>
      <c r="C82" s="24" t="s">
        <v>170</v>
      </c>
      <c r="D82" s="24" t="s">
        <v>207</v>
      </c>
      <c r="E82" s="24" t="s">
        <v>221</v>
      </c>
      <c r="F82" s="9">
        <f>H82*70%</f>
        <v>5509</v>
      </c>
      <c r="G82" s="9">
        <f>H82-F82</f>
        <v>2361</v>
      </c>
      <c r="H82" s="6">
        <v>7870</v>
      </c>
      <c r="I82" s="9">
        <v>26</v>
      </c>
      <c r="J82" s="10">
        <v>29</v>
      </c>
      <c r="K82" s="10">
        <v>0</v>
      </c>
      <c r="L82" s="9">
        <f t="shared" si="13"/>
        <v>6145</v>
      </c>
      <c r="M82" s="9">
        <f t="shared" si="24"/>
        <v>2633.4230769230767</v>
      </c>
      <c r="N82" s="9">
        <f t="shared" si="25"/>
        <v>0</v>
      </c>
      <c r="O82" s="11">
        <f t="shared" si="14"/>
        <v>8778</v>
      </c>
      <c r="P82" s="9">
        <f t="shared" si="15"/>
        <v>737</v>
      </c>
      <c r="Q82" s="9">
        <f t="shared" si="16"/>
        <v>154</v>
      </c>
      <c r="R82" s="9">
        <f t="shared" si="17"/>
        <v>0</v>
      </c>
      <c r="S82" s="9">
        <v>0</v>
      </c>
      <c r="T82" s="9">
        <v>0</v>
      </c>
      <c r="U82" s="12">
        <f t="shared" si="18"/>
        <v>891</v>
      </c>
      <c r="V82" s="13">
        <f t="shared" si="19"/>
        <v>7887</v>
      </c>
      <c r="W82" s="9"/>
      <c r="X82" s="11"/>
      <c r="Y82" s="9">
        <f t="shared" si="20"/>
        <v>6145</v>
      </c>
      <c r="Z82" s="9">
        <f t="shared" si="21"/>
        <v>821</v>
      </c>
      <c r="AA82" s="9">
        <f t="shared" si="22"/>
        <v>8778</v>
      </c>
      <c r="AB82" s="9">
        <f t="shared" si="23"/>
        <v>417</v>
      </c>
    </row>
    <row r="83" spans="1:28" ht="15.75" x14ac:dyDescent="0.2">
      <c r="A83" s="23">
        <v>81</v>
      </c>
      <c r="B83" s="24" t="s">
        <v>171</v>
      </c>
      <c r="C83" s="24" t="s">
        <v>172</v>
      </c>
      <c r="D83" s="24" t="s">
        <v>207</v>
      </c>
      <c r="E83" s="24" t="s">
        <v>221</v>
      </c>
      <c r="F83" s="9">
        <f>H83*70%</f>
        <v>5509</v>
      </c>
      <c r="G83" s="9">
        <f>H83-F83</f>
        <v>2361</v>
      </c>
      <c r="H83" s="6">
        <v>7870</v>
      </c>
      <c r="I83" s="9">
        <v>26</v>
      </c>
      <c r="J83" s="10">
        <v>28</v>
      </c>
      <c r="K83" s="10">
        <v>0</v>
      </c>
      <c r="L83" s="9">
        <f t="shared" si="13"/>
        <v>5933</v>
      </c>
      <c r="M83" s="9">
        <f t="shared" si="24"/>
        <v>2542.6153846153848</v>
      </c>
      <c r="N83" s="9">
        <f t="shared" si="25"/>
        <v>0</v>
      </c>
      <c r="O83" s="11">
        <f t="shared" si="14"/>
        <v>8476</v>
      </c>
      <c r="P83" s="9">
        <f t="shared" si="15"/>
        <v>712</v>
      </c>
      <c r="Q83" s="9">
        <f t="shared" si="16"/>
        <v>149</v>
      </c>
      <c r="R83" s="9">
        <f t="shared" si="17"/>
        <v>0</v>
      </c>
      <c r="S83" s="9">
        <v>0</v>
      </c>
      <c r="T83" s="9">
        <v>0</v>
      </c>
      <c r="U83" s="12">
        <f t="shared" si="18"/>
        <v>861</v>
      </c>
      <c r="V83" s="13">
        <f t="shared" si="19"/>
        <v>7615</v>
      </c>
      <c r="W83" s="9"/>
      <c r="X83" s="11"/>
      <c r="Y83" s="9">
        <f t="shared" si="20"/>
        <v>5933</v>
      </c>
      <c r="Z83" s="9">
        <f t="shared" si="21"/>
        <v>793</v>
      </c>
      <c r="AA83" s="9">
        <f t="shared" si="22"/>
        <v>8475</v>
      </c>
      <c r="AB83" s="9">
        <f t="shared" si="23"/>
        <v>403</v>
      </c>
    </row>
    <row r="84" spans="1:28" ht="15.75" x14ac:dyDescent="0.2">
      <c r="A84" s="23">
        <v>82</v>
      </c>
      <c r="B84" s="24" t="s">
        <v>173</v>
      </c>
      <c r="C84" s="24" t="s">
        <v>174</v>
      </c>
      <c r="D84" s="24" t="s">
        <v>208</v>
      </c>
      <c r="E84" s="24" t="s">
        <v>221</v>
      </c>
      <c r="F84" s="9">
        <v>7546</v>
      </c>
      <c r="G84" s="9"/>
      <c r="H84" s="6">
        <f>SUBTOTAL(9,F84:G84)</f>
        <v>7546</v>
      </c>
      <c r="I84" s="9">
        <v>26</v>
      </c>
      <c r="J84" s="10">
        <v>24</v>
      </c>
      <c r="K84" s="10">
        <v>0</v>
      </c>
      <c r="L84" s="9">
        <f t="shared" si="13"/>
        <v>6966</v>
      </c>
      <c r="M84" s="9">
        <f t="shared" si="24"/>
        <v>0</v>
      </c>
      <c r="N84" s="9">
        <f t="shared" si="25"/>
        <v>0</v>
      </c>
      <c r="O84" s="11">
        <f t="shared" si="14"/>
        <v>6966</v>
      </c>
      <c r="P84" s="9">
        <f t="shared" si="15"/>
        <v>836</v>
      </c>
      <c r="Q84" s="9">
        <f t="shared" si="16"/>
        <v>122</v>
      </c>
      <c r="R84" s="9">
        <f t="shared" si="17"/>
        <v>0</v>
      </c>
      <c r="S84" s="9">
        <v>0</v>
      </c>
      <c r="T84" s="9">
        <v>0</v>
      </c>
      <c r="U84" s="12">
        <f t="shared" si="18"/>
        <v>958</v>
      </c>
      <c r="V84" s="13">
        <f t="shared" si="19"/>
        <v>6008</v>
      </c>
      <c r="W84" s="9"/>
      <c r="X84" s="11"/>
      <c r="Y84" s="9">
        <f t="shared" si="20"/>
        <v>6966</v>
      </c>
      <c r="Z84" s="9">
        <f t="shared" si="21"/>
        <v>931</v>
      </c>
      <c r="AA84" s="9">
        <f t="shared" si="22"/>
        <v>6966</v>
      </c>
      <c r="AB84" s="9">
        <f t="shared" si="23"/>
        <v>331</v>
      </c>
    </row>
    <row r="85" spans="1:28" ht="15.75" x14ac:dyDescent="0.2">
      <c r="A85" s="23">
        <v>83</v>
      </c>
      <c r="B85" s="24" t="s">
        <v>175</v>
      </c>
      <c r="C85" s="24" t="s">
        <v>176</v>
      </c>
      <c r="D85" s="24" t="s">
        <v>208</v>
      </c>
      <c r="E85" s="24" t="s">
        <v>221</v>
      </c>
      <c r="F85" s="9">
        <v>7546</v>
      </c>
      <c r="G85" s="9"/>
      <c r="H85" s="6">
        <f>SUBTOTAL(9,F85:G85)</f>
        <v>7546</v>
      </c>
      <c r="I85" s="9">
        <v>26</v>
      </c>
      <c r="J85" s="10">
        <v>23</v>
      </c>
      <c r="K85" s="10">
        <v>0</v>
      </c>
      <c r="L85" s="9">
        <f t="shared" si="13"/>
        <v>6675</v>
      </c>
      <c r="M85" s="9">
        <f t="shared" si="24"/>
        <v>0</v>
      </c>
      <c r="N85" s="9">
        <f t="shared" si="25"/>
        <v>0</v>
      </c>
      <c r="O85" s="11">
        <f t="shared" si="14"/>
        <v>6675</v>
      </c>
      <c r="P85" s="9">
        <f t="shared" si="15"/>
        <v>801</v>
      </c>
      <c r="Q85" s="9">
        <f t="shared" si="16"/>
        <v>117</v>
      </c>
      <c r="R85" s="9">
        <f t="shared" si="17"/>
        <v>0</v>
      </c>
      <c r="S85" s="9">
        <v>0</v>
      </c>
      <c r="T85" s="9">
        <v>0</v>
      </c>
      <c r="U85" s="12">
        <f t="shared" si="18"/>
        <v>918</v>
      </c>
      <c r="V85" s="13">
        <f t="shared" si="19"/>
        <v>5757</v>
      </c>
      <c r="W85" s="9"/>
      <c r="X85" s="11"/>
      <c r="Y85" s="9">
        <f t="shared" si="20"/>
        <v>6675</v>
      </c>
      <c r="Z85" s="9">
        <f t="shared" si="21"/>
        <v>892</v>
      </c>
      <c r="AA85" s="9">
        <f t="shared" si="22"/>
        <v>6675</v>
      </c>
      <c r="AB85" s="9">
        <f t="shared" si="23"/>
        <v>318</v>
      </c>
    </row>
    <row r="86" spans="1:28" ht="15.75" x14ac:dyDescent="0.2">
      <c r="A86" s="23">
        <v>84</v>
      </c>
      <c r="B86" s="24" t="s">
        <v>177</v>
      </c>
      <c r="C86" s="24" t="s">
        <v>178</v>
      </c>
      <c r="D86" s="24" t="s">
        <v>208</v>
      </c>
      <c r="E86" s="24" t="s">
        <v>220</v>
      </c>
      <c r="F86" s="9">
        <v>7546</v>
      </c>
      <c r="G86" s="9">
        <f>ROUND((F86*50%)/8*4,0)</f>
        <v>1887</v>
      </c>
      <c r="H86" s="6">
        <f>F86+G86</f>
        <v>9433</v>
      </c>
      <c r="I86" s="9">
        <v>26</v>
      </c>
      <c r="J86" s="10">
        <v>26</v>
      </c>
      <c r="K86" s="10">
        <v>0</v>
      </c>
      <c r="L86" s="9">
        <f t="shared" si="13"/>
        <v>7546</v>
      </c>
      <c r="M86" s="9">
        <f t="shared" si="24"/>
        <v>1887</v>
      </c>
      <c r="N86" s="9">
        <f t="shared" si="25"/>
        <v>0</v>
      </c>
      <c r="O86" s="11">
        <f t="shared" si="14"/>
        <v>9433</v>
      </c>
      <c r="P86" s="9">
        <f t="shared" si="15"/>
        <v>906</v>
      </c>
      <c r="Q86" s="9">
        <f t="shared" si="16"/>
        <v>166</v>
      </c>
      <c r="R86" s="9">
        <f t="shared" si="17"/>
        <v>0</v>
      </c>
      <c r="S86" s="9">
        <v>0</v>
      </c>
      <c r="T86" s="9">
        <v>0</v>
      </c>
      <c r="U86" s="12">
        <f t="shared" si="18"/>
        <v>1072</v>
      </c>
      <c r="V86" s="13">
        <f t="shared" si="19"/>
        <v>8361</v>
      </c>
      <c r="W86" s="9"/>
      <c r="X86" s="11"/>
      <c r="Y86" s="9">
        <f t="shared" si="20"/>
        <v>7546</v>
      </c>
      <c r="Z86" s="9">
        <f t="shared" si="21"/>
        <v>1008</v>
      </c>
      <c r="AA86" s="9">
        <f t="shared" si="22"/>
        <v>9433</v>
      </c>
      <c r="AB86" s="9">
        <f t="shared" si="23"/>
        <v>449</v>
      </c>
    </row>
    <row r="87" spans="1:28" ht="15.75" x14ac:dyDescent="0.2">
      <c r="A87" s="23">
        <v>85</v>
      </c>
      <c r="B87" s="24" t="s">
        <v>179</v>
      </c>
      <c r="C87" s="24" t="s">
        <v>180</v>
      </c>
      <c r="D87" s="24" t="s">
        <v>211</v>
      </c>
      <c r="E87" s="24" t="s">
        <v>221</v>
      </c>
      <c r="F87" s="9">
        <f>H87*50%</f>
        <v>2450</v>
      </c>
      <c r="G87" s="9">
        <f>H87*50%</f>
        <v>2450</v>
      </c>
      <c r="H87" s="6">
        <v>4900</v>
      </c>
      <c r="I87" s="9">
        <v>26</v>
      </c>
      <c r="J87" s="10">
        <v>22</v>
      </c>
      <c r="K87" s="10">
        <v>0</v>
      </c>
      <c r="L87" s="9">
        <f t="shared" si="13"/>
        <v>2073</v>
      </c>
      <c r="M87" s="9">
        <f t="shared" si="24"/>
        <v>2073.0769230769229</v>
      </c>
      <c r="N87" s="9">
        <f t="shared" si="25"/>
        <v>0</v>
      </c>
      <c r="O87" s="11">
        <f t="shared" si="14"/>
        <v>4146</v>
      </c>
      <c r="P87" s="9">
        <f t="shared" si="15"/>
        <v>249</v>
      </c>
      <c r="Q87" s="9">
        <f t="shared" si="16"/>
        <v>73</v>
      </c>
      <c r="R87" s="9">
        <f t="shared" si="17"/>
        <v>0</v>
      </c>
      <c r="S87" s="9">
        <v>0</v>
      </c>
      <c r="T87" s="9">
        <v>0</v>
      </c>
      <c r="U87" s="12">
        <f t="shared" si="18"/>
        <v>322</v>
      </c>
      <c r="V87" s="13">
        <f t="shared" si="19"/>
        <v>3824</v>
      </c>
      <c r="W87" s="9"/>
      <c r="X87" s="11"/>
      <c r="Y87" s="9">
        <f t="shared" si="20"/>
        <v>2073</v>
      </c>
      <c r="Z87" s="9">
        <f t="shared" si="21"/>
        <v>277</v>
      </c>
      <c r="AA87" s="9">
        <f t="shared" si="22"/>
        <v>4146</v>
      </c>
      <c r="AB87" s="9">
        <f t="shared" si="23"/>
        <v>197</v>
      </c>
    </row>
    <row r="88" spans="1:28" ht="15.75" x14ac:dyDescent="0.2">
      <c r="A88" s="23">
        <v>86</v>
      </c>
      <c r="B88" s="24" t="s">
        <v>181</v>
      </c>
      <c r="C88" s="24" t="s">
        <v>182</v>
      </c>
      <c r="D88" s="24" t="s">
        <v>208</v>
      </c>
      <c r="E88" s="24" t="s">
        <v>220</v>
      </c>
      <c r="F88" s="9">
        <v>7546</v>
      </c>
      <c r="G88" s="9">
        <f>ROUND((F88*50%)/8*4,0)</f>
        <v>1887</v>
      </c>
      <c r="H88" s="6">
        <f>F88+G88</f>
        <v>9433</v>
      </c>
      <c r="I88" s="9">
        <v>26</v>
      </c>
      <c r="J88" s="10">
        <v>21</v>
      </c>
      <c r="K88" s="10">
        <v>0</v>
      </c>
      <c r="L88" s="9">
        <f t="shared" si="13"/>
        <v>6095</v>
      </c>
      <c r="M88" s="9">
        <f t="shared" si="24"/>
        <v>1524.1153846153848</v>
      </c>
      <c r="N88" s="9">
        <f t="shared" si="25"/>
        <v>0</v>
      </c>
      <c r="O88" s="11">
        <f t="shared" si="14"/>
        <v>7619</v>
      </c>
      <c r="P88" s="9">
        <f t="shared" si="15"/>
        <v>731</v>
      </c>
      <c r="Q88" s="9">
        <f t="shared" si="16"/>
        <v>134</v>
      </c>
      <c r="R88" s="9">
        <f t="shared" si="17"/>
        <v>0</v>
      </c>
      <c r="S88" s="9">
        <v>0</v>
      </c>
      <c r="T88" s="9">
        <v>0</v>
      </c>
      <c r="U88" s="12">
        <f t="shared" si="18"/>
        <v>865</v>
      </c>
      <c r="V88" s="13">
        <f t="shared" si="19"/>
        <v>6754</v>
      </c>
      <c r="W88" s="9"/>
      <c r="X88" s="11"/>
      <c r="Y88" s="9">
        <f t="shared" si="20"/>
        <v>6095</v>
      </c>
      <c r="Z88" s="9">
        <f t="shared" si="21"/>
        <v>814</v>
      </c>
      <c r="AA88" s="9">
        <f t="shared" si="22"/>
        <v>7619</v>
      </c>
      <c r="AB88" s="9">
        <f t="shared" si="23"/>
        <v>362</v>
      </c>
    </row>
    <row r="89" spans="1:28" ht="15.75" x14ac:dyDescent="0.2">
      <c r="A89" s="23">
        <v>87</v>
      </c>
      <c r="B89" s="24" t="s">
        <v>183</v>
      </c>
      <c r="C89" s="24" t="s">
        <v>184</v>
      </c>
      <c r="D89" s="24" t="s">
        <v>207</v>
      </c>
      <c r="E89" s="24" t="s">
        <v>221</v>
      </c>
      <c r="F89" s="9">
        <f>H89*70%</f>
        <v>5509</v>
      </c>
      <c r="G89" s="9">
        <f>H89-F89</f>
        <v>2361</v>
      </c>
      <c r="H89" s="6">
        <v>7870</v>
      </c>
      <c r="I89" s="9">
        <v>26</v>
      </c>
      <c r="J89" s="10">
        <v>26</v>
      </c>
      <c r="K89" s="10">
        <v>0</v>
      </c>
      <c r="L89" s="9">
        <f t="shared" si="13"/>
        <v>5509</v>
      </c>
      <c r="M89" s="9">
        <f t="shared" si="24"/>
        <v>2361</v>
      </c>
      <c r="N89" s="9">
        <f t="shared" si="25"/>
        <v>0</v>
      </c>
      <c r="O89" s="11">
        <f t="shared" si="14"/>
        <v>7870</v>
      </c>
      <c r="P89" s="9">
        <f t="shared" si="15"/>
        <v>661</v>
      </c>
      <c r="Q89" s="9">
        <f t="shared" si="16"/>
        <v>138</v>
      </c>
      <c r="R89" s="9">
        <f t="shared" si="17"/>
        <v>0</v>
      </c>
      <c r="S89" s="9">
        <v>0</v>
      </c>
      <c r="T89" s="9">
        <v>0</v>
      </c>
      <c r="U89" s="12">
        <f t="shared" si="18"/>
        <v>799</v>
      </c>
      <c r="V89" s="13">
        <f t="shared" si="19"/>
        <v>7071</v>
      </c>
      <c r="W89" s="9"/>
      <c r="X89" s="11"/>
      <c r="Y89" s="9">
        <f t="shared" si="20"/>
        <v>5509</v>
      </c>
      <c r="Z89" s="9">
        <f t="shared" si="21"/>
        <v>736</v>
      </c>
      <c r="AA89" s="9">
        <f t="shared" si="22"/>
        <v>7870</v>
      </c>
      <c r="AB89" s="9">
        <f t="shared" si="23"/>
        <v>374</v>
      </c>
    </row>
    <row r="90" spans="1:28" ht="15.75" x14ac:dyDescent="0.2">
      <c r="A90" s="23">
        <v>88</v>
      </c>
      <c r="B90" s="24" t="s">
        <v>185</v>
      </c>
      <c r="C90" s="24" t="s">
        <v>186</v>
      </c>
      <c r="D90" s="24" t="s">
        <v>208</v>
      </c>
      <c r="E90" s="24" t="s">
        <v>220</v>
      </c>
      <c r="F90" s="9">
        <v>7546</v>
      </c>
      <c r="G90" s="9">
        <f>ROUND((F90*50%)/8*4,0)</f>
        <v>1887</v>
      </c>
      <c r="H90" s="6">
        <f>F90+G90</f>
        <v>9433</v>
      </c>
      <c r="I90" s="9">
        <v>26</v>
      </c>
      <c r="J90" s="10">
        <v>24</v>
      </c>
      <c r="K90" s="10">
        <v>0</v>
      </c>
      <c r="L90" s="9">
        <f t="shared" si="13"/>
        <v>6966</v>
      </c>
      <c r="M90" s="9">
        <f t="shared" si="24"/>
        <v>1741.8461538461538</v>
      </c>
      <c r="N90" s="9">
        <f t="shared" si="25"/>
        <v>0</v>
      </c>
      <c r="O90" s="11">
        <f t="shared" si="14"/>
        <v>8708</v>
      </c>
      <c r="P90" s="9">
        <f t="shared" si="15"/>
        <v>836</v>
      </c>
      <c r="Q90" s="9">
        <f t="shared" si="16"/>
        <v>153</v>
      </c>
      <c r="R90" s="9">
        <f t="shared" si="17"/>
        <v>0</v>
      </c>
      <c r="S90" s="9">
        <v>0</v>
      </c>
      <c r="T90" s="9">
        <v>0</v>
      </c>
      <c r="U90" s="12">
        <f t="shared" si="18"/>
        <v>989</v>
      </c>
      <c r="V90" s="13">
        <f t="shared" si="19"/>
        <v>7719</v>
      </c>
      <c r="W90" s="9"/>
      <c r="X90" s="11"/>
      <c r="Y90" s="9">
        <f t="shared" si="20"/>
        <v>6966</v>
      </c>
      <c r="Z90" s="9">
        <f t="shared" si="21"/>
        <v>931</v>
      </c>
      <c r="AA90" s="9">
        <f t="shared" si="22"/>
        <v>8707</v>
      </c>
      <c r="AB90" s="9">
        <f t="shared" si="23"/>
        <v>414</v>
      </c>
    </row>
    <row r="91" spans="1:28" ht="15.75" x14ac:dyDescent="0.2">
      <c r="A91" s="23">
        <v>89</v>
      </c>
      <c r="B91" s="24" t="s">
        <v>187</v>
      </c>
      <c r="C91" s="24" t="s">
        <v>188</v>
      </c>
      <c r="D91" s="24" t="s">
        <v>215</v>
      </c>
      <c r="E91" s="24" t="s">
        <v>221</v>
      </c>
      <c r="F91" s="9">
        <f>H91*60%</f>
        <v>4626.5999999999995</v>
      </c>
      <c r="G91" s="9">
        <f>H91*40%</f>
        <v>3084.4</v>
      </c>
      <c r="H91" s="6">
        <v>7711</v>
      </c>
      <c r="I91" s="9">
        <v>26</v>
      </c>
      <c r="J91" s="10">
        <v>28</v>
      </c>
      <c r="K91" s="10">
        <v>0</v>
      </c>
      <c r="L91" s="9">
        <f t="shared" si="13"/>
        <v>4982</v>
      </c>
      <c r="M91" s="9">
        <f t="shared" si="24"/>
        <v>3321.6615384615384</v>
      </c>
      <c r="N91" s="9">
        <f t="shared" si="25"/>
        <v>0</v>
      </c>
      <c r="O91" s="11">
        <f t="shared" si="14"/>
        <v>8304</v>
      </c>
      <c r="P91" s="9">
        <f t="shared" si="15"/>
        <v>598</v>
      </c>
      <c r="Q91" s="9">
        <f t="shared" si="16"/>
        <v>146</v>
      </c>
      <c r="R91" s="9">
        <f t="shared" si="17"/>
        <v>0</v>
      </c>
      <c r="S91" s="9">
        <v>0</v>
      </c>
      <c r="T91" s="9">
        <v>0</v>
      </c>
      <c r="U91" s="12">
        <f t="shared" si="18"/>
        <v>744</v>
      </c>
      <c r="V91" s="13">
        <f t="shared" si="19"/>
        <v>7560</v>
      </c>
      <c r="W91" s="9"/>
      <c r="X91" s="11"/>
      <c r="Y91" s="9">
        <f t="shared" si="20"/>
        <v>4982</v>
      </c>
      <c r="Z91" s="9">
        <f t="shared" si="21"/>
        <v>666</v>
      </c>
      <c r="AA91" s="9">
        <f t="shared" si="22"/>
        <v>8304</v>
      </c>
      <c r="AB91" s="9">
        <f t="shared" si="23"/>
        <v>395</v>
      </c>
    </row>
    <row r="92" spans="1:28" ht="15.75" x14ac:dyDescent="0.2">
      <c r="A92" s="23">
        <v>90</v>
      </c>
      <c r="B92" s="24" t="s">
        <v>189</v>
      </c>
      <c r="C92" s="24" t="s">
        <v>190</v>
      </c>
      <c r="D92" s="24" t="s">
        <v>213</v>
      </c>
      <c r="E92" s="24" t="s">
        <v>221</v>
      </c>
      <c r="F92" s="9">
        <v>4420</v>
      </c>
      <c r="G92" s="9">
        <v>2250</v>
      </c>
      <c r="H92" s="6">
        <f>SUBTOTAL(9,F92:G92)</f>
        <v>6670</v>
      </c>
      <c r="I92" s="9">
        <v>28</v>
      </c>
      <c r="J92" s="10">
        <v>28</v>
      </c>
      <c r="K92" s="10">
        <v>0</v>
      </c>
      <c r="L92" s="9">
        <f t="shared" si="13"/>
        <v>4420</v>
      </c>
      <c r="M92" s="9">
        <f t="shared" si="24"/>
        <v>2250</v>
      </c>
      <c r="N92" s="9">
        <f t="shared" si="25"/>
        <v>0</v>
      </c>
      <c r="O92" s="11">
        <f t="shared" si="14"/>
        <v>6670</v>
      </c>
      <c r="P92" s="9">
        <f t="shared" si="15"/>
        <v>530</v>
      </c>
      <c r="Q92" s="9">
        <f t="shared" si="16"/>
        <v>117</v>
      </c>
      <c r="R92" s="9">
        <f t="shared" si="17"/>
        <v>0</v>
      </c>
      <c r="S92" s="9">
        <v>0</v>
      </c>
      <c r="T92" s="9">
        <v>0</v>
      </c>
      <c r="U92" s="12">
        <f t="shared" si="18"/>
        <v>647</v>
      </c>
      <c r="V92" s="13">
        <f t="shared" si="19"/>
        <v>6023</v>
      </c>
      <c r="W92" s="9"/>
      <c r="X92" s="11"/>
      <c r="Y92" s="9">
        <f t="shared" si="20"/>
        <v>4420</v>
      </c>
      <c r="Z92" s="9">
        <f t="shared" si="21"/>
        <v>591</v>
      </c>
      <c r="AA92" s="9">
        <f t="shared" si="22"/>
        <v>6670</v>
      </c>
      <c r="AB92" s="9">
        <f t="shared" si="23"/>
        <v>317</v>
      </c>
    </row>
    <row r="93" spans="1:28" ht="15.75" x14ac:dyDescent="0.2">
      <c r="A93" s="23">
        <v>91</v>
      </c>
      <c r="B93" s="24" t="s">
        <v>191</v>
      </c>
      <c r="C93" s="24" t="s">
        <v>192</v>
      </c>
      <c r="D93" s="24" t="s">
        <v>207</v>
      </c>
      <c r="E93" s="24" t="s">
        <v>221</v>
      </c>
      <c r="F93" s="9">
        <f>H93*70%</f>
        <v>5509</v>
      </c>
      <c r="G93" s="9">
        <f>H93-F93</f>
        <v>2361</v>
      </c>
      <c r="H93" s="6">
        <v>7870</v>
      </c>
      <c r="I93" s="9">
        <v>26</v>
      </c>
      <c r="J93" s="10">
        <v>24</v>
      </c>
      <c r="K93" s="10">
        <v>0</v>
      </c>
      <c r="L93" s="9">
        <f t="shared" si="13"/>
        <v>5085</v>
      </c>
      <c r="M93" s="9">
        <f t="shared" si="24"/>
        <v>2179.3846153846152</v>
      </c>
      <c r="N93" s="9">
        <f t="shared" si="25"/>
        <v>0</v>
      </c>
      <c r="O93" s="11">
        <f t="shared" si="14"/>
        <v>7264</v>
      </c>
      <c r="P93" s="9">
        <f t="shared" si="15"/>
        <v>610</v>
      </c>
      <c r="Q93" s="9">
        <f t="shared" si="16"/>
        <v>128</v>
      </c>
      <c r="R93" s="9">
        <f t="shared" si="17"/>
        <v>0</v>
      </c>
      <c r="S93" s="9">
        <v>0</v>
      </c>
      <c r="T93" s="9">
        <v>0</v>
      </c>
      <c r="U93" s="12">
        <f t="shared" si="18"/>
        <v>738</v>
      </c>
      <c r="V93" s="13">
        <f t="shared" si="19"/>
        <v>6526</v>
      </c>
      <c r="W93" s="9"/>
      <c r="X93" s="11"/>
      <c r="Y93" s="9">
        <f t="shared" si="20"/>
        <v>5085</v>
      </c>
      <c r="Z93" s="9">
        <f t="shared" si="21"/>
        <v>679</v>
      </c>
      <c r="AA93" s="9">
        <f t="shared" si="22"/>
        <v>7265</v>
      </c>
      <c r="AB93" s="9">
        <f t="shared" si="23"/>
        <v>346</v>
      </c>
    </row>
    <row r="94" spans="1:28" ht="15.75" x14ac:dyDescent="0.2">
      <c r="A94" s="23">
        <v>92</v>
      </c>
      <c r="B94" s="24" t="s">
        <v>193</v>
      </c>
      <c r="C94" s="24" t="s">
        <v>194</v>
      </c>
      <c r="D94" s="24" t="s">
        <v>216</v>
      </c>
      <c r="E94" s="24" t="s">
        <v>221</v>
      </c>
      <c r="F94" s="9">
        <v>2500</v>
      </c>
      <c r="G94" s="9">
        <v>1500</v>
      </c>
      <c r="H94" s="6">
        <f>SUBTOTAL(9,F94:G94)</f>
        <v>4000</v>
      </c>
      <c r="I94" s="9">
        <v>28</v>
      </c>
      <c r="J94" s="10">
        <v>28</v>
      </c>
      <c r="K94" s="10">
        <v>0</v>
      </c>
      <c r="L94" s="9">
        <f t="shared" si="13"/>
        <v>2500</v>
      </c>
      <c r="M94" s="9">
        <f t="shared" si="24"/>
        <v>1500</v>
      </c>
      <c r="N94" s="9">
        <f t="shared" si="25"/>
        <v>0</v>
      </c>
      <c r="O94" s="11">
        <f t="shared" si="14"/>
        <v>4000</v>
      </c>
      <c r="P94" s="9">
        <f t="shared" si="15"/>
        <v>300</v>
      </c>
      <c r="Q94" s="9">
        <f t="shared" si="16"/>
        <v>70</v>
      </c>
      <c r="R94" s="9">
        <f t="shared" si="17"/>
        <v>0</v>
      </c>
      <c r="S94" s="9">
        <v>0</v>
      </c>
      <c r="T94" s="9">
        <v>0</v>
      </c>
      <c r="U94" s="12">
        <f t="shared" si="18"/>
        <v>370</v>
      </c>
      <c r="V94" s="13">
        <f t="shared" si="19"/>
        <v>3630</v>
      </c>
      <c r="W94" s="9"/>
      <c r="X94" s="11"/>
      <c r="Y94" s="9">
        <f t="shared" si="20"/>
        <v>2500</v>
      </c>
      <c r="Z94" s="9">
        <f t="shared" si="21"/>
        <v>334</v>
      </c>
      <c r="AA94" s="9">
        <f t="shared" si="22"/>
        <v>4000</v>
      </c>
      <c r="AB94" s="9">
        <f t="shared" si="23"/>
        <v>190</v>
      </c>
    </row>
    <row r="95" spans="1:28" ht="15.75" x14ac:dyDescent="0.2">
      <c r="A95" s="23">
        <v>93</v>
      </c>
      <c r="B95" s="24" t="s">
        <v>195</v>
      </c>
      <c r="C95" s="24" t="s">
        <v>196</v>
      </c>
      <c r="D95" s="24" t="s">
        <v>209</v>
      </c>
      <c r="E95" s="24" t="s">
        <v>220</v>
      </c>
      <c r="F95" s="9">
        <v>7108</v>
      </c>
      <c r="G95" s="9">
        <v>0</v>
      </c>
      <c r="H95" s="6">
        <f>SUBTOTAL(9,F95:G95)</f>
        <v>7108</v>
      </c>
      <c r="I95" s="9">
        <v>26</v>
      </c>
      <c r="J95" s="10">
        <v>30</v>
      </c>
      <c r="K95" s="10">
        <v>0</v>
      </c>
      <c r="L95" s="9">
        <f t="shared" si="13"/>
        <v>8202</v>
      </c>
      <c r="M95" s="9">
        <f t="shared" si="24"/>
        <v>0</v>
      </c>
      <c r="N95" s="9">
        <f t="shared" si="25"/>
        <v>0</v>
      </c>
      <c r="O95" s="11">
        <f t="shared" si="14"/>
        <v>8202</v>
      </c>
      <c r="P95" s="9">
        <f t="shared" si="15"/>
        <v>984</v>
      </c>
      <c r="Q95" s="9">
        <f t="shared" si="16"/>
        <v>144</v>
      </c>
      <c r="R95" s="9">
        <f t="shared" si="17"/>
        <v>0</v>
      </c>
      <c r="S95" s="9">
        <v>0</v>
      </c>
      <c r="T95" s="9">
        <v>0</v>
      </c>
      <c r="U95" s="12">
        <f t="shared" si="18"/>
        <v>1128</v>
      </c>
      <c r="V95" s="13">
        <f t="shared" si="19"/>
        <v>7074</v>
      </c>
      <c r="W95" s="9"/>
      <c r="X95" s="11"/>
      <c r="Y95" s="9">
        <f t="shared" si="20"/>
        <v>8202</v>
      </c>
      <c r="Z95" s="9">
        <f t="shared" si="21"/>
        <v>1096</v>
      </c>
      <c r="AA95" s="9">
        <f t="shared" si="22"/>
        <v>8202</v>
      </c>
      <c r="AB95" s="9">
        <f t="shared" si="23"/>
        <v>390</v>
      </c>
    </row>
    <row r="96" spans="1:28" ht="15.75" x14ac:dyDescent="0.2">
      <c r="A96" s="23"/>
      <c r="B96" s="24"/>
      <c r="C96" s="24"/>
      <c r="D96" s="24"/>
      <c r="E96" s="24"/>
      <c r="F96" s="9"/>
      <c r="G96" s="9"/>
      <c r="H96" s="6"/>
      <c r="I96" s="9"/>
      <c r="J96" s="10"/>
      <c r="K96" s="10"/>
      <c r="L96" s="9"/>
      <c r="M96" s="9"/>
      <c r="N96" s="9"/>
      <c r="O96" s="11"/>
      <c r="P96" s="9"/>
      <c r="Q96" s="9"/>
      <c r="R96" s="9"/>
      <c r="S96" s="9"/>
      <c r="T96" s="9"/>
      <c r="U96" s="12"/>
      <c r="V96" s="13"/>
      <c r="W96" s="9"/>
      <c r="X96" s="11"/>
      <c r="Y96" s="9"/>
      <c r="Z96" s="9"/>
      <c r="AA96" s="9"/>
      <c r="AB96" s="9"/>
    </row>
    <row r="97" spans="1:28" x14ac:dyDescent="0.2">
      <c r="A97" s="20"/>
      <c r="B97" s="19"/>
      <c r="C97" s="19"/>
      <c r="D97" s="19"/>
      <c r="E97" s="19"/>
      <c r="F97" s="21">
        <f>SUM(F3:F96)</f>
        <v>566599.29999999993</v>
      </c>
      <c r="G97" s="21">
        <f t="shared" ref="G97:AB97" si="26">SUM(G3:G96)</f>
        <v>141763.69999999998</v>
      </c>
      <c r="H97" s="21">
        <f t="shared" si="26"/>
        <v>700817</v>
      </c>
      <c r="I97" s="21">
        <f t="shared" si="26"/>
        <v>2430</v>
      </c>
      <c r="J97" s="21">
        <f t="shared" si="26"/>
        <v>1886</v>
      </c>
      <c r="K97" s="21">
        <f t="shared" si="26"/>
        <v>7</v>
      </c>
      <c r="L97" s="21">
        <f t="shared" si="26"/>
        <v>457784</v>
      </c>
      <c r="M97" s="21">
        <f t="shared" si="26"/>
        <v>118245.66538461545</v>
      </c>
      <c r="N97" s="21">
        <f t="shared" si="26"/>
        <v>2601.5384615384614</v>
      </c>
      <c r="O97" s="21">
        <f t="shared" si="26"/>
        <v>578633</v>
      </c>
      <c r="P97" s="21">
        <f t="shared" si="26"/>
        <v>54940</v>
      </c>
      <c r="Q97" s="21">
        <f t="shared" si="26"/>
        <v>10032</v>
      </c>
      <c r="R97" s="21">
        <f t="shared" si="26"/>
        <v>570</v>
      </c>
      <c r="S97" s="21">
        <f t="shared" si="26"/>
        <v>0</v>
      </c>
      <c r="T97" s="21">
        <f t="shared" si="26"/>
        <v>0</v>
      </c>
      <c r="U97" s="21">
        <f t="shared" si="26"/>
        <v>65542</v>
      </c>
      <c r="V97" s="21">
        <f t="shared" si="26"/>
        <v>513091</v>
      </c>
      <c r="W97" s="21">
        <f t="shared" si="26"/>
        <v>0</v>
      </c>
      <c r="X97" s="21">
        <f t="shared" si="26"/>
        <v>0</v>
      </c>
      <c r="Y97" s="21">
        <f t="shared" si="26"/>
        <v>457784</v>
      </c>
      <c r="Z97" s="21">
        <f t="shared" si="26"/>
        <v>61166</v>
      </c>
      <c r="AA97" s="21">
        <f t="shared" si="26"/>
        <v>571074</v>
      </c>
      <c r="AB97" s="21">
        <f t="shared" si="26"/>
        <v>27161</v>
      </c>
    </row>
  </sheetData>
  <autoFilter ref="A2:O94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ECRSheet_1</vt:lpstr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Mrinal</cp:lastModifiedBy>
  <dcterms:created xsi:type="dcterms:W3CDTF">2017-02-17T13:51:02Z</dcterms:created>
  <dcterms:modified xsi:type="dcterms:W3CDTF">2018-01-03T05:14:23Z</dcterms:modified>
</cp:coreProperties>
</file>