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xWindow="240" yWindow="330" windowWidth="19440" windowHeight="7755" tabRatio="778" firstSheet="3" activeTab="12"/>
  </bookViews>
  <sheets>
    <sheet name="MIS" sheetId="42" r:id="rId1"/>
    <sheet name="HO " sheetId="28" r:id="rId2"/>
    <sheet name="Electrician" sheetId="32" r:id="rId3"/>
    <sheet name="Lovelock" sheetId="34" r:id="rId4"/>
    <sheet name="Gangetica" sheetId="35" r:id="rId5"/>
    <sheet name="Aura" sheetId="37" r:id="rId6"/>
    <sheet name="Allure" sheetId="39" r:id="rId7"/>
    <sheet name="Pecan" sheetId="40" r:id="rId8"/>
    <sheet name="Master Sheet" sheetId="45" r:id="rId9"/>
    <sheet name="Payslip" sheetId="46" r:id="rId10"/>
    <sheet name="Client Name &amp; Address" sheetId="44" r:id="rId11"/>
    <sheet name="Head Count" sheetId="25" r:id="rId12"/>
    <sheet name="Rate - 01.01.2017-30.06.2017" sheetId="23" r:id="rId13"/>
  </sheets>
  <externalReferences>
    <externalReference r:id="rId14"/>
  </externalReferences>
  <definedNames>
    <definedName name="_xlnm._FilterDatabase" localSheetId="8" hidden="1">'Master Sheet'!$D$5:$D$52</definedName>
    <definedName name="list">#REF!</definedName>
    <definedName name="_xlnm.Print_Area" localSheetId="6">Allure!$A$1:$Y$14</definedName>
    <definedName name="_xlnm.Print_Area" localSheetId="5">Aura!$A$1:$Y$20</definedName>
    <definedName name="_xlnm.Print_Area" localSheetId="2">Electrician!$A$1:$Y$11</definedName>
    <definedName name="_xlnm.Print_Area" localSheetId="4">Gangetica!$A$1:$Y$20</definedName>
    <definedName name="_xlnm.Print_Area" localSheetId="11">'Head Count'!$A$1:$Q$12</definedName>
    <definedName name="_xlnm.Print_Area" localSheetId="1">'HO '!$A$1:$Y$29</definedName>
    <definedName name="_xlnm.Print_Area" localSheetId="3">Lovelock!$A$1:$Y$14</definedName>
    <definedName name="_xlnm.Print_Area" localSheetId="8">'Master Sheet'!$A$1:$Z$20</definedName>
    <definedName name="_xlnm.Print_Area" localSheetId="0">MIS!$A$1:$M$28</definedName>
    <definedName name="_xlnm.Print_Area" localSheetId="9">Payslip!$B$6:$F$32</definedName>
    <definedName name="_xlnm.Print_Area" localSheetId="7">Pecan!$A$1:$Y$19</definedName>
    <definedName name="_xlnm.Print_Area" localSheetId="12">'Rate - 01.01.2017-30.06.2017'!#REF!</definedName>
  </definedNames>
  <calcPr calcId="124519"/>
  <fileRecoveryPr autoRecover="0"/>
</workbook>
</file>

<file path=xl/calcChain.xml><?xml version="1.0" encoding="utf-8"?>
<calcChain xmlns="http://schemas.openxmlformats.org/spreadsheetml/2006/main">
  <c r="R23" i="37"/>
  <c r="T11" i="28"/>
  <c r="T13"/>
  <c r="T14"/>
  <c r="T15"/>
  <c r="T16"/>
  <c r="T17"/>
  <c r="T18"/>
  <c r="T20"/>
  <c r="T21"/>
  <c r="F49" i="45" l="1"/>
  <c r="T50"/>
  <c r="F51"/>
  <c r="T48"/>
  <c r="F47"/>
  <c r="S46"/>
  <c r="T44"/>
  <c r="F45"/>
  <c r="S42"/>
  <c r="D40"/>
  <c r="K41"/>
  <c r="K39"/>
  <c r="J35"/>
  <c r="S36"/>
  <c r="S37"/>
  <c r="S38"/>
  <c r="K34"/>
  <c r="J33"/>
  <c r="J32"/>
  <c r="J27"/>
  <c r="J28"/>
  <c r="J29"/>
  <c r="J30"/>
  <c r="J31"/>
  <c r="K26"/>
  <c r="J24"/>
  <c r="S21"/>
  <c r="T20"/>
  <c r="T7"/>
  <c r="G9"/>
  <c r="T11"/>
  <c r="S12"/>
  <c r="G13"/>
  <c r="T15"/>
  <c r="G17"/>
  <c r="S18"/>
  <c r="J3" i="46"/>
  <c r="C12" s="1"/>
  <c r="C10" s="1"/>
  <c r="C6" i="45" l="1"/>
  <c r="D20"/>
  <c r="D15"/>
  <c r="D11"/>
  <c r="D7"/>
  <c r="T13"/>
  <c r="S6"/>
  <c r="D17"/>
  <c r="D13"/>
  <c r="D9"/>
  <c r="T17"/>
  <c r="T9"/>
  <c r="F6"/>
  <c r="G20"/>
  <c r="G15"/>
  <c r="G11"/>
  <c r="G7"/>
  <c r="C38"/>
  <c r="F41"/>
  <c r="J41"/>
  <c r="J38"/>
  <c r="T41"/>
  <c r="S41"/>
  <c r="G44"/>
  <c r="G42"/>
  <c r="K42"/>
  <c r="T42"/>
  <c r="G46"/>
  <c r="F50"/>
  <c r="F48"/>
  <c r="K46"/>
  <c r="J48"/>
  <c r="S50"/>
  <c r="C36"/>
  <c r="F39"/>
  <c r="D38"/>
  <c r="D36"/>
  <c r="J39"/>
  <c r="J36"/>
  <c r="T39"/>
  <c r="S39"/>
  <c r="D44"/>
  <c r="D42"/>
  <c r="J44"/>
  <c r="S44"/>
  <c r="D46"/>
  <c r="C50"/>
  <c r="C48"/>
  <c r="J50"/>
  <c r="T46"/>
  <c r="S48"/>
  <c r="J16"/>
  <c r="K16"/>
  <c r="J14"/>
  <c r="K14"/>
  <c r="J10"/>
  <c r="K10"/>
  <c r="J8"/>
  <c r="K8"/>
  <c r="J19"/>
  <c r="K19"/>
  <c r="G19"/>
  <c r="D19"/>
  <c r="D18"/>
  <c r="G16"/>
  <c r="D14"/>
  <c r="G12"/>
  <c r="G10"/>
  <c r="D10"/>
  <c r="G8"/>
  <c r="D8"/>
  <c r="T16"/>
  <c r="T12"/>
  <c r="T8"/>
  <c r="K6"/>
  <c r="J6"/>
  <c r="J17"/>
  <c r="K17"/>
  <c r="J15"/>
  <c r="K15"/>
  <c r="J13"/>
  <c r="K13"/>
  <c r="J11"/>
  <c r="K11"/>
  <c r="J9"/>
  <c r="K9"/>
  <c r="J7"/>
  <c r="K7"/>
  <c r="J20"/>
  <c r="K20"/>
  <c r="G6"/>
  <c r="D6"/>
  <c r="T6"/>
  <c r="F20"/>
  <c r="C20"/>
  <c r="F19"/>
  <c r="C19"/>
  <c r="F18"/>
  <c r="C18"/>
  <c r="F17"/>
  <c r="C17"/>
  <c r="F16"/>
  <c r="C16"/>
  <c r="F15"/>
  <c r="C15"/>
  <c r="F14"/>
  <c r="C14"/>
  <c r="F13"/>
  <c r="C13"/>
  <c r="F12"/>
  <c r="C12"/>
  <c r="F11"/>
  <c r="C11"/>
  <c r="F10"/>
  <c r="C10"/>
  <c r="F9"/>
  <c r="C9"/>
  <c r="F8"/>
  <c r="C8"/>
  <c r="F7"/>
  <c r="C7"/>
  <c r="S20"/>
  <c r="S19"/>
  <c r="S17"/>
  <c r="S16"/>
  <c r="S15"/>
  <c r="S14"/>
  <c r="S13"/>
  <c r="S11"/>
  <c r="S10"/>
  <c r="S9"/>
  <c r="S8"/>
  <c r="S7"/>
  <c r="C21"/>
  <c r="F21"/>
  <c r="K22"/>
  <c r="T22"/>
  <c r="D22"/>
  <c r="J22"/>
  <c r="S22"/>
  <c r="F22"/>
  <c r="C22"/>
  <c r="J25"/>
  <c r="S25"/>
  <c r="F25"/>
  <c r="K25"/>
  <c r="T25"/>
  <c r="D25"/>
  <c r="C25"/>
  <c r="J23"/>
  <c r="S23"/>
  <c r="F23"/>
  <c r="K23"/>
  <c r="T23"/>
  <c r="D23"/>
  <c r="C23"/>
  <c r="J18"/>
  <c r="K18"/>
  <c r="J12"/>
  <c r="K12"/>
  <c r="G18"/>
  <c r="D16"/>
  <c r="G14"/>
  <c r="D12"/>
  <c r="T19"/>
  <c r="T18"/>
  <c r="T14"/>
  <c r="T10"/>
  <c r="K21"/>
  <c r="J21"/>
  <c r="G21"/>
  <c r="D21"/>
  <c r="T21"/>
  <c r="F24"/>
  <c r="T24"/>
  <c r="C26"/>
  <c r="C32"/>
  <c r="C30"/>
  <c r="C28"/>
  <c r="G33"/>
  <c r="D33"/>
  <c r="F32"/>
  <c r="D31"/>
  <c r="F30"/>
  <c r="D29"/>
  <c r="F28"/>
  <c r="D27"/>
  <c r="F26"/>
  <c r="S26"/>
  <c r="T33"/>
  <c r="T32"/>
  <c r="T31"/>
  <c r="T30"/>
  <c r="T29"/>
  <c r="T28"/>
  <c r="T27"/>
  <c r="K24"/>
  <c r="K33"/>
  <c r="K31"/>
  <c r="K29"/>
  <c r="K27"/>
  <c r="F37"/>
  <c r="J37"/>
  <c r="T37"/>
  <c r="C45"/>
  <c r="C24"/>
  <c r="D24"/>
  <c r="S24"/>
  <c r="C33"/>
  <c r="C31"/>
  <c r="C29"/>
  <c r="C27"/>
  <c r="F33"/>
  <c r="G32"/>
  <c r="D32"/>
  <c r="F31"/>
  <c r="D30"/>
  <c r="F29"/>
  <c r="D28"/>
  <c r="F27"/>
  <c r="D26"/>
  <c r="T26"/>
  <c r="S33"/>
  <c r="S32"/>
  <c r="S31"/>
  <c r="S30"/>
  <c r="S29"/>
  <c r="S28"/>
  <c r="S27"/>
  <c r="J26"/>
  <c r="K32"/>
  <c r="K30"/>
  <c r="K28"/>
  <c r="S34"/>
  <c r="J34"/>
  <c r="F34"/>
  <c r="C34"/>
  <c r="K37"/>
  <c r="D37"/>
  <c r="C37"/>
  <c r="K35"/>
  <c r="D35"/>
  <c r="C35"/>
  <c r="S40"/>
  <c r="T40"/>
  <c r="K40"/>
  <c r="F40"/>
  <c r="C40"/>
  <c r="G40"/>
  <c r="F35"/>
  <c r="D34"/>
  <c r="J40"/>
  <c r="T34"/>
  <c r="T35"/>
  <c r="S35"/>
  <c r="T45"/>
  <c r="K45"/>
  <c r="D45"/>
  <c r="G45"/>
  <c r="T43"/>
  <c r="K43"/>
  <c r="D43"/>
  <c r="G43"/>
  <c r="C43"/>
  <c r="F43"/>
  <c r="J45"/>
  <c r="J43"/>
  <c r="S45"/>
  <c r="S43"/>
  <c r="S47"/>
  <c r="J47"/>
  <c r="T47"/>
  <c r="K47"/>
  <c r="D47"/>
  <c r="G47"/>
  <c r="S51"/>
  <c r="J51"/>
  <c r="T51"/>
  <c r="K51"/>
  <c r="D51"/>
  <c r="G51"/>
  <c r="S49"/>
  <c r="J49"/>
  <c r="T49"/>
  <c r="K49"/>
  <c r="D49"/>
  <c r="G49"/>
  <c r="C51"/>
  <c r="C49"/>
  <c r="C47"/>
  <c r="C41"/>
  <c r="C39"/>
  <c r="G41"/>
  <c r="D41"/>
  <c r="G39"/>
  <c r="D39"/>
  <c r="F38"/>
  <c r="F36"/>
  <c r="K38"/>
  <c r="K36"/>
  <c r="T38"/>
  <c r="T36"/>
  <c r="C42"/>
  <c r="C44"/>
  <c r="F44"/>
  <c r="F42"/>
  <c r="J42"/>
  <c r="K44"/>
  <c r="C46"/>
  <c r="F46"/>
  <c r="G50"/>
  <c r="D50"/>
  <c r="G48"/>
  <c r="D48"/>
  <c r="J46"/>
  <c r="K50"/>
  <c r="K48"/>
  <c r="I19" i="40" l="1"/>
  <c r="A3" i="45" l="1"/>
  <c r="A3" i="40"/>
  <c r="A3" i="39"/>
  <c r="A3" i="37"/>
  <c r="A3" i="35"/>
  <c r="A3" i="34"/>
  <c r="A3" i="32"/>
  <c r="A3" i="28"/>
  <c r="A2" i="42"/>
  <c r="F23" i="46" l="1"/>
  <c r="F24"/>
  <c r="C23"/>
  <c r="C20"/>
  <c r="C17"/>
  <c r="C16"/>
  <c r="D22" s="1"/>
  <c r="C15"/>
  <c r="C14"/>
  <c r="D23" l="1"/>
  <c r="C11"/>
  <c r="D21"/>
  <c r="C25"/>
  <c r="D24" s="1"/>
  <c r="D20"/>
  <c r="B9"/>
  <c r="J2"/>
  <c r="D25" l="1"/>
  <c r="X35" i="45" l="1"/>
  <c r="W35"/>
  <c r="L35"/>
  <c r="AA35" s="1"/>
  <c r="X34"/>
  <c r="W34"/>
  <c r="L34"/>
  <c r="AA34" s="1"/>
  <c r="X33"/>
  <c r="W33"/>
  <c r="M33"/>
  <c r="L33"/>
  <c r="AA33" s="1"/>
  <c r="H33"/>
  <c r="AC33" s="1"/>
  <c r="X32"/>
  <c r="W32"/>
  <c r="M32"/>
  <c r="L32"/>
  <c r="AA32" s="1"/>
  <c r="H32"/>
  <c r="AC32" s="1"/>
  <c r="X31"/>
  <c r="W31"/>
  <c r="L31"/>
  <c r="AA31" s="1"/>
  <c r="X37"/>
  <c r="W37"/>
  <c r="L37"/>
  <c r="AA37" s="1"/>
  <c r="X36"/>
  <c r="W36"/>
  <c r="L36"/>
  <c r="AA36" s="1"/>
  <c r="X9"/>
  <c r="W9"/>
  <c r="L9"/>
  <c r="AA9" s="1"/>
  <c r="M9"/>
  <c r="X8"/>
  <c r="W8"/>
  <c r="L8"/>
  <c r="M8"/>
  <c r="X7"/>
  <c r="W7"/>
  <c r="L7"/>
  <c r="AA7" s="1"/>
  <c r="M7"/>
  <c r="X6"/>
  <c r="W6"/>
  <c r="L6"/>
  <c r="M6"/>
  <c r="X13"/>
  <c r="W13"/>
  <c r="M13"/>
  <c r="L13"/>
  <c r="AA13" s="1"/>
  <c r="H13"/>
  <c r="AC13" s="1"/>
  <c r="X12"/>
  <c r="W12"/>
  <c r="M12"/>
  <c r="L12"/>
  <c r="AA12" s="1"/>
  <c r="H12"/>
  <c r="AC12" s="1"/>
  <c r="X11"/>
  <c r="W11"/>
  <c r="M11"/>
  <c r="L11"/>
  <c r="AA11" s="1"/>
  <c r="H11"/>
  <c r="AC11" s="1"/>
  <c r="X10"/>
  <c r="W10"/>
  <c r="M10"/>
  <c r="L10"/>
  <c r="AA10" s="1"/>
  <c r="H10"/>
  <c r="AC10" s="1"/>
  <c r="X18"/>
  <c r="W18"/>
  <c r="L18"/>
  <c r="AA18" s="1"/>
  <c r="M18"/>
  <c r="X17"/>
  <c r="W17"/>
  <c r="L17"/>
  <c r="AA17" s="1"/>
  <c r="M17"/>
  <c r="X16"/>
  <c r="W16"/>
  <c r="L16"/>
  <c r="AA16" s="1"/>
  <c r="M16"/>
  <c r="X15"/>
  <c r="W15"/>
  <c r="L15"/>
  <c r="M15"/>
  <c r="X14"/>
  <c r="W14"/>
  <c r="L14"/>
  <c r="AA14" s="1"/>
  <c r="M14"/>
  <c r="X20"/>
  <c r="W20"/>
  <c r="M20"/>
  <c r="L20"/>
  <c r="AA20" s="1"/>
  <c r="H20"/>
  <c r="AC20" s="1"/>
  <c r="X19"/>
  <c r="W19"/>
  <c r="M19"/>
  <c r="L19"/>
  <c r="AA19" s="1"/>
  <c r="H19"/>
  <c r="AC19" s="1"/>
  <c r="X25"/>
  <c r="W25"/>
  <c r="L25"/>
  <c r="AA25" s="1"/>
  <c r="X24"/>
  <c r="W24"/>
  <c r="L24"/>
  <c r="AA24" s="1"/>
  <c r="X23"/>
  <c r="W23"/>
  <c r="L23"/>
  <c r="X22"/>
  <c r="W22"/>
  <c r="L22"/>
  <c r="AA22" s="1"/>
  <c r="X21"/>
  <c r="W21"/>
  <c r="L21"/>
  <c r="M21"/>
  <c r="X30"/>
  <c r="W30"/>
  <c r="L30"/>
  <c r="AA30" s="1"/>
  <c r="X29"/>
  <c r="W29"/>
  <c r="L29"/>
  <c r="AA29" s="1"/>
  <c r="X28"/>
  <c r="W28"/>
  <c r="L28"/>
  <c r="AA28" s="1"/>
  <c r="X27"/>
  <c r="W27"/>
  <c r="L27"/>
  <c r="X26"/>
  <c r="W26"/>
  <c r="L26"/>
  <c r="AA26" s="1"/>
  <c r="X38"/>
  <c r="W38"/>
  <c r="L38"/>
  <c r="AA38" s="1"/>
  <c r="X39"/>
  <c r="W39"/>
  <c r="M39"/>
  <c r="L39"/>
  <c r="H39"/>
  <c r="N39" s="1"/>
  <c r="X40"/>
  <c r="W40"/>
  <c r="M40"/>
  <c r="L40"/>
  <c r="H40"/>
  <c r="AC40" s="1"/>
  <c r="X52"/>
  <c r="W52"/>
  <c r="M52"/>
  <c r="L52"/>
  <c r="H52"/>
  <c r="N52" s="1"/>
  <c r="X51"/>
  <c r="W51"/>
  <c r="M51"/>
  <c r="L51"/>
  <c r="H51"/>
  <c r="AC51" s="1"/>
  <c r="X50"/>
  <c r="W50"/>
  <c r="M50"/>
  <c r="L50"/>
  <c r="H50"/>
  <c r="AC50" s="1"/>
  <c r="X49"/>
  <c r="W49"/>
  <c r="M49"/>
  <c r="L49"/>
  <c r="H49"/>
  <c r="AC49" s="1"/>
  <c r="X48"/>
  <c r="W48"/>
  <c r="M48"/>
  <c r="L48"/>
  <c r="H48"/>
  <c r="N48" s="1"/>
  <c r="X47"/>
  <c r="W47"/>
  <c r="M47"/>
  <c r="L47"/>
  <c r="H47"/>
  <c r="AC47" s="1"/>
  <c r="X46"/>
  <c r="W46"/>
  <c r="M46"/>
  <c r="L46"/>
  <c r="H46"/>
  <c r="AC46" s="1"/>
  <c r="X45"/>
  <c r="W45"/>
  <c r="M45"/>
  <c r="L45"/>
  <c r="H45"/>
  <c r="AC45" s="1"/>
  <c r="X44"/>
  <c r="W44"/>
  <c r="M44"/>
  <c r="L44"/>
  <c r="AA44" s="1"/>
  <c r="H44"/>
  <c r="AC44" s="1"/>
  <c r="X43"/>
  <c r="W43"/>
  <c r="M43"/>
  <c r="L43"/>
  <c r="H43"/>
  <c r="AC43" s="1"/>
  <c r="X42"/>
  <c r="W42"/>
  <c r="M42"/>
  <c r="L42"/>
  <c r="H42"/>
  <c r="AC42" s="1"/>
  <c r="X41"/>
  <c r="F15" i="46" s="1"/>
  <c r="W41" i="45"/>
  <c r="M41"/>
  <c r="L41"/>
  <c r="H41"/>
  <c r="AC41" s="1"/>
  <c r="H7" l="1"/>
  <c r="AC7" s="1"/>
  <c r="Q7" s="1"/>
  <c r="H9"/>
  <c r="AC9" s="1"/>
  <c r="AD9" s="1"/>
  <c r="P31"/>
  <c r="AB31"/>
  <c r="AD32"/>
  <c r="Q32"/>
  <c r="P33"/>
  <c r="AB33"/>
  <c r="P35"/>
  <c r="AB35"/>
  <c r="P32"/>
  <c r="AB32"/>
  <c r="AD33"/>
  <c r="Q33"/>
  <c r="P34"/>
  <c r="AB34"/>
  <c r="N32"/>
  <c r="O32" s="1"/>
  <c r="N33"/>
  <c r="O33" s="1"/>
  <c r="AB36"/>
  <c r="P36"/>
  <c r="P37"/>
  <c r="AB37"/>
  <c r="P7"/>
  <c r="AB7"/>
  <c r="P9"/>
  <c r="AB9"/>
  <c r="Q9"/>
  <c r="AA6"/>
  <c r="AA8"/>
  <c r="H6"/>
  <c r="H8"/>
  <c r="AD10"/>
  <c r="Q10"/>
  <c r="P11"/>
  <c r="AB11"/>
  <c r="AD12"/>
  <c r="Q12"/>
  <c r="P13"/>
  <c r="AB13"/>
  <c r="P10"/>
  <c r="AB10"/>
  <c r="AD11"/>
  <c r="Q11"/>
  <c r="P12"/>
  <c r="AB12"/>
  <c r="AD13"/>
  <c r="Q13"/>
  <c r="N10"/>
  <c r="O10" s="1"/>
  <c r="N11"/>
  <c r="O11" s="1"/>
  <c r="N12"/>
  <c r="O12" s="1"/>
  <c r="N13"/>
  <c r="O13" s="1"/>
  <c r="P14"/>
  <c r="AB14"/>
  <c r="P16"/>
  <c r="AB16"/>
  <c r="AB17"/>
  <c r="P17"/>
  <c r="P18"/>
  <c r="AB18"/>
  <c r="H14"/>
  <c r="AA15"/>
  <c r="H16"/>
  <c r="H18"/>
  <c r="H15"/>
  <c r="H17"/>
  <c r="AD19"/>
  <c r="Q19"/>
  <c r="P20"/>
  <c r="AB20"/>
  <c r="P19"/>
  <c r="AB19"/>
  <c r="AD20"/>
  <c r="Q20"/>
  <c r="N19"/>
  <c r="O19" s="1"/>
  <c r="N20"/>
  <c r="O20" s="1"/>
  <c r="P22"/>
  <c r="AB22"/>
  <c r="P24"/>
  <c r="AB24"/>
  <c r="AB25"/>
  <c r="P25"/>
  <c r="AA21"/>
  <c r="AA23"/>
  <c r="H21"/>
  <c r="P26"/>
  <c r="AB26"/>
  <c r="P28"/>
  <c r="AB28"/>
  <c r="AB29"/>
  <c r="P29"/>
  <c r="P30"/>
  <c r="AB30"/>
  <c r="AA27"/>
  <c r="P38"/>
  <c r="AB38"/>
  <c r="N40"/>
  <c r="O40" s="1"/>
  <c r="N46"/>
  <c r="O46" s="1"/>
  <c r="R46" s="1"/>
  <c r="N50"/>
  <c r="O50" s="1"/>
  <c r="R50" s="1"/>
  <c r="N41"/>
  <c r="O41" s="1"/>
  <c r="N45"/>
  <c r="O45" s="1"/>
  <c r="R45" s="1"/>
  <c r="N47"/>
  <c r="O47" s="1"/>
  <c r="R47" s="1"/>
  <c r="AC48"/>
  <c r="AD48" s="1"/>
  <c r="N49"/>
  <c r="O49" s="1"/>
  <c r="R49" s="1"/>
  <c r="N51"/>
  <c r="O51" s="1"/>
  <c r="R51" s="1"/>
  <c r="AC52"/>
  <c r="Q52" s="1"/>
  <c r="AC39"/>
  <c r="Q39" s="1"/>
  <c r="O48"/>
  <c r="R48" s="1"/>
  <c r="O52"/>
  <c r="AD41"/>
  <c r="Q41"/>
  <c r="AD43"/>
  <c r="Q43"/>
  <c r="AD42"/>
  <c r="Q42"/>
  <c r="AD44"/>
  <c r="Q44"/>
  <c r="AB44"/>
  <c r="P44"/>
  <c r="AA41"/>
  <c r="N42"/>
  <c r="O42" s="1"/>
  <c r="AA42"/>
  <c r="N43"/>
  <c r="O43" s="1"/>
  <c r="AA43"/>
  <c r="N44"/>
  <c r="O44" s="1"/>
  <c r="AD45"/>
  <c r="Q45"/>
  <c r="AD46"/>
  <c r="Q46"/>
  <c r="AD47"/>
  <c r="Q47"/>
  <c r="AD49"/>
  <c r="Q49"/>
  <c r="AD50"/>
  <c r="Q50"/>
  <c r="AD51"/>
  <c r="Q51"/>
  <c r="AD52"/>
  <c r="AD40"/>
  <c r="Q40"/>
  <c r="AD39"/>
  <c r="AA45"/>
  <c r="AA46"/>
  <c r="AA47"/>
  <c r="AA48"/>
  <c r="AA49"/>
  <c r="AA50"/>
  <c r="AA51"/>
  <c r="R52"/>
  <c r="AA52"/>
  <c r="AA40"/>
  <c r="O39"/>
  <c r="AA39"/>
  <c r="Q48" l="1"/>
  <c r="N9"/>
  <c r="O9" s="1"/>
  <c r="AE9" s="1"/>
  <c r="N7"/>
  <c r="O7" s="1"/>
  <c r="R7" s="1"/>
  <c r="U7" s="1"/>
  <c r="V7" s="1"/>
  <c r="Y7" s="1"/>
  <c r="AD7"/>
  <c r="AE32"/>
  <c r="R32"/>
  <c r="U32" s="1"/>
  <c r="V32" s="1"/>
  <c r="Y32" s="1"/>
  <c r="AE33"/>
  <c r="R33"/>
  <c r="U33" s="1"/>
  <c r="V33" s="1"/>
  <c r="Y33" s="1"/>
  <c r="AB8"/>
  <c r="P8"/>
  <c r="AC8"/>
  <c r="N8"/>
  <c r="O8" s="1"/>
  <c r="AC6"/>
  <c r="N6"/>
  <c r="O6" s="1"/>
  <c r="AB6"/>
  <c r="P6"/>
  <c r="AE13"/>
  <c r="R13"/>
  <c r="U13" s="1"/>
  <c r="V13" s="1"/>
  <c r="Y13" s="1"/>
  <c r="AE11"/>
  <c r="R11"/>
  <c r="U11" s="1"/>
  <c r="V11" s="1"/>
  <c r="Y11" s="1"/>
  <c r="AE12"/>
  <c r="R12"/>
  <c r="U12" s="1"/>
  <c r="V12" s="1"/>
  <c r="Y12" s="1"/>
  <c r="AE10"/>
  <c r="R10"/>
  <c r="U10" s="1"/>
  <c r="V10" s="1"/>
  <c r="Y10" s="1"/>
  <c r="AC15"/>
  <c r="N15"/>
  <c r="O15" s="1"/>
  <c r="AB15"/>
  <c r="P15"/>
  <c r="AC14"/>
  <c r="N14"/>
  <c r="O14" s="1"/>
  <c r="AC17"/>
  <c r="N17"/>
  <c r="O17" s="1"/>
  <c r="AC18"/>
  <c r="N18"/>
  <c r="O18" s="1"/>
  <c r="AC16"/>
  <c r="N16"/>
  <c r="O16" s="1"/>
  <c r="AE20"/>
  <c r="R20"/>
  <c r="U20" s="1"/>
  <c r="V20" s="1"/>
  <c r="Y20" s="1"/>
  <c r="AE19"/>
  <c r="R19"/>
  <c r="U19" s="1"/>
  <c r="V19" s="1"/>
  <c r="Y19" s="1"/>
  <c r="AB21"/>
  <c r="P21"/>
  <c r="AC21"/>
  <c r="N21"/>
  <c r="O21" s="1"/>
  <c r="AB23"/>
  <c r="P23"/>
  <c r="AB27"/>
  <c r="P27"/>
  <c r="AE44"/>
  <c r="R44"/>
  <c r="U44" s="1"/>
  <c r="V44" s="1"/>
  <c r="Y44" s="1"/>
  <c r="R43"/>
  <c r="R42"/>
  <c r="R40"/>
  <c r="R39"/>
  <c r="AB40"/>
  <c r="P40"/>
  <c r="AB39"/>
  <c r="P39"/>
  <c r="AB52"/>
  <c r="AE52" s="1"/>
  <c r="P52"/>
  <c r="U52" s="1"/>
  <c r="V52" s="1"/>
  <c r="Y52" s="1"/>
  <c r="AB51"/>
  <c r="AE51" s="1"/>
  <c r="P51"/>
  <c r="U51" s="1"/>
  <c r="V51" s="1"/>
  <c r="Y51" s="1"/>
  <c r="AB50"/>
  <c r="AE50" s="1"/>
  <c r="P50"/>
  <c r="U50" s="1"/>
  <c r="V50" s="1"/>
  <c r="Y50" s="1"/>
  <c r="AB49"/>
  <c r="AE49" s="1"/>
  <c r="P49"/>
  <c r="U49" s="1"/>
  <c r="V49" s="1"/>
  <c r="Y49" s="1"/>
  <c r="AB48"/>
  <c r="AE48" s="1"/>
  <c r="P48"/>
  <c r="AB47"/>
  <c r="AE47" s="1"/>
  <c r="P47"/>
  <c r="U47" s="1"/>
  <c r="V47" s="1"/>
  <c r="Y47" s="1"/>
  <c r="AB46"/>
  <c r="AE46" s="1"/>
  <c r="P46"/>
  <c r="U46" s="1"/>
  <c r="V46" s="1"/>
  <c r="Y46" s="1"/>
  <c r="AB45"/>
  <c r="AE45" s="1"/>
  <c r="P45"/>
  <c r="U45" s="1"/>
  <c r="V45" s="1"/>
  <c r="Y45" s="1"/>
  <c r="R41"/>
  <c r="AB43"/>
  <c r="AE43" s="1"/>
  <c r="P43"/>
  <c r="AB42"/>
  <c r="AE42" s="1"/>
  <c r="P42"/>
  <c r="AB41"/>
  <c r="P41"/>
  <c r="U48" l="1"/>
  <c r="V48" s="1"/>
  <c r="Y48" s="1"/>
  <c r="F20" i="46"/>
  <c r="R9" i="45"/>
  <c r="U9" s="1"/>
  <c r="V9" s="1"/>
  <c r="Y9" s="1"/>
  <c r="U42"/>
  <c r="V42" s="1"/>
  <c r="Y42" s="1"/>
  <c r="F13" i="46"/>
  <c r="AE7" i="45"/>
  <c r="U43"/>
  <c r="V43" s="1"/>
  <c r="Y43" s="1"/>
  <c r="R6"/>
  <c r="F22" i="46" s="1"/>
  <c r="R8" i="45"/>
  <c r="AD6"/>
  <c r="Q6"/>
  <c r="F21" i="46" s="1"/>
  <c r="AD8" i="45"/>
  <c r="AE8" s="1"/>
  <c r="Q8"/>
  <c r="R16"/>
  <c r="R18"/>
  <c r="R17"/>
  <c r="R14"/>
  <c r="R15"/>
  <c r="AD16"/>
  <c r="AE16" s="1"/>
  <c r="Q16"/>
  <c r="AD18"/>
  <c r="AE18" s="1"/>
  <c r="Q18"/>
  <c r="AD17"/>
  <c r="AE17" s="1"/>
  <c r="Q17"/>
  <c r="AD14"/>
  <c r="AE14" s="1"/>
  <c r="Q14"/>
  <c r="AD15"/>
  <c r="AE15" s="1"/>
  <c r="Q15"/>
  <c r="R21"/>
  <c r="AD21"/>
  <c r="AE21" s="1"/>
  <c r="Q21"/>
  <c r="AE41"/>
  <c r="U39"/>
  <c r="AE39"/>
  <c r="AE40"/>
  <c r="U41"/>
  <c r="U40"/>
  <c r="F25" i="46" l="1"/>
  <c r="C26" s="1"/>
  <c r="AE6" i="45"/>
  <c r="F14" i="46"/>
  <c r="U8" i="45"/>
  <c r="V8" s="1"/>
  <c r="Y8" s="1"/>
  <c r="U15"/>
  <c r="V15" s="1"/>
  <c r="Y15" s="1"/>
  <c r="U6"/>
  <c r="V6" s="1"/>
  <c r="Y6" s="1"/>
  <c r="U18"/>
  <c r="V18" s="1"/>
  <c r="Y18" s="1"/>
  <c r="U21"/>
  <c r="V21" s="1"/>
  <c r="Y21" s="1"/>
  <c r="U14"/>
  <c r="V14" s="1"/>
  <c r="Y14" s="1"/>
  <c r="U17"/>
  <c r="V17" s="1"/>
  <c r="Y17" s="1"/>
  <c r="U16"/>
  <c r="V16" s="1"/>
  <c r="Y16" s="1"/>
  <c r="V40"/>
  <c r="V41"/>
  <c r="V39"/>
  <c r="C27" i="46"/>
  <c r="Y39" i="45" l="1"/>
  <c r="Y41"/>
  <c r="Y40"/>
  <c r="W10" i="34" l="1"/>
  <c r="W11"/>
  <c r="W12"/>
  <c r="W9"/>
  <c r="W9" i="32"/>
  <c r="W27" i="28"/>
  <c r="W24"/>
  <c r="W18"/>
  <c r="W13"/>
  <c r="W14"/>
  <c r="W10"/>
  <c r="W16"/>
  <c r="W15"/>
  <c r="W17"/>
  <c r="W11"/>
  <c r="W12"/>
  <c r="W19"/>
  <c r="W20"/>
  <c r="W21"/>
  <c r="W9"/>
  <c r="AD11" i="40"/>
  <c r="AD19" i="37"/>
  <c r="Y19" i="40"/>
  <c r="S19"/>
  <c r="R19"/>
  <c r="J19"/>
  <c r="X18"/>
  <c r="N18"/>
  <c r="AD18" s="1"/>
  <c r="W16"/>
  <c r="V16"/>
  <c r="L16"/>
  <c r="K16"/>
  <c r="G16"/>
  <c r="AB16" s="1"/>
  <c r="W15"/>
  <c r="V15"/>
  <c r="L15"/>
  <c r="K15"/>
  <c r="Z15" s="1"/>
  <c r="G15"/>
  <c r="AB15" s="1"/>
  <c r="W14"/>
  <c r="V14"/>
  <c r="L14"/>
  <c r="K14"/>
  <c r="G14"/>
  <c r="AB14" s="1"/>
  <c r="AC14" s="1"/>
  <c r="W13"/>
  <c r="V13"/>
  <c r="V19" s="1"/>
  <c r="L13"/>
  <c r="K13"/>
  <c r="K19" s="1"/>
  <c r="G13"/>
  <c r="AB13" s="1"/>
  <c r="X11"/>
  <c r="R14" i="39"/>
  <c r="S14"/>
  <c r="Y14"/>
  <c r="J14"/>
  <c r="I14"/>
  <c r="G20" i="42" s="1"/>
  <c r="X13" i="39"/>
  <c r="N13"/>
  <c r="AD13" s="1"/>
  <c r="M16" i="40" l="1"/>
  <c r="N16"/>
  <c r="G24" i="42"/>
  <c r="L19" i="40"/>
  <c r="W19"/>
  <c r="M14"/>
  <c r="N14" s="1"/>
  <c r="Q14" s="1"/>
  <c r="O15"/>
  <c r="AA15"/>
  <c r="AC16"/>
  <c r="P16"/>
  <c r="AB19"/>
  <c r="AC13"/>
  <c r="P13"/>
  <c r="AC15"/>
  <c r="P15"/>
  <c r="Q16"/>
  <c r="Z14"/>
  <c r="Z16"/>
  <c r="M13"/>
  <c r="N13" s="1"/>
  <c r="Z13"/>
  <c r="P14"/>
  <c r="M15"/>
  <c r="N15" s="1"/>
  <c r="AD15" s="1"/>
  <c r="Q13" l="1"/>
  <c r="N19"/>
  <c r="Q15"/>
  <c r="T15" s="1"/>
  <c r="U15" s="1"/>
  <c r="X15" s="1"/>
  <c r="O13"/>
  <c r="Z19"/>
  <c r="AA13"/>
  <c r="AD13" s="1"/>
  <c r="AA16"/>
  <c r="AD16" s="1"/>
  <c r="O16"/>
  <c r="T16" s="1"/>
  <c r="U16" s="1"/>
  <c r="X16" s="1"/>
  <c r="P19"/>
  <c r="M19"/>
  <c r="AA14"/>
  <c r="AD14" s="1"/>
  <c r="O14"/>
  <c r="T14" s="1"/>
  <c r="U14" s="1"/>
  <c r="X14" s="1"/>
  <c r="AC19"/>
  <c r="AD19" l="1"/>
  <c r="K24" i="42" s="1"/>
  <c r="AA19" i="40"/>
  <c r="O19"/>
  <c r="T13"/>
  <c r="Q19"/>
  <c r="T19" l="1"/>
  <c r="U13"/>
  <c r="U19" l="1"/>
  <c r="X13"/>
  <c r="X19" s="1"/>
  <c r="R15" i="37" l="1"/>
  <c r="S15"/>
  <c r="Y15"/>
  <c r="J15"/>
  <c r="I15"/>
  <c r="X19"/>
  <c r="J20"/>
  <c r="R20"/>
  <c r="S20"/>
  <c r="Y20"/>
  <c r="I20"/>
  <c r="G17" i="42" s="1"/>
  <c r="X14" i="37"/>
  <c r="N14"/>
  <c r="AD14" s="1"/>
  <c r="W18"/>
  <c r="V18"/>
  <c r="L18"/>
  <c r="K18"/>
  <c r="Z18" s="1"/>
  <c r="G18"/>
  <c r="AB18" s="1"/>
  <c r="W17"/>
  <c r="V17"/>
  <c r="L17"/>
  <c r="K17"/>
  <c r="Z17" s="1"/>
  <c r="G17"/>
  <c r="AB17" s="1"/>
  <c r="W16"/>
  <c r="W20" s="1"/>
  <c r="V16"/>
  <c r="L16"/>
  <c r="L20" s="1"/>
  <c r="K16"/>
  <c r="G16"/>
  <c r="AB16" s="1"/>
  <c r="AB20" s="1"/>
  <c r="R20" i="35"/>
  <c r="S20"/>
  <c r="Y20"/>
  <c r="J20"/>
  <c r="I20"/>
  <c r="R16"/>
  <c r="S16"/>
  <c r="Y16"/>
  <c r="J16"/>
  <c r="I16"/>
  <c r="X19"/>
  <c r="AD19" s="1"/>
  <c r="X15"/>
  <c r="AD15" s="1"/>
  <c r="N19"/>
  <c r="N15"/>
  <c r="H10" i="42"/>
  <c r="H14"/>
  <c r="H20"/>
  <c r="H22" s="1"/>
  <c r="H21"/>
  <c r="H24"/>
  <c r="I24" s="1"/>
  <c r="J24" s="1"/>
  <c r="L24" s="1"/>
  <c r="M24" s="1"/>
  <c r="H25"/>
  <c r="Y29" i="28"/>
  <c r="S29"/>
  <c r="R29"/>
  <c r="J29"/>
  <c r="I29"/>
  <c r="G7" i="42" s="1"/>
  <c r="W29" i="28"/>
  <c r="V27"/>
  <c r="V29" s="1"/>
  <c r="L27"/>
  <c r="L29" s="1"/>
  <c r="K27"/>
  <c r="K29" s="1"/>
  <c r="G27"/>
  <c r="AB27" s="1"/>
  <c r="Y26"/>
  <c r="S26"/>
  <c r="R26"/>
  <c r="J26"/>
  <c r="I26"/>
  <c r="W26"/>
  <c r="V24"/>
  <c r="V26" s="1"/>
  <c r="L24"/>
  <c r="L26" s="1"/>
  <c r="K24"/>
  <c r="K26" s="1"/>
  <c r="G24"/>
  <c r="AB24" s="1"/>
  <c r="I10" i="42"/>
  <c r="J10" s="1"/>
  <c r="L10" s="1"/>
  <c r="I14"/>
  <c r="J14" s="1"/>
  <c r="L14" s="1"/>
  <c r="I21"/>
  <c r="J21" s="1"/>
  <c r="L21" s="1"/>
  <c r="I25"/>
  <c r="J25" s="1"/>
  <c r="L25" s="1"/>
  <c r="H7" l="1"/>
  <c r="I7" s="1"/>
  <c r="J7" s="1"/>
  <c r="H17"/>
  <c r="I17" s="1"/>
  <c r="J17" s="1"/>
  <c r="I20"/>
  <c r="J20" s="1"/>
  <c r="G16"/>
  <c r="V20" i="37"/>
  <c r="K20"/>
  <c r="G6" i="42"/>
  <c r="AC18" i="37"/>
  <c r="P18"/>
  <c r="M18"/>
  <c r="N18" s="1"/>
  <c r="AC16"/>
  <c r="P16"/>
  <c r="M16"/>
  <c r="P17"/>
  <c r="AC17"/>
  <c r="AA17"/>
  <c r="O17"/>
  <c r="AA18"/>
  <c r="O18"/>
  <c r="Z16"/>
  <c r="Z20" s="1"/>
  <c r="M17"/>
  <c r="N17" s="1"/>
  <c r="AB29" i="28"/>
  <c r="AC27"/>
  <c r="AC29" s="1"/>
  <c r="P27"/>
  <c r="P29" s="1"/>
  <c r="M27"/>
  <c r="M29" s="1"/>
  <c r="Z27"/>
  <c r="P24"/>
  <c r="P26" s="1"/>
  <c r="AB26"/>
  <c r="AC24"/>
  <c r="AC26" s="1"/>
  <c r="M24"/>
  <c r="M26" s="1"/>
  <c r="Z24"/>
  <c r="I22" i="42" l="1"/>
  <c r="H16"/>
  <c r="I16" s="1"/>
  <c r="J16" s="1"/>
  <c r="J19" s="1"/>
  <c r="H6"/>
  <c r="I6" s="1"/>
  <c r="J6" s="1"/>
  <c r="AD17" i="37"/>
  <c r="AD18"/>
  <c r="P20"/>
  <c r="M20"/>
  <c r="AC20"/>
  <c r="N16"/>
  <c r="J22" i="42"/>
  <c r="AA16" i="37"/>
  <c r="AA20" s="1"/>
  <c r="O16"/>
  <c r="O20" s="1"/>
  <c r="O27" i="28"/>
  <c r="Z29"/>
  <c r="AA27"/>
  <c r="AA29" s="1"/>
  <c r="N27"/>
  <c r="O24"/>
  <c r="AA24"/>
  <c r="AA26" s="1"/>
  <c r="Z26"/>
  <c r="N24"/>
  <c r="AD24" s="1"/>
  <c r="AD26" s="1"/>
  <c r="K6" i="42" s="1"/>
  <c r="L6" s="1"/>
  <c r="M6" s="1"/>
  <c r="H19" l="1"/>
  <c r="I19"/>
  <c r="AD27" i="28"/>
  <c r="AD29" s="1"/>
  <c r="K7" i="42" s="1"/>
  <c r="L7" s="1"/>
  <c r="M7" s="1"/>
  <c r="AD16" i="37"/>
  <c r="AD20" s="1"/>
  <c r="K17" i="42" s="1"/>
  <c r="L17" s="1"/>
  <c r="M17" s="1"/>
  <c r="N20" i="37"/>
  <c r="Q27" i="28"/>
  <c r="Q29" s="1"/>
  <c r="N29"/>
  <c r="O29"/>
  <c r="Q24"/>
  <c r="Q26" s="1"/>
  <c r="N26"/>
  <c r="O26"/>
  <c r="T27" l="1"/>
  <c r="T24"/>
  <c r="T29" l="1"/>
  <c r="U27"/>
  <c r="T26"/>
  <c r="U24"/>
  <c r="U29" l="1"/>
  <c r="X27"/>
  <c r="X29" s="1"/>
  <c r="U26"/>
  <c r="X24"/>
  <c r="X26" s="1"/>
  <c r="G13" i="42" l="1"/>
  <c r="W18" i="35"/>
  <c r="V18"/>
  <c r="L18"/>
  <c r="K18"/>
  <c r="G18"/>
  <c r="AB18" s="1"/>
  <c r="W17"/>
  <c r="V17"/>
  <c r="L17"/>
  <c r="K17"/>
  <c r="G17"/>
  <c r="AB17" s="1"/>
  <c r="AB20" s="1"/>
  <c r="P9" i="25"/>
  <c r="F10" i="40"/>
  <c r="G10" s="1"/>
  <c r="K10"/>
  <c r="V10"/>
  <c r="W10"/>
  <c r="Y12"/>
  <c r="S12"/>
  <c r="R12"/>
  <c r="J12"/>
  <c r="I12"/>
  <c r="G23" i="42" s="1"/>
  <c r="W9" i="40"/>
  <c r="V9"/>
  <c r="K9"/>
  <c r="F9"/>
  <c r="L9" s="1"/>
  <c r="W12" i="39"/>
  <c r="V12"/>
  <c r="K12"/>
  <c r="F12"/>
  <c r="L12" s="1"/>
  <c r="W11"/>
  <c r="V11"/>
  <c r="K11"/>
  <c r="F11"/>
  <c r="L11" s="1"/>
  <c r="W10"/>
  <c r="V10"/>
  <c r="K10"/>
  <c r="F10"/>
  <c r="L10" s="1"/>
  <c r="W9"/>
  <c r="W14" s="1"/>
  <c r="V9"/>
  <c r="V14" s="1"/>
  <c r="K9"/>
  <c r="K14" s="1"/>
  <c r="F9"/>
  <c r="L9" s="1"/>
  <c r="L14" s="1"/>
  <c r="G12" i="42"/>
  <c r="K20" i="35" l="1"/>
  <c r="V20"/>
  <c r="H12" i="42"/>
  <c r="I12" s="1"/>
  <c r="H23"/>
  <c r="H26" s="1"/>
  <c r="H13"/>
  <c r="I13" s="1"/>
  <c r="J13" s="1"/>
  <c r="I23"/>
  <c r="I26" s="1"/>
  <c r="L20" i="35"/>
  <c r="W20"/>
  <c r="Z10" i="40"/>
  <c r="O10" s="1"/>
  <c r="Z10" i="39"/>
  <c r="AA10" s="1"/>
  <c r="Z11"/>
  <c r="Z12"/>
  <c r="AA12" s="1"/>
  <c r="Z17" i="35"/>
  <c r="AA17" s="1"/>
  <c r="AC18"/>
  <c r="P18"/>
  <c r="M18"/>
  <c r="N18" s="1"/>
  <c r="P17"/>
  <c r="P20" s="1"/>
  <c r="AC17"/>
  <c r="AC20" s="1"/>
  <c r="Z18"/>
  <c r="M17"/>
  <c r="M20" s="1"/>
  <c r="G9" i="39"/>
  <c r="AB9" s="1"/>
  <c r="P9" s="1"/>
  <c r="G11"/>
  <c r="AB11" s="1"/>
  <c r="V12" i="40"/>
  <c r="M10"/>
  <c r="AB10"/>
  <c r="L10"/>
  <c r="L12" s="1"/>
  <c r="K12"/>
  <c r="W12"/>
  <c r="G9"/>
  <c r="Z9"/>
  <c r="G10" i="39"/>
  <c r="AB10" s="1"/>
  <c r="P10" s="1"/>
  <c r="G12"/>
  <c r="AB12" s="1"/>
  <c r="P12" s="1"/>
  <c r="AC10"/>
  <c r="AA11"/>
  <c r="O11"/>
  <c r="AC9"/>
  <c r="O10"/>
  <c r="P11"/>
  <c r="AC11"/>
  <c r="O12"/>
  <c r="M9"/>
  <c r="Z9"/>
  <c r="Z14" s="1"/>
  <c r="M10"/>
  <c r="N10" s="1"/>
  <c r="M11"/>
  <c r="N11" s="1"/>
  <c r="AD11" s="1"/>
  <c r="M12"/>
  <c r="N12" s="1"/>
  <c r="J23" i="42" l="1"/>
  <c r="J26" s="1"/>
  <c r="AD10" i="39"/>
  <c r="H15" i="42"/>
  <c r="AB14" i="39"/>
  <c r="N9"/>
  <c r="M14"/>
  <c r="P14"/>
  <c r="O17" i="35"/>
  <c r="Z20"/>
  <c r="AA10" i="40"/>
  <c r="N10"/>
  <c r="AC12" i="39"/>
  <c r="AC14" s="1"/>
  <c r="J12" i="42"/>
  <c r="I15"/>
  <c r="N17" i="35"/>
  <c r="AA18"/>
  <c r="AA20" s="1"/>
  <c r="O18"/>
  <c r="AC10" i="40"/>
  <c r="P10"/>
  <c r="Z12"/>
  <c r="AA9"/>
  <c r="O9"/>
  <c r="AB9"/>
  <c r="M9"/>
  <c r="N9" s="1"/>
  <c r="AA9" i="39"/>
  <c r="AA14" s="1"/>
  <c r="O9"/>
  <c r="O14" s="1"/>
  <c r="AA12" i="40" l="1"/>
  <c r="AD10"/>
  <c r="AD9" i="39"/>
  <c r="N14"/>
  <c r="AD12"/>
  <c r="N20" i="35"/>
  <c r="AD17"/>
  <c r="AD18"/>
  <c r="O20"/>
  <c r="J15" i="42"/>
  <c r="AB12" i="40"/>
  <c r="AC9"/>
  <c r="AD9" s="1"/>
  <c r="AD12" s="1"/>
  <c r="K23" i="42" s="1"/>
  <c r="P9" i="40"/>
  <c r="M12"/>
  <c r="O12"/>
  <c r="K26" i="42" l="1"/>
  <c r="L23"/>
  <c r="AD14" i="39"/>
  <c r="K20" i="42" s="1"/>
  <c r="AC12" i="40"/>
  <c r="P12"/>
  <c r="L26" i="42" l="1"/>
  <c r="M23"/>
  <c r="K22"/>
  <c r="L20"/>
  <c r="W13" i="37"/>
  <c r="V13"/>
  <c r="K13"/>
  <c r="F13"/>
  <c r="W12"/>
  <c r="V12"/>
  <c r="K12"/>
  <c r="F12"/>
  <c r="W11"/>
  <c r="V11"/>
  <c r="K11"/>
  <c r="F11"/>
  <c r="W10"/>
  <c r="V10"/>
  <c r="K10"/>
  <c r="F10"/>
  <c r="W9"/>
  <c r="W15" s="1"/>
  <c r="V9"/>
  <c r="V15" s="1"/>
  <c r="K9"/>
  <c r="F9"/>
  <c r="W10" i="35"/>
  <c r="W11"/>
  <c r="W12"/>
  <c r="W14"/>
  <c r="W13"/>
  <c r="W9"/>
  <c r="V13"/>
  <c r="K13"/>
  <c r="F13"/>
  <c r="V14"/>
  <c r="K14"/>
  <c r="F14"/>
  <c r="V12"/>
  <c r="K12"/>
  <c r="F12"/>
  <c r="V11"/>
  <c r="K11"/>
  <c r="F11"/>
  <c r="V10"/>
  <c r="K10"/>
  <c r="F10"/>
  <c r="V9"/>
  <c r="K9"/>
  <c r="K16" s="1"/>
  <c r="F9"/>
  <c r="F10" i="34"/>
  <c r="K10"/>
  <c r="V10"/>
  <c r="Z10"/>
  <c r="F11"/>
  <c r="K11"/>
  <c r="Z11" s="1"/>
  <c r="V11"/>
  <c r="F12"/>
  <c r="K12"/>
  <c r="Z12" s="1"/>
  <c r="V12"/>
  <c r="F9"/>
  <c r="G22" i="45" s="1"/>
  <c r="L9" i="37" l="1"/>
  <c r="G34" i="45"/>
  <c r="L10" i="37"/>
  <c r="G35" i="45"/>
  <c r="L11" i="37"/>
  <c r="G36" i="45"/>
  <c r="L12" i="37"/>
  <c r="G37" i="45"/>
  <c r="L13" i="37"/>
  <c r="G38" i="45"/>
  <c r="L9" i="35"/>
  <c r="G26" i="45"/>
  <c r="L11" i="35"/>
  <c r="G28" i="45"/>
  <c r="L14" i="35"/>
  <c r="G30" i="45"/>
  <c r="L10" i="35"/>
  <c r="G27" i="45"/>
  <c r="L12" i="35"/>
  <c r="G29" i="45"/>
  <c r="L13" i="35"/>
  <c r="G31" i="45"/>
  <c r="G12" i="34"/>
  <c r="M12" s="1"/>
  <c r="G25" i="45"/>
  <c r="M22"/>
  <c r="H22"/>
  <c r="G11" i="34"/>
  <c r="M11" s="1"/>
  <c r="G24" i="45"/>
  <c r="G10" i="34"/>
  <c r="M10" s="1"/>
  <c r="G23" i="45"/>
  <c r="L16" i="35"/>
  <c r="V16"/>
  <c r="W16"/>
  <c r="L22" i="42"/>
  <c r="M20"/>
  <c r="K15" i="37"/>
  <c r="Z10"/>
  <c r="AA10" s="1"/>
  <c r="Z11"/>
  <c r="AA11" s="1"/>
  <c r="Z12"/>
  <c r="AA12" s="1"/>
  <c r="Z13"/>
  <c r="AA13" s="1"/>
  <c r="Z10" i="35"/>
  <c r="AA10" s="1"/>
  <c r="Z12"/>
  <c r="Z13"/>
  <c r="AA13" s="1"/>
  <c r="Z11"/>
  <c r="Z14"/>
  <c r="AA14" s="1"/>
  <c r="AA11" i="34"/>
  <c r="AA12"/>
  <c r="AA10"/>
  <c r="L12"/>
  <c r="N12" s="1"/>
  <c r="L11"/>
  <c r="N11" s="1"/>
  <c r="L10"/>
  <c r="N10" s="1"/>
  <c r="G9" i="35"/>
  <c r="AB9" s="1"/>
  <c r="G10"/>
  <c r="AB10" s="1"/>
  <c r="P10" s="1"/>
  <c r="G11"/>
  <c r="AB11" s="1"/>
  <c r="AC11" s="1"/>
  <c r="G12"/>
  <c r="AB12" s="1"/>
  <c r="P12" s="1"/>
  <c r="G14"/>
  <c r="AB14" s="1"/>
  <c r="AC14" s="1"/>
  <c r="G13"/>
  <c r="AB13" s="1"/>
  <c r="P13" s="1"/>
  <c r="O11" i="37"/>
  <c r="G9"/>
  <c r="G10"/>
  <c r="G11"/>
  <c r="G12"/>
  <c r="G13"/>
  <c r="Z9"/>
  <c r="AA12" i="35"/>
  <c r="O12"/>
  <c r="P14"/>
  <c r="AA11"/>
  <c r="O11"/>
  <c r="O14"/>
  <c r="M9"/>
  <c r="Z9"/>
  <c r="M11"/>
  <c r="N11" s="1"/>
  <c r="M14"/>
  <c r="N14" s="1"/>
  <c r="O11" i="34"/>
  <c r="O10"/>
  <c r="O12"/>
  <c r="AB12"/>
  <c r="AB11"/>
  <c r="AB10"/>
  <c r="M38" i="45" l="1"/>
  <c r="H38"/>
  <c r="M37"/>
  <c r="H37"/>
  <c r="M36"/>
  <c r="H36"/>
  <c r="M35"/>
  <c r="H35"/>
  <c r="M34"/>
  <c r="H34"/>
  <c r="O13" i="37"/>
  <c r="L15"/>
  <c r="M31" i="45"/>
  <c r="H31"/>
  <c r="M29"/>
  <c r="H29"/>
  <c r="M27"/>
  <c r="H27"/>
  <c r="M30"/>
  <c r="H30"/>
  <c r="M28"/>
  <c r="H28"/>
  <c r="M26"/>
  <c r="H26"/>
  <c r="P11" i="35"/>
  <c r="AD11"/>
  <c r="O13"/>
  <c r="M23" i="45"/>
  <c r="H23"/>
  <c r="M24"/>
  <c r="H24"/>
  <c r="AC22"/>
  <c r="N22"/>
  <c r="O22" s="1"/>
  <c r="M25"/>
  <c r="H25"/>
  <c r="AC12" i="35"/>
  <c r="O10"/>
  <c r="Z15" i="37"/>
  <c r="O10"/>
  <c r="O12"/>
  <c r="AD14" i="35"/>
  <c r="Z16"/>
  <c r="AC13"/>
  <c r="AC10"/>
  <c r="AB16"/>
  <c r="N9"/>
  <c r="P9"/>
  <c r="P16" s="1"/>
  <c r="AC9"/>
  <c r="M13"/>
  <c r="N13" s="1"/>
  <c r="M12"/>
  <c r="N12" s="1"/>
  <c r="AD12" s="1"/>
  <c r="M10"/>
  <c r="N10" s="1"/>
  <c r="AB13" i="37"/>
  <c r="M13"/>
  <c r="N13" s="1"/>
  <c r="AB11"/>
  <c r="M11"/>
  <c r="N11" s="1"/>
  <c r="AB9"/>
  <c r="M9"/>
  <c r="AA9"/>
  <c r="AA15" s="1"/>
  <c r="O9"/>
  <c r="AB12"/>
  <c r="M12"/>
  <c r="N12" s="1"/>
  <c r="AB10"/>
  <c r="M10"/>
  <c r="N10" s="1"/>
  <c r="AA9" i="35"/>
  <c r="AA16" s="1"/>
  <c r="O9"/>
  <c r="O16" s="1"/>
  <c r="P12" i="34"/>
  <c r="AC12"/>
  <c r="AD12" s="1"/>
  <c r="P11"/>
  <c r="AC11"/>
  <c r="AD11" s="1"/>
  <c r="P10"/>
  <c r="AC10"/>
  <c r="AD10" s="1"/>
  <c r="AC34" i="45" l="1"/>
  <c r="N34"/>
  <c r="O34" s="1"/>
  <c r="AC35"/>
  <c r="N35"/>
  <c r="O35" s="1"/>
  <c r="AC36"/>
  <c r="N36"/>
  <c r="O36" s="1"/>
  <c r="N37"/>
  <c r="O37" s="1"/>
  <c r="R37" s="1"/>
  <c r="AC37"/>
  <c r="AC38"/>
  <c r="N38"/>
  <c r="O38" s="1"/>
  <c r="N26"/>
  <c r="O26" s="1"/>
  <c r="R26" s="1"/>
  <c r="AC26"/>
  <c r="AC28"/>
  <c r="N28"/>
  <c r="O28" s="1"/>
  <c r="N30"/>
  <c r="O30" s="1"/>
  <c r="AC30"/>
  <c r="N27"/>
  <c r="AC27"/>
  <c r="AC29"/>
  <c r="N29"/>
  <c r="O29" s="1"/>
  <c r="R29" s="1"/>
  <c r="AC31"/>
  <c r="N31"/>
  <c r="O31" s="1"/>
  <c r="O27"/>
  <c r="R27" s="1"/>
  <c r="N25"/>
  <c r="O25" s="1"/>
  <c r="AC25"/>
  <c r="R22"/>
  <c r="AC24"/>
  <c r="N24"/>
  <c r="O24" s="1"/>
  <c r="AC23"/>
  <c r="N23"/>
  <c r="O23" s="1"/>
  <c r="R23" s="1"/>
  <c r="Q22"/>
  <c r="AD22"/>
  <c r="AE22" s="1"/>
  <c r="AD10" i="35"/>
  <c r="O15" i="37"/>
  <c r="AD13" i="35"/>
  <c r="AC16"/>
  <c r="AB15" i="37"/>
  <c r="M15"/>
  <c r="N9"/>
  <c r="N16" i="35"/>
  <c r="AD9"/>
  <c r="M16"/>
  <c r="P12" i="37"/>
  <c r="AC12"/>
  <c r="AD12" s="1"/>
  <c r="AC9"/>
  <c r="P9"/>
  <c r="AC11"/>
  <c r="AD11" s="1"/>
  <c r="P11"/>
  <c r="P13"/>
  <c r="AC13"/>
  <c r="AD13" s="1"/>
  <c r="P10"/>
  <c r="AC10"/>
  <c r="AD10" s="1"/>
  <c r="Y14" i="34"/>
  <c r="S14"/>
  <c r="R14"/>
  <c r="J14"/>
  <c r="I14"/>
  <c r="G9" i="42" s="1"/>
  <c r="W14" i="34"/>
  <c r="V9"/>
  <c r="V14" s="1"/>
  <c r="L9"/>
  <c r="L14" s="1"/>
  <c r="K9"/>
  <c r="G9"/>
  <c r="V9" i="32"/>
  <c r="O12" i="25"/>
  <c r="N12"/>
  <c r="L12"/>
  <c r="K12"/>
  <c r="J12"/>
  <c r="I12"/>
  <c r="H12"/>
  <c r="G12"/>
  <c r="F12"/>
  <c r="P11"/>
  <c r="P10"/>
  <c r="P8"/>
  <c r="P7"/>
  <c r="P6"/>
  <c r="P5"/>
  <c r="AD37" i="45" l="1"/>
  <c r="AE37" s="1"/>
  <c r="Q37"/>
  <c r="U37" s="1"/>
  <c r="V37" s="1"/>
  <c r="Y37" s="1"/>
  <c r="R36"/>
  <c r="R35"/>
  <c r="R34"/>
  <c r="R38"/>
  <c r="AD38"/>
  <c r="AE38" s="1"/>
  <c r="Q38"/>
  <c r="Q36"/>
  <c r="AD36"/>
  <c r="AE36" s="1"/>
  <c r="Q35"/>
  <c r="AD35"/>
  <c r="AE35" s="1"/>
  <c r="Q34"/>
  <c r="AD34"/>
  <c r="AE34" s="1"/>
  <c r="R31"/>
  <c r="Q27"/>
  <c r="U27" s="1"/>
  <c r="V27" s="1"/>
  <c r="Y27" s="1"/>
  <c r="AD27"/>
  <c r="AE27" s="1"/>
  <c r="Q30"/>
  <c r="AD30"/>
  <c r="R28"/>
  <c r="Q26"/>
  <c r="U26" s="1"/>
  <c r="V26" s="1"/>
  <c r="Y26" s="1"/>
  <c r="AD26"/>
  <c r="AE26" s="1"/>
  <c r="AD31"/>
  <c r="AE31" s="1"/>
  <c r="Q31"/>
  <c r="Q29"/>
  <c r="U29" s="1"/>
  <c r="V29" s="1"/>
  <c r="Y29" s="1"/>
  <c r="AD29"/>
  <c r="AE29" s="1"/>
  <c r="AE30"/>
  <c r="R30"/>
  <c r="Q28"/>
  <c r="AD28"/>
  <c r="AE28" s="1"/>
  <c r="R24"/>
  <c r="AD25"/>
  <c r="Q25"/>
  <c r="AD23"/>
  <c r="AE23" s="1"/>
  <c r="Q23"/>
  <c r="U23" s="1"/>
  <c r="V23" s="1"/>
  <c r="Y23" s="1"/>
  <c r="AD24"/>
  <c r="AE24" s="1"/>
  <c r="Q24"/>
  <c r="U24" s="1"/>
  <c r="V24" s="1"/>
  <c r="Y24" s="1"/>
  <c r="U22"/>
  <c r="V22" s="1"/>
  <c r="Y22" s="1"/>
  <c r="AE25"/>
  <c r="R25"/>
  <c r="H9" i="42"/>
  <c r="I9" s="1"/>
  <c r="J9" s="1"/>
  <c r="P15" i="37"/>
  <c r="AC15"/>
  <c r="AD9"/>
  <c r="AD15" s="1"/>
  <c r="K16" i="42" s="1"/>
  <c r="N15" i="37"/>
  <c r="K14" i="34"/>
  <c r="P12" i="25"/>
  <c r="AB9" i="34"/>
  <c r="P9" s="1"/>
  <c r="P14" s="1"/>
  <c r="M9"/>
  <c r="N9" s="1"/>
  <c r="Z9"/>
  <c r="U38" i="45" l="1"/>
  <c r="V38" s="1"/>
  <c r="Y38" s="1"/>
  <c r="U36"/>
  <c r="V36" s="1"/>
  <c r="Y36" s="1"/>
  <c r="U34"/>
  <c r="V34" s="1"/>
  <c r="Y34" s="1"/>
  <c r="U35"/>
  <c r="V35" s="1"/>
  <c r="Y35" s="1"/>
  <c r="U28"/>
  <c r="V28" s="1"/>
  <c r="Y28" s="1"/>
  <c r="U30"/>
  <c r="V30" s="1"/>
  <c r="Y30" s="1"/>
  <c r="U31"/>
  <c r="V31" s="1"/>
  <c r="Y31" s="1"/>
  <c r="U25"/>
  <c r="V25" s="1"/>
  <c r="Y25" s="1"/>
  <c r="K19" i="42"/>
  <c r="L16"/>
  <c r="M14" i="34"/>
  <c r="AB14"/>
  <c r="AC9"/>
  <c r="AC14" s="1"/>
  <c r="Z14"/>
  <c r="AA9"/>
  <c r="AA14" s="1"/>
  <c r="O9"/>
  <c r="L19" i="42" l="1"/>
  <c r="M16"/>
  <c r="AD9" i="34"/>
  <c r="AD14" s="1"/>
  <c r="K9" i="42" s="1"/>
  <c r="L9" s="1"/>
  <c r="M9" s="1"/>
  <c r="O14" i="34"/>
  <c r="Y11" i="32" l="1"/>
  <c r="S11"/>
  <c r="R11"/>
  <c r="J11"/>
  <c r="I11"/>
  <c r="W11"/>
  <c r="V11"/>
  <c r="L9"/>
  <c r="L11" s="1"/>
  <c r="K9"/>
  <c r="G9"/>
  <c r="AB9" s="1"/>
  <c r="G8" i="42" l="1"/>
  <c r="H8" s="1"/>
  <c r="I8" s="1"/>
  <c r="J8" s="1"/>
  <c r="Z9" i="32"/>
  <c r="O9" s="1"/>
  <c r="K11"/>
  <c r="AB11"/>
  <c r="AC9"/>
  <c r="AC11" s="1"/>
  <c r="P9"/>
  <c r="P11" s="1"/>
  <c r="M9"/>
  <c r="N9" s="1"/>
  <c r="Z11" l="1"/>
  <c r="AA9"/>
  <c r="AA11" s="1"/>
  <c r="M11"/>
  <c r="O11"/>
  <c r="AD9" l="1"/>
  <c r="AD11" s="1"/>
  <c r="K8" i="42" s="1"/>
  <c r="L8" s="1"/>
  <c r="M8" s="1"/>
  <c r="J13" i="23"/>
  <c r="I13"/>
  <c r="H13"/>
  <c r="G13"/>
  <c r="F13"/>
  <c r="E13"/>
  <c r="D13"/>
  <c r="C13"/>
  <c r="B13"/>
  <c r="J11"/>
  <c r="I11"/>
  <c r="H11"/>
  <c r="G11"/>
  <c r="F11"/>
  <c r="E11"/>
  <c r="D11"/>
  <c r="C11"/>
  <c r="B11"/>
  <c r="J9"/>
  <c r="I9"/>
  <c r="H9"/>
  <c r="G9"/>
  <c r="F9"/>
  <c r="E9"/>
  <c r="D7"/>
  <c r="D9" s="1"/>
  <c r="C7"/>
  <c r="C9" s="1"/>
  <c r="B7"/>
  <c r="B9" s="1"/>
  <c r="B12" l="1"/>
  <c r="B16" s="1"/>
  <c r="B17" s="1"/>
  <c r="D12"/>
  <c r="D16" s="1"/>
  <c r="C12"/>
  <c r="C16" s="1"/>
  <c r="E12"/>
  <c r="E16" s="1"/>
  <c r="G12"/>
  <c r="G16" s="1"/>
  <c r="I12"/>
  <c r="I16" s="1"/>
  <c r="F12"/>
  <c r="F16" s="1"/>
  <c r="H12"/>
  <c r="H16" s="1"/>
  <c r="J12"/>
  <c r="J16" s="1"/>
  <c r="D17" l="1"/>
  <c r="D19" s="1"/>
  <c r="D20" s="1"/>
  <c r="J17"/>
  <c r="J19" s="1"/>
  <c r="J20" s="1"/>
  <c r="F17"/>
  <c r="F19" s="1"/>
  <c r="F20" s="1"/>
  <c r="G17"/>
  <c r="G19"/>
  <c r="G20" s="1"/>
  <c r="B19"/>
  <c r="B20" s="1"/>
  <c r="I17"/>
  <c r="I19" s="1"/>
  <c r="I20" s="1"/>
  <c r="E17"/>
  <c r="E19" s="1"/>
  <c r="E20" s="1"/>
  <c r="C17"/>
  <c r="C19" s="1"/>
  <c r="C20" s="1"/>
  <c r="H17"/>
  <c r="H19" s="1"/>
  <c r="H20" s="1"/>
  <c r="R23" i="28" l="1"/>
  <c r="S23"/>
  <c r="W23"/>
  <c r="Y23"/>
  <c r="I23"/>
  <c r="G21"/>
  <c r="M21" s="1"/>
  <c r="K21"/>
  <c r="Z21" s="1"/>
  <c r="AA21" s="1"/>
  <c r="L21"/>
  <c r="V21"/>
  <c r="J23"/>
  <c r="V20"/>
  <c r="L20"/>
  <c r="K20"/>
  <c r="Z20" s="1"/>
  <c r="G20"/>
  <c r="AB20" s="1"/>
  <c r="V19"/>
  <c r="L19"/>
  <c r="K19"/>
  <c r="Z19" s="1"/>
  <c r="G19"/>
  <c r="AB19" s="1"/>
  <c r="V12"/>
  <c r="L12"/>
  <c r="K12"/>
  <c r="Z12" s="1"/>
  <c r="G12"/>
  <c r="AB12" s="1"/>
  <c r="G5" i="42" l="1"/>
  <c r="AB21" i="28"/>
  <c r="P21" s="1"/>
  <c r="N21"/>
  <c r="O21"/>
  <c r="O20"/>
  <c r="AA20"/>
  <c r="AC20"/>
  <c r="P20"/>
  <c r="M20"/>
  <c r="N20" s="1"/>
  <c r="O19"/>
  <c r="AA19"/>
  <c r="AC19"/>
  <c r="P19"/>
  <c r="M19"/>
  <c r="N19" s="1"/>
  <c r="O12"/>
  <c r="AA12"/>
  <c r="P12"/>
  <c r="AC12"/>
  <c r="M12"/>
  <c r="N12" s="1"/>
  <c r="T12" l="1"/>
  <c r="AD12"/>
  <c r="AD20"/>
  <c r="H5" i="42"/>
  <c r="I5" s="1"/>
  <c r="AD19" i="28"/>
  <c r="AC21"/>
  <c r="AD21" s="1"/>
  <c r="Q19"/>
  <c r="Q21"/>
  <c r="U21" s="1"/>
  <c r="X21" s="1"/>
  <c r="Q12"/>
  <c r="Q20"/>
  <c r="U20" s="1"/>
  <c r="X20" s="1"/>
  <c r="U12" l="1"/>
  <c r="X12" s="1"/>
  <c r="T19"/>
  <c r="U19" s="1"/>
  <c r="X19" s="1"/>
  <c r="H11" i="42"/>
  <c r="H28" s="1"/>
  <c r="J5"/>
  <c r="J11" s="1"/>
  <c r="J28" s="1"/>
  <c r="I11"/>
  <c r="I28" s="1"/>
  <c r="V11" i="28"/>
  <c r="L11"/>
  <c r="K11"/>
  <c r="Z11" s="1"/>
  <c r="G11"/>
  <c r="AB11" s="1"/>
  <c r="V17"/>
  <c r="L17"/>
  <c r="K17"/>
  <c r="Z17" s="1"/>
  <c r="G17"/>
  <c r="AB17" s="1"/>
  <c r="V15"/>
  <c r="L15"/>
  <c r="K15"/>
  <c r="Z15" s="1"/>
  <c r="G15"/>
  <c r="AB15" s="1"/>
  <c r="V16"/>
  <c r="L16"/>
  <c r="K16"/>
  <c r="Z16" s="1"/>
  <c r="G16"/>
  <c r="AB16" s="1"/>
  <c r="AC16" l="1"/>
  <c r="P16"/>
  <c r="AA15"/>
  <c r="O15"/>
  <c r="AC17"/>
  <c r="P17"/>
  <c r="O11"/>
  <c r="AA11"/>
  <c r="O16"/>
  <c r="AA16"/>
  <c r="AC15"/>
  <c r="P15"/>
  <c r="O17"/>
  <c r="AA17"/>
  <c r="AC11"/>
  <c r="P11"/>
  <c r="M16"/>
  <c r="N16" s="1"/>
  <c r="M15"/>
  <c r="N15" s="1"/>
  <c r="M17"/>
  <c r="N17" s="1"/>
  <c r="M11"/>
  <c r="N11" s="1"/>
  <c r="AD11" l="1"/>
  <c r="AD17"/>
  <c r="AD16"/>
  <c r="AD15"/>
  <c r="Q11"/>
  <c r="Q15"/>
  <c r="U15" s="1"/>
  <c r="X15" s="1"/>
  <c r="Q17"/>
  <c r="U17" s="1"/>
  <c r="X17" s="1"/>
  <c r="Q16"/>
  <c r="U16" s="1"/>
  <c r="X16" s="1"/>
  <c r="U11"/>
  <c r="X11" s="1"/>
  <c r="G10" l="1"/>
  <c r="M10" s="1"/>
  <c r="K10"/>
  <c r="Z10" s="1"/>
  <c r="AA10" s="1"/>
  <c r="L10"/>
  <c r="V10"/>
  <c r="AB10" l="1"/>
  <c r="N10"/>
  <c r="O10"/>
  <c r="Q10" l="1"/>
  <c r="AC10"/>
  <c r="AD10" s="1"/>
  <c r="P10"/>
  <c r="T10" l="1"/>
  <c r="U10" s="1"/>
  <c r="X10" s="1"/>
  <c r="G14"/>
  <c r="M14" s="1"/>
  <c r="K14"/>
  <c r="Z14" s="1"/>
  <c r="O14" s="1"/>
  <c r="L14"/>
  <c r="V14"/>
  <c r="V13"/>
  <c r="L13"/>
  <c r="K13"/>
  <c r="Z13" s="1"/>
  <c r="G13"/>
  <c r="AB13" s="1"/>
  <c r="V18"/>
  <c r="L18"/>
  <c r="K18"/>
  <c r="Z18" s="1"/>
  <c r="G18"/>
  <c r="AB18" s="1"/>
  <c r="V9"/>
  <c r="L9"/>
  <c r="K9"/>
  <c r="G9"/>
  <c r="M9" s="1"/>
  <c r="L23" l="1"/>
  <c r="V23"/>
  <c r="K23"/>
  <c r="Z9"/>
  <c r="Z23" s="1"/>
  <c r="AB14"/>
  <c r="AC14" s="1"/>
  <c r="N14"/>
  <c r="AA14"/>
  <c r="AB9"/>
  <c r="M13"/>
  <c r="N13" s="1"/>
  <c r="AC18"/>
  <c r="P18"/>
  <c r="O18"/>
  <c r="AA18"/>
  <c r="P13"/>
  <c r="AC13"/>
  <c r="AA13"/>
  <c r="O13"/>
  <c r="N9"/>
  <c r="M18"/>
  <c r="N18" s="1"/>
  <c r="AB23" l="1"/>
  <c r="AD18"/>
  <c r="AD13"/>
  <c r="AD14"/>
  <c r="Q18"/>
  <c r="Q13"/>
  <c r="U13" s="1"/>
  <c r="X13" s="1"/>
  <c r="Q9"/>
  <c r="Q14"/>
  <c r="M23"/>
  <c r="N23"/>
  <c r="P14"/>
  <c r="AA9"/>
  <c r="AA23" s="1"/>
  <c r="O9"/>
  <c r="O23" s="1"/>
  <c r="AC9"/>
  <c r="AC23" s="1"/>
  <c r="P9"/>
  <c r="P23" s="1"/>
  <c r="Q23" l="1"/>
  <c r="AD9"/>
  <c r="AD23" s="1"/>
  <c r="U14"/>
  <c r="X14" s="1"/>
  <c r="U18"/>
  <c r="T9"/>
  <c r="T23" l="1"/>
  <c r="X18"/>
  <c r="K5" i="42" s="1"/>
  <c r="U9" i="28"/>
  <c r="U23" s="1"/>
  <c r="L5" i="42" l="1"/>
  <c r="M5" s="1"/>
  <c r="K11"/>
  <c r="X9" i="28"/>
  <c r="L11" i="42" l="1"/>
  <c r="X23" i="28"/>
  <c r="N11" i="32" l="1"/>
  <c r="Q9"/>
  <c r="Q11" s="1"/>
  <c r="T9" l="1"/>
  <c r="U9" l="1"/>
  <c r="X9" s="1"/>
  <c r="T11"/>
  <c r="U11" l="1"/>
  <c r="X11"/>
  <c r="Q9" i="34"/>
  <c r="T9" s="1"/>
  <c r="U9" s="1"/>
  <c r="X9" s="1"/>
  <c r="Q12" l="1"/>
  <c r="T12" s="1"/>
  <c r="U12" s="1"/>
  <c r="X12" s="1"/>
  <c r="N14"/>
  <c r="Q10"/>
  <c r="T10" s="1"/>
  <c r="U10" s="1"/>
  <c r="X10" s="1"/>
  <c r="Q11"/>
  <c r="T11" s="1"/>
  <c r="U11" s="1"/>
  <c r="X11" s="1"/>
  <c r="Q14" l="1"/>
  <c r="T14" l="1"/>
  <c r="X14"/>
  <c r="U14"/>
  <c r="Q9" i="35"/>
  <c r="T9" l="1"/>
  <c r="U9" s="1"/>
  <c r="X9" l="1"/>
  <c r="Q13"/>
  <c r="T13" s="1"/>
  <c r="U13" s="1"/>
  <c r="X13" s="1"/>
  <c r="Q14"/>
  <c r="T14" s="1"/>
  <c r="U14" s="1"/>
  <c r="X14" s="1"/>
  <c r="Q11"/>
  <c r="T11" s="1"/>
  <c r="U11" s="1"/>
  <c r="X11" s="1"/>
  <c r="Q10"/>
  <c r="Q12"/>
  <c r="T12" s="1"/>
  <c r="U12" s="1"/>
  <c r="X12" s="1"/>
  <c r="Q16" l="1"/>
  <c r="AD16"/>
  <c r="K12" i="42" s="1"/>
  <c r="T10" i="35"/>
  <c r="T16" s="1"/>
  <c r="L12" i="42" l="1"/>
  <c r="M12" s="1"/>
  <c r="U10" i="35"/>
  <c r="X10" l="1"/>
  <c r="X16" s="1"/>
  <c r="U16"/>
  <c r="Q17"/>
  <c r="T17" l="1"/>
  <c r="U17" l="1"/>
  <c r="X17" l="1"/>
  <c r="Q18"/>
  <c r="Q20" s="1"/>
  <c r="T18" l="1"/>
  <c r="T20" s="1"/>
  <c r="U18" l="1"/>
  <c r="Q9" i="37"/>
  <c r="X18" i="35" l="1"/>
  <c r="U20"/>
  <c r="T9" i="37"/>
  <c r="AD20" i="35" l="1"/>
  <c r="K13" i="42" s="1"/>
  <c r="X20" i="35"/>
  <c r="U9" i="37"/>
  <c r="X9" l="1"/>
  <c r="L13" i="42"/>
  <c r="K15"/>
  <c r="K28" s="1"/>
  <c r="Q12" i="37"/>
  <c r="T12" s="1"/>
  <c r="U12" s="1"/>
  <c r="X12" s="1"/>
  <c r="Q11"/>
  <c r="T11" s="1"/>
  <c r="U11" s="1"/>
  <c r="X11" s="1"/>
  <c r="Q13"/>
  <c r="T13" s="1"/>
  <c r="U13" s="1"/>
  <c r="X13" s="1"/>
  <c r="Q10"/>
  <c r="Q15" l="1"/>
  <c r="L15" i="42"/>
  <c r="L28" s="1"/>
  <c r="M13"/>
  <c r="T10" i="37"/>
  <c r="T15" s="1"/>
  <c r="U10" l="1"/>
  <c r="X10" l="1"/>
  <c r="X15" s="1"/>
  <c r="U15"/>
  <c r="Q16"/>
  <c r="T16" l="1"/>
  <c r="U16" l="1"/>
  <c r="X16" l="1"/>
  <c r="Q18"/>
  <c r="T18" s="1"/>
  <c r="U18" s="1"/>
  <c r="X18" s="1"/>
  <c r="Q17"/>
  <c r="Q20" l="1"/>
  <c r="T17"/>
  <c r="T20" s="1"/>
  <c r="U17" l="1"/>
  <c r="Q9" i="39"/>
  <c r="X17" i="37" l="1"/>
  <c r="X20" s="1"/>
  <c r="U20"/>
  <c r="T9" i="39"/>
  <c r="U9" l="1"/>
  <c r="X9" l="1"/>
  <c r="Q12"/>
  <c r="T12" s="1"/>
  <c r="U12" s="1"/>
  <c r="X12" s="1"/>
  <c r="Q11"/>
  <c r="T11" s="1"/>
  <c r="U11" s="1"/>
  <c r="X11" s="1"/>
  <c r="Q10"/>
  <c r="Q14" l="1"/>
  <c r="T10"/>
  <c r="T14" s="1"/>
  <c r="U10" l="1"/>
  <c r="Q9" i="40"/>
  <c r="X10" i="39" l="1"/>
  <c r="X14" s="1"/>
  <c r="U14"/>
  <c r="T9" i="40"/>
  <c r="U9" l="1"/>
  <c r="X9" s="1"/>
  <c r="N12" l="1"/>
  <c r="Q10"/>
  <c r="Q12" s="1"/>
  <c r="T10" l="1"/>
  <c r="U10" l="1"/>
  <c r="X10" s="1"/>
  <c r="T12"/>
  <c r="U12" l="1"/>
  <c r="X12"/>
</calcChain>
</file>

<file path=xl/sharedStrings.xml><?xml version="1.0" encoding="utf-8"?>
<sst xmlns="http://schemas.openxmlformats.org/spreadsheetml/2006/main" count="727" uniqueCount="233">
  <si>
    <t>Sl. No.</t>
  </si>
  <si>
    <t>Name</t>
  </si>
  <si>
    <t>Designation</t>
  </si>
  <si>
    <t>Basic</t>
  </si>
  <si>
    <t>Other Allowance</t>
  </si>
  <si>
    <t>Gross 
Salary</t>
  </si>
  <si>
    <t>Days in the Month</t>
  </si>
  <si>
    <t>Payable Days</t>
  </si>
  <si>
    <t>Earned Basic</t>
  </si>
  <si>
    <t>Gross Salary Payable</t>
  </si>
  <si>
    <t>PF Wages</t>
  </si>
  <si>
    <t>Employer's PF Contribution</t>
  </si>
  <si>
    <t>ESI Wages</t>
  </si>
  <si>
    <t>Employer's ESI Contribution</t>
  </si>
  <si>
    <t>Provident Fund</t>
  </si>
  <si>
    <t>ESI</t>
  </si>
  <si>
    <t>Professional Tax</t>
  </si>
  <si>
    <t>Advance Adjustment</t>
  </si>
  <si>
    <t>Miscellaneous Deduction</t>
  </si>
  <si>
    <t>Total 
Deduction</t>
  </si>
  <si>
    <t>Net Salary Payable</t>
  </si>
  <si>
    <t>Bonus</t>
  </si>
  <si>
    <t>Total Payable</t>
  </si>
  <si>
    <t>Signature</t>
  </si>
  <si>
    <t>Security Guard</t>
  </si>
  <si>
    <t>Earned Other Allowance</t>
  </si>
  <si>
    <t>Security Supervisor</t>
  </si>
  <si>
    <t>Security Officer</t>
  </si>
  <si>
    <t>Housekeeper</t>
  </si>
  <si>
    <t>Electrician</t>
  </si>
  <si>
    <t>Receptionist</t>
  </si>
  <si>
    <t xml:space="preserve">Description </t>
  </si>
  <si>
    <t>Housekeeper Semi Skilled</t>
  </si>
  <si>
    <t>Duty Hrs =&gt;</t>
  </si>
  <si>
    <t>12 Hrs</t>
  </si>
  <si>
    <t>8 Hrs</t>
  </si>
  <si>
    <t>Gross Salary</t>
  </si>
  <si>
    <t>Employer's Contribution Towards:-</t>
  </si>
  <si>
    <t>PF @ 13.36% on Total</t>
  </si>
  <si>
    <t>Sub Total A</t>
  </si>
  <si>
    <t>Total Head Count</t>
  </si>
  <si>
    <t>ID Card No.</t>
  </si>
  <si>
    <t>Agency</t>
  </si>
  <si>
    <t>Company</t>
  </si>
  <si>
    <t>Site Name</t>
  </si>
  <si>
    <t>Total</t>
  </si>
  <si>
    <t>Remarks</t>
  </si>
  <si>
    <t>Extra Duty</t>
  </si>
  <si>
    <t>Washing Allowance</t>
  </si>
  <si>
    <t>Integrated Security Service</t>
  </si>
  <si>
    <t>Primarc Projects Pvt Ltd</t>
  </si>
  <si>
    <t>Primarc Riya Projects LLP</t>
  </si>
  <si>
    <t>Aura</t>
  </si>
  <si>
    <t>PGE Homes LLP</t>
  </si>
  <si>
    <t>Gangetica</t>
  </si>
  <si>
    <t>-</t>
  </si>
  <si>
    <t>Bablu Mitra</t>
  </si>
  <si>
    <t>Prosanto Choudhury</t>
  </si>
  <si>
    <t>Amit Mallik</t>
  </si>
  <si>
    <t>Sanjit Mondal</t>
  </si>
  <si>
    <t>Pulak Guha</t>
  </si>
  <si>
    <t>Lalu Oran</t>
  </si>
  <si>
    <t>Haru Das</t>
  </si>
  <si>
    <t>Amit Gayan</t>
  </si>
  <si>
    <t>Ranjit Mondal</t>
  </si>
  <si>
    <t>Arpan Basu</t>
  </si>
  <si>
    <t>HO</t>
  </si>
  <si>
    <t>Debashis Ghosh</t>
  </si>
  <si>
    <t>Ajay Sadhukhan</t>
  </si>
  <si>
    <t>Khokan Mal</t>
  </si>
  <si>
    <t>Uniform Charges</t>
  </si>
  <si>
    <t>Wages Rates :- 1st January, 2017 to 30th June, 2017</t>
  </si>
  <si>
    <t>Collection Boy (Southwinds)</t>
  </si>
  <si>
    <t xml:space="preserve">Other Allowance </t>
  </si>
  <si>
    <t>Extra Duty in case of 10 hrs. /12 hrs. duty</t>
  </si>
  <si>
    <t>ESIC @ 4.75 % (on Gross Salary)</t>
  </si>
  <si>
    <t>Bonus on MW/-</t>
  </si>
  <si>
    <t xml:space="preserve">Operational Charges @ 7% </t>
  </si>
  <si>
    <t>Total Cost for the Company (for 26 days )</t>
  </si>
  <si>
    <t>Kamaluddin Khan</t>
  </si>
  <si>
    <t>Extra Duty Allowance</t>
  </si>
  <si>
    <t>Outsourced Employees Details - Integrated Security Service</t>
  </si>
  <si>
    <t xml:space="preserve">Housekeeper Semi Skilled </t>
  </si>
  <si>
    <t>Electrician/ MST</t>
  </si>
  <si>
    <t>Valet Driver</t>
  </si>
  <si>
    <t>10 Hrs</t>
  </si>
  <si>
    <t>Lovelock</t>
  </si>
  <si>
    <t>Luminous Developers LLP</t>
  </si>
  <si>
    <t>Allure</t>
  </si>
  <si>
    <t>Subhas Ch. Sardar</t>
  </si>
  <si>
    <t>Swapan Das</t>
  </si>
  <si>
    <t>Sumanta Dutta</t>
  </si>
  <si>
    <t>SK Hossain</t>
  </si>
  <si>
    <t>Bablu Shit</t>
  </si>
  <si>
    <t>Srimanta Naskar</t>
  </si>
  <si>
    <t>Paritosh Shikari</t>
  </si>
  <si>
    <t>Suman Shikari</t>
  </si>
  <si>
    <t>Partha Naskar</t>
  </si>
  <si>
    <t xml:space="preserve">Primarc Pecan </t>
  </si>
  <si>
    <t>70E, D.C. Dey Road</t>
  </si>
  <si>
    <t>Pratap Duley</t>
  </si>
  <si>
    <t>Primarc Projects Pvt. Ltd</t>
  </si>
  <si>
    <t>Primarc-Riya Projects LLP</t>
  </si>
  <si>
    <t xml:space="preserve">Primarc Pecan Retail Pvt. Ltd. </t>
  </si>
  <si>
    <t>Primarc HO</t>
  </si>
  <si>
    <t>Housekeeping</t>
  </si>
  <si>
    <t xml:space="preserve">Housekeeping Semi Skilled </t>
  </si>
  <si>
    <t xml:space="preserve">Receptionist </t>
  </si>
  <si>
    <t xml:space="preserve">Security Guard </t>
  </si>
  <si>
    <t xml:space="preserve">Security Officer </t>
  </si>
  <si>
    <t>7, Love Lock Street, Kolkata</t>
  </si>
  <si>
    <t xml:space="preserve">Gangetica, Chandannagar, Hooghly </t>
  </si>
  <si>
    <t>Aura, Mankundu</t>
  </si>
  <si>
    <t>Allura, 14 Tangra Road, Kolkata</t>
  </si>
  <si>
    <t>Warehouse, 70E, D C Dey Road, Kolkata</t>
  </si>
  <si>
    <t>Category</t>
  </si>
  <si>
    <t xml:space="preserve">Rate </t>
  </si>
  <si>
    <t>Duties</t>
  </si>
  <si>
    <t>Amount</t>
  </si>
  <si>
    <t xml:space="preserve">Client Name </t>
  </si>
  <si>
    <t>Site Name &amp; Location</t>
  </si>
  <si>
    <t>Billing Amount</t>
  </si>
  <si>
    <t>TDS</t>
  </si>
  <si>
    <t>Net Payment</t>
  </si>
  <si>
    <t>Wages Paid</t>
  </si>
  <si>
    <t>Margine</t>
  </si>
  <si>
    <t>MIS - Primarc Realty &amp; Pecan</t>
  </si>
  <si>
    <t>Head Count</t>
  </si>
  <si>
    <t>Margine per Head</t>
  </si>
  <si>
    <t>Josephine Paul</t>
  </si>
  <si>
    <t>7, Love Lock Street</t>
  </si>
  <si>
    <t>Gangetica, Chandannagar</t>
  </si>
  <si>
    <t>Site Code</t>
  </si>
  <si>
    <t>6A, Elgin Road, 2nd Floor, Kolkata - 700 020</t>
  </si>
  <si>
    <t>80A, Balaram Dey Street, Kolkata -700 006 </t>
  </si>
  <si>
    <t>Client Name :</t>
  </si>
  <si>
    <t>Client Address :</t>
  </si>
  <si>
    <t>Site Name &amp; Location :</t>
  </si>
  <si>
    <t>Anwar Hossain</t>
  </si>
  <si>
    <t>Pijush Bala</t>
  </si>
  <si>
    <t>Amul Paul</t>
  </si>
  <si>
    <t>Rakesh Mukherjee</t>
  </si>
  <si>
    <t>Sanjay Ghosh</t>
  </si>
  <si>
    <t>Robin Sen</t>
  </si>
  <si>
    <t>Mintu Das</t>
  </si>
  <si>
    <t>Sukumar Debnath</t>
  </si>
  <si>
    <t>Samiran Mallick</t>
  </si>
  <si>
    <t>Manoj Podder</t>
  </si>
  <si>
    <t>Kalipada Nandi</t>
  </si>
  <si>
    <t>Laxmi Narayan Kisku</t>
  </si>
  <si>
    <t>Prabin Kumar Mishra</t>
  </si>
  <si>
    <t>Santu Hela</t>
  </si>
  <si>
    <t>Samiran Malik</t>
  </si>
  <si>
    <t>INTEGRATED SECURITY SERVICE</t>
  </si>
  <si>
    <t>Month</t>
  </si>
  <si>
    <t>Earnings</t>
  </si>
  <si>
    <t>Deductions</t>
  </si>
  <si>
    <t>Components</t>
  </si>
  <si>
    <t>Earned</t>
  </si>
  <si>
    <t>Particulars</t>
  </si>
  <si>
    <t>HRA</t>
  </si>
  <si>
    <t>Transport Allowance</t>
  </si>
  <si>
    <t>Net payable</t>
  </si>
  <si>
    <t>Net Payable (in words)</t>
  </si>
  <si>
    <t>Primarc HO/HK/001</t>
  </si>
  <si>
    <t>Primarc HO/HK/002</t>
  </si>
  <si>
    <t>Primarc HO/HK/003</t>
  </si>
  <si>
    <t>Primarc HO/HK/004</t>
  </si>
  <si>
    <t>Primarc HO/HK/005</t>
  </si>
  <si>
    <t>Primarc HO/HK/006</t>
  </si>
  <si>
    <t>Primarc HO/HK/007</t>
  </si>
  <si>
    <t>Primarc HO/HK/008</t>
  </si>
  <si>
    <t>Primarc HO/HK/009</t>
  </si>
  <si>
    <t>Primarc HO/HK/010</t>
  </si>
  <si>
    <t>Primarc HO/HK/011</t>
  </si>
  <si>
    <t>Primarc HO/HK/012</t>
  </si>
  <si>
    <t>Primarc HO/HK/013</t>
  </si>
  <si>
    <t>Primarc HO/HK (S)/001</t>
  </si>
  <si>
    <t>Primarc HO/ Elec/001</t>
  </si>
  <si>
    <t>Lovelock/SG/001</t>
  </si>
  <si>
    <t>Lovelock/SG/002</t>
  </si>
  <si>
    <t>Lovelock/SG/003</t>
  </si>
  <si>
    <t>Lovelock/SG/004</t>
  </si>
  <si>
    <t>Primarc HO/ Recept/ 001</t>
  </si>
  <si>
    <t>Gangetica/SG/001</t>
  </si>
  <si>
    <t>Gangetica/SG/002</t>
  </si>
  <si>
    <t>Gangetica/SG/003</t>
  </si>
  <si>
    <t>Gangetica/SG/004</t>
  </si>
  <si>
    <t>Gangetica/SG/005</t>
  </si>
  <si>
    <t>Gangetica/SG/006</t>
  </si>
  <si>
    <t>Gangetica/HK/001</t>
  </si>
  <si>
    <t>Gangetica/HK/002</t>
  </si>
  <si>
    <t>Aura/SG/001</t>
  </si>
  <si>
    <t>Aura/SG/002</t>
  </si>
  <si>
    <t>Aura/SG/003</t>
  </si>
  <si>
    <t>Aura/SG/004</t>
  </si>
  <si>
    <t>Aura/SG/005</t>
  </si>
  <si>
    <t>Aura/HK/001</t>
  </si>
  <si>
    <t>Aura/HK/002</t>
  </si>
  <si>
    <t>Aura/HK/003</t>
  </si>
  <si>
    <t>Allure/SG/001</t>
  </si>
  <si>
    <t>Allure/SG/002</t>
  </si>
  <si>
    <t>Allure/SG/003</t>
  </si>
  <si>
    <t>Allure/SG/004</t>
  </si>
  <si>
    <t>Pecan/HK/001</t>
  </si>
  <si>
    <t>Pecan/HK/002</t>
  </si>
  <si>
    <t>Pecan/HK/003</t>
  </si>
  <si>
    <t>Pecan/HK/004</t>
  </si>
  <si>
    <t>Pecan/SG/001</t>
  </si>
  <si>
    <t>Pecan/SG/002</t>
  </si>
  <si>
    <t>ID No.</t>
  </si>
  <si>
    <t xml:space="preserve">Client Address </t>
  </si>
  <si>
    <t xml:space="preserve">Site Name &amp; Location </t>
  </si>
  <si>
    <t>Scale</t>
  </si>
  <si>
    <t>Total Earnings</t>
  </si>
  <si>
    <t xml:space="preserve">Total Deduction </t>
  </si>
  <si>
    <t>Remarks :</t>
  </si>
  <si>
    <t>For INTEGRATED SECURITY SERVICE</t>
  </si>
  <si>
    <t>Authorized Signatory</t>
  </si>
  <si>
    <t>Warehouse, 70E, D C Dey Road, Tangra, Kolkata - 700015</t>
  </si>
  <si>
    <t>Love Lock St.</t>
  </si>
  <si>
    <t>Allura</t>
  </si>
  <si>
    <t>Sl. NO.</t>
  </si>
  <si>
    <t>Pecan</t>
  </si>
  <si>
    <t>Primarc Pecan Retail Private Limited</t>
  </si>
  <si>
    <t>210, Building #2B, Sanjay Mittal Industrial Estate, Above Cafe Coffee Day, Andheri-Kurla Road, Marol Naka, Andheri (East), Mumbai – 400059, Maharashtra.</t>
  </si>
  <si>
    <t>Housekeeping - Semi Skilled</t>
  </si>
  <si>
    <t>Narayan Dey</t>
  </si>
  <si>
    <t>Housekeeping - Reliver</t>
  </si>
  <si>
    <t>Security Guard - Reliver</t>
  </si>
  <si>
    <t>Cheque No. -355537</t>
  </si>
  <si>
    <t>Cheque No. -355536</t>
  </si>
  <si>
    <t>Cheque No. -355535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</si>
</sst>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_ * #,##0_ ;_ * \-#,##0_ ;_ * &quot;-&quot;_ ;_ @_ "/>
    <numFmt numFmtId="165" formatCode="_ * #,##0.00_ ;_ * \-#,##0.00_ ;_ * &quot;-&quot;??_ ;_ @_ "/>
    <numFmt numFmtId="166" formatCode="_ * #,##0.0000_ ;_ * \-#,##0.0000_ ;_ * &quot;-&quot;??_ ;_ @_ "/>
    <numFmt numFmtId="167" formatCode="_ * #,##0_ ;_ * \-#,##0_ ;_ * &quot;-&quot;??_ ;_ @_ "/>
    <numFmt numFmtId="168" formatCode="_(* #,##0_);_(* \(#,##0\);_(* &quot;-&quot;??_);_(@_)"/>
    <numFmt numFmtId="169" formatCode="_ &quot;₹&quot;\ * #,##0.00_ ;_ &quot;₹&quot;\ * \-#,##0.00_ ;_ &quot;₹&quot;\ * &quot;-&quot;??_ ;_ @_ "/>
    <numFmt numFmtId="170" formatCode="[$Rs.-4009]\ #,##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mbria"/>
      <family val="1"/>
      <scheme val="major"/>
    </font>
    <font>
      <sz val="10"/>
      <name val="Arial"/>
      <family val="2"/>
    </font>
    <font>
      <sz val="10"/>
      <color indexed="16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u/>
      <sz val="10"/>
      <color indexed="16"/>
      <name val="Verdana"/>
      <family val="2"/>
    </font>
    <font>
      <sz val="10"/>
      <color theme="1"/>
      <name val="Verdana"/>
      <family val="2"/>
    </font>
    <font>
      <sz val="11"/>
      <color indexed="8"/>
      <name val="Calibri"/>
      <family val="2"/>
    </font>
    <font>
      <b/>
      <sz val="9"/>
      <color theme="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0"/>
      <name val="Calibri"/>
      <family val="2"/>
      <scheme val="minor"/>
    </font>
    <font>
      <sz val="20"/>
      <color theme="1"/>
      <name val="Algerian"/>
      <family val="5"/>
    </font>
    <font>
      <b/>
      <u/>
      <sz val="16"/>
      <name val="Cambria"/>
      <family val="1"/>
      <scheme val="major"/>
    </font>
    <font>
      <b/>
      <sz val="9"/>
      <color rgb="FFFFFFFF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name val="Verdana"/>
      <family val="2"/>
    </font>
    <font>
      <b/>
      <sz val="12"/>
      <color theme="1"/>
      <name val="Trebuchet MS"/>
      <family val="2"/>
    </font>
    <font>
      <b/>
      <u/>
      <sz val="14"/>
      <color theme="1"/>
      <name val="Trebuchet MS"/>
      <family val="2"/>
    </font>
    <font>
      <b/>
      <sz val="1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Trebuchet MS"/>
      <family val="2"/>
    </font>
    <font>
      <b/>
      <sz val="20"/>
      <color theme="1"/>
      <name val="Algerian"/>
      <family val="5"/>
    </font>
    <font>
      <b/>
      <sz val="11"/>
      <color theme="1"/>
      <name val="Trebuchet MS"/>
      <family val="2"/>
    </font>
    <font>
      <sz val="8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B4E87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165" fontId="5" fillId="0" borderId="0" applyFont="0" applyFill="0" applyBorder="0" applyAlignment="0" applyProtection="0"/>
    <xf numFmtId="0" fontId="13" fillId="0" borderId="0"/>
    <xf numFmtId="165" fontId="5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5" fillId="0" borderId="0" applyFont="0" applyFill="0" applyBorder="0" applyAlignment="0" applyProtection="0"/>
  </cellStyleXfs>
  <cellXfs count="23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2" borderId="0" xfId="0" applyFill="1"/>
    <xf numFmtId="164" fontId="9" fillId="2" borderId="1" xfId="0" applyNumberFormat="1" applyFont="1" applyFill="1" applyBorder="1" applyAlignment="1">
      <alignment vertical="center"/>
    </xf>
    <xf numFmtId="164" fontId="6" fillId="3" borderId="1" xfId="1" applyNumberFormat="1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64" fontId="10" fillId="4" borderId="1" xfId="1" applyNumberFormat="1" applyFont="1" applyFill="1" applyBorder="1" applyAlignment="1">
      <alignment horizontal="center" vertical="center"/>
    </xf>
    <xf numFmtId="164" fontId="8" fillId="2" borderId="1" xfId="1" applyNumberFormat="1" applyFont="1" applyFill="1" applyBorder="1" applyAlignment="1">
      <alignment horizontal="center" vertical="center"/>
    </xf>
    <xf numFmtId="164" fontId="8" fillId="0" borderId="1" xfId="1" applyNumberFormat="1" applyFont="1" applyFill="1" applyBorder="1" applyAlignment="1">
      <alignment horizontal="center" vertical="center"/>
    </xf>
    <xf numFmtId="164" fontId="6" fillId="5" borderId="1" xfId="1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165" fontId="6" fillId="7" borderId="1" xfId="1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left" vertical="center" wrapText="1"/>
    </xf>
    <xf numFmtId="164" fontId="11" fillId="7" borderId="1" xfId="0" applyNumberFormat="1" applyFont="1" applyFill="1" applyBorder="1" applyAlignment="1">
      <alignment vertical="center"/>
    </xf>
    <xf numFmtId="0" fontId="7" fillId="6" borderId="1" xfId="2" applyFont="1" applyFill="1" applyBorder="1" applyAlignment="1">
      <alignment horizontal="center" vertical="center"/>
    </xf>
    <xf numFmtId="0" fontId="7" fillId="6" borderId="1" xfId="2" applyFont="1" applyFill="1" applyBorder="1" applyAlignment="1">
      <alignment horizontal="center" vertical="center" wrapText="1"/>
    </xf>
    <xf numFmtId="0" fontId="9" fillId="2" borderId="0" xfId="0" applyFont="1" applyFill="1"/>
    <xf numFmtId="0" fontId="14" fillId="8" borderId="1" xfId="0" applyFont="1" applyFill="1" applyBorder="1" applyAlignment="1">
      <alignment horizontal="left" vertical="center" wrapText="1"/>
    </xf>
    <xf numFmtId="164" fontId="15" fillId="2" borderId="1" xfId="1" applyNumberFormat="1" applyFont="1" applyFill="1" applyBorder="1" applyAlignment="1">
      <alignment horizontal="right"/>
    </xf>
    <xf numFmtId="164" fontId="15" fillId="2" borderId="1" xfId="1" applyNumberFormat="1" applyFont="1" applyFill="1" applyBorder="1" applyAlignment="1">
      <alignment horizontal="center" vertical="center"/>
    </xf>
    <xf numFmtId="164" fontId="15" fillId="2" borderId="1" xfId="1" applyNumberFormat="1" applyFont="1" applyFill="1" applyBorder="1" applyAlignment="1">
      <alignment horizontal="right" vertical="center"/>
    </xf>
    <xf numFmtId="0" fontId="15" fillId="2" borderId="1" xfId="2" applyFont="1" applyFill="1" applyBorder="1" applyAlignment="1">
      <alignment horizontal="left"/>
    </xf>
    <xf numFmtId="0" fontId="17" fillId="8" borderId="1" xfId="0" applyFont="1" applyFill="1" applyBorder="1" applyAlignment="1">
      <alignment horizontal="left" vertical="center" wrapText="1"/>
    </xf>
    <xf numFmtId="164" fontId="16" fillId="2" borderId="1" xfId="1" applyNumberFormat="1" applyFont="1" applyFill="1" applyBorder="1" applyAlignment="1">
      <alignment horizontal="right"/>
    </xf>
    <xf numFmtId="164" fontId="18" fillId="2" borderId="1" xfId="0" applyNumberFormat="1" applyFont="1" applyFill="1" applyBorder="1"/>
    <xf numFmtId="166" fontId="0" fillId="2" borderId="0" xfId="0" applyNumberFormat="1" applyFill="1"/>
    <xf numFmtId="0" fontId="0" fillId="2" borderId="0" xfId="0" applyFill="1"/>
    <xf numFmtId="0" fontId="20" fillId="6" borderId="1" xfId="0" applyFont="1" applyFill="1" applyBorder="1" applyAlignment="1">
      <alignment horizontal="center" vertical="center" wrapText="1"/>
    </xf>
    <xf numFmtId="164" fontId="22" fillId="7" borderId="1" xfId="0" applyNumberFormat="1" applyFont="1" applyFill="1" applyBorder="1" applyAlignment="1">
      <alignment horizontal="center" vertical="center"/>
    </xf>
    <xf numFmtId="164" fontId="3" fillId="2" borderId="1" xfId="2" applyNumberFormat="1" applyFont="1" applyFill="1" applyBorder="1" applyAlignment="1">
      <alignment horizontal="left" vertical="center" wrapText="1"/>
    </xf>
    <xf numFmtId="164" fontId="3" fillId="2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wrapText="1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164" fontId="21" fillId="2" borderId="1" xfId="0" applyNumberFormat="1" applyFont="1" applyFill="1" applyBorder="1" applyAlignment="1">
      <alignment horizontal="center" vertical="center"/>
    </xf>
    <xf numFmtId="164" fontId="21" fillId="2" borderId="1" xfId="0" applyNumberFormat="1" applyFont="1" applyFill="1" applyBorder="1" applyAlignment="1">
      <alignment horizontal="left" vertical="center" wrapText="1"/>
    </xf>
    <xf numFmtId="164" fontId="21" fillId="2" borderId="1" xfId="0" applyNumberFormat="1" applyFont="1" applyFill="1" applyBorder="1" applyAlignment="1">
      <alignment horizontal="left" vertical="center"/>
    </xf>
    <xf numFmtId="1" fontId="24" fillId="2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left" vertical="center" wrapText="1"/>
    </xf>
    <xf numFmtId="164" fontId="25" fillId="4" borderId="1" xfId="1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43" fontId="0" fillId="2" borderId="0" xfId="0" applyNumberFormat="1" applyFill="1"/>
    <xf numFmtId="0" fontId="16" fillId="9" borderId="1" xfId="2" applyFont="1" applyFill="1" applyBorder="1" applyAlignment="1"/>
    <xf numFmtId="164" fontId="16" fillId="9" borderId="1" xfId="1" applyNumberFormat="1" applyFont="1" applyFill="1" applyBorder="1" applyAlignment="1">
      <alignment horizontal="right"/>
    </xf>
    <xf numFmtId="0" fontId="16" fillId="9" borderId="1" xfId="2" applyFont="1" applyFill="1" applyBorder="1" applyAlignment="1">
      <alignment horizontal="left" vertical="center" wrapText="1"/>
    </xf>
    <xf numFmtId="164" fontId="16" fillId="9" borderId="1" xfId="1" applyNumberFormat="1" applyFont="1" applyFill="1" applyBorder="1" applyAlignment="1">
      <alignment horizontal="right" vertical="center"/>
    </xf>
    <xf numFmtId="167" fontId="15" fillId="2" borderId="1" xfId="1" applyNumberFormat="1" applyFont="1" applyFill="1" applyBorder="1" applyAlignment="1">
      <alignment horizontal="right"/>
    </xf>
    <xf numFmtId="165" fontId="16" fillId="9" borderId="1" xfId="1" applyNumberFormat="1" applyFont="1" applyFill="1" applyBorder="1" applyAlignment="1">
      <alignment horizontal="right" vertical="center"/>
    </xf>
    <xf numFmtId="164" fontId="0" fillId="2" borderId="0" xfId="0" applyNumberFormat="1" applyFill="1"/>
    <xf numFmtId="0" fontId="11" fillId="7" borderId="1" xfId="0" applyFont="1" applyFill="1" applyBorder="1" applyAlignment="1">
      <alignment horizontal="center" vertical="center"/>
    </xf>
    <xf numFmtId="0" fontId="0" fillId="2" borderId="1" xfId="0" applyFill="1" applyBorder="1"/>
    <xf numFmtId="164" fontId="2" fillId="2" borderId="1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 wrapText="1"/>
    </xf>
    <xf numFmtId="1" fontId="4" fillId="2" borderId="3" xfId="0" applyNumberFormat="1" applyFont="1" applyFill="1" applyBorder="1" applyAlignment="1">
      <alignment horizontal="center" vertical="center" wrapText="1"/>
    </xf>
    <xf numFmtId="164" fontId="22" fillId="9" borderId="1" xfId="0" applyNumberFormat="1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vertical="center"/>
    </xf>
    <xf numFmtId="164" fontId="28" fillId="3" borderId="1" xfId="1" applyNumberFormat="1" applyFont="1" applyFill="1" applyBorder="1" applyAlignment="1">
      <alignment horizontal="center" vertical="center"/>
    </xf>
    <xf numFmtId="165" fontId="28" fillId="7" borderId="1" xfId="1" applyNumberFormat="1" applyFont="1" applyFill="1" applyBorder="1" applyAlignment="1">
      <alignment horizontal="center" vertical="center"/>
    </xf>
    <xf numFmtId="164" fontId="7" fillId="4" borderId="1" xfId="1" applyNumberFormat="1" applyFont="1" applyFill="1" applyBorder="1" applyAlignment="1">
      <alignment horizontal="center" vertical="center"/>
    </xf>
    <xf numFmtId="164" fontId="3" fillId="0" borderId="1" xfId="1" applyNumberFormat="1" applyFont="1" applyFill="1" applyBorder="1" applyAlignment="1">
      <alignment horizontal="center" vertical="center"/>
    </xf>
    <xf numFmtId="164" fontId="28" fillId="5" borderId="1" xfId="1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vertical="center"/>
    </xf>
    <xf numFmtId="164" fontId="23" fillId="4" borderId="1" xfId="1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167" fontId="6" fillId="7" borderId="1" xfId="1" applyNumberFormat="1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/>
    <xf numFmtId="0" fontId="0" fillId="2" borderId="0" xfId="0" applyFill="1" applyAlignment="1">
      <alignment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NumberFormat="1" applyFont="1" applyFill="1" applyBorder="1" applyAlignment="1">
      <alignment horizontal="center" vertical="center" wrapText="1"/>
    </xf>
    <xf numFmtId="4" fontId="10" fillId="6" borderId="1" xfId="1" applyNumberFormat="1" applyFont="1" applyFill="1" applyBorder="1" applyAlignment="1">
      <alignment horizontal="center" vertical="center" wrapText="1"/>
    </xf>
    <xf numFmtId="3" fontId="10" fillId="6" borderId="1" xfId="1" applyNumberFormat="1" applyFont="1" applyFill="1" applyBorder="1" applyAlignment="1">
      <alignment horizontal="center" vertical="center" wrapText="1"/>
    </xf>
    <xf numFmtId="43" fontId="10" fillId="6" borderId="1" xfId="0" applyNumberFormat="1" applyFont="1" applyFill="1" applyBorder="1" applyAlignment="1">
      <alignment horizontal="center" vertical="center" wrapText="1"/>
    </xf>
    <xf numFmtId="164" fontId="23" fillId="4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4" fillId="2" borderId="0" xfId="0" applyFont="1" applyFill="1"/>
    <xf numFmtId="0" fontId="2" fillId="2" borderId="1" xfId="0" applyFont="1" applyFill="1" applyBorder="1"/>
    <xf numFmtId="0" fontId="7" fillId="4" borderId="1" xfId="0" applyFont="1" applyFill="1" applyBorder="1"/>
    <xf numFmtId="0" fontId="1" fillId="2" borderId="0" xfId="0" applyFont="1" applyFill="1"/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4" borderId="1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164" fontId="10" fillId="4" borderId="1" xfId="0" applyNumberFormat="1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164" fontId="1" fillId="7" borderId="1" xfId="0" applyNumberFormat="1" applyFont="1" applyFill="1" applyBorder="1" applyAlignment="1">
      <alignment vertical="center"/>
    </xf>
    <xf numFmtId="168" fontId="31" fillId="10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43" fontId="2" fillId="2" borderId="1" xfId="0" applyNumberFormat="1" applyFont="1" applyFill="1" applyBorder="1" applyAlignment="1">
      <alignment vertical="center"/>
    </xf>
    <xf numFmtId="43" fontId="2" fillId="2" borderId="1" xfId="0" applyNumberFormat="1" applyFont="1" applyFill="1" applyBorder="1" applyAlignment="1">
      <alignment horizontal="center" vertical="center"/>
    </xf>
    <xf numFmtId="43" fontId="4" fillId="2" borderId="1" xfId="0" applyNumberFormat="1" applyFont="1" applyFill="1" applyBorder="1" applyAlignment="1">
      <alignment horizontal="center" vertical="center"/>
    </xf>
    <xf numFmtId="168" fontId="4" fillId="9" borderId="1" xfId="0" applyNumberFormat="1" applyFont="1" applyFill="1" applyBorder="1" applyAlignment="1">
      <alignment horizontal="center" vertical="center"/>
    </xf>
    <xf numFmtId="168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/>
    <xf numFmtId="168" fontId="4" fillId="9" borderId="1" xfId="0" applyNumberFormat="1" applyFont="1" applyFill="1" applyBorder="1"/>
    <xf numFmtId="168" fontId="2" fillId="2" borderId="1" xfId="0" applyNumberFormat="1" applyFont="1" applyFill="1" applyBorder="1"/>
    <xf numFmtId="43" fontId="2" fillId="2" borderId="1" xfId="0" applyNumberFormat="1" applyFont="1" applyFill="1" applyBorder="1"/>
    <xf numFmtId="0" fontId="32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vertical="center" wrapText="1"/>
    </xf>
    <xf numFmtId="0" fontId="32" fillId="4" borderId="1" xfId="0" applyFont="1" applyFill="1" applyBorder="1" applyAlignment="1">
      <alignment vertical="center"/>
    </xf>
    <xf numFmtId="0" fontId="32" fillId="4" borderId="1" xfId="0" applyFont="1" applyFill="1" applyBorder="1"/>
    <xf numFmtId="168" fontId="7" fillId="4" borderId="1" xfId="0" applyNumberFormat="1" applyFont="1" applyFill="1" applyBorder="1" applyAlignment="1">
      <alignment horizontal="center" vertical="center"/>
    </xf>
    <xf numFmtId="43" fontId="7" fillId="4" borderId="1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4" fillId="2" borderId="0" xfId="0" applyFont="1" applyFill="1"/>
    <xf numFmtId="43" fontId="2" fillId="2" borderId="0" xfId="0" applyNumberFormat="1" applyFont="1" applyFill="1"/>
    <xf numFmtId="43" fontId="4" fillId="9" borderId="1" xfId="0" applyNumberFormat="1" applyFont="1" applyFill="1" applyBorder="1"/>
    <xf numFmtId="14" fontId="0" fillId="2" borderId="0" xfId="0" applyNumberFormat="1" applyFill="1"/>
    <xf numFmtId="0" fontId="33" fillId="2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9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0" fillId="2" borderId="0" xfId="0" applyFill="1" applyAlignment="1">
      <alignment horizontal="left" vertical="center" wrapText="1"/>
    </xf>
    <xf numFmtId="1" fontId="2" fillId="2" borderId="1" xfId="0" applyNumberFormat="1" applyFont="1" applyFill="1" applyBorder="1" applyAlignment="1">
      <alignment horizontal="left" vertical="center" wrapText="1"/>
    </xf>
    <xf numFmtId="0" fontId="11" fillId="7" borderId="1" xfId="0" applyFont="1" applyFill="1" applyBorder="1" applyAlignment="1">
      <alignment horizontal="left" vertical="center"/>
    </xf>
    <xf numFmtId="0" fontId="0" fillId="2" borderId="0" xfId="0" applyFill="1" applyBorder="1"/>
    <xf numFmtId="0" fontId="37" fillId="2" borderId="0" xfId="0" applyFont="1" applyFill="1" applyBorder="1"/>
    <xf numFmtId="164" fontId="38" fillId="2" borderId="1" xfId="0" applyNumberFormat="1" applyFont="1" applyFill="1" applyBorder="1" applyAlignment="1">
      <alignment horizontal="center" vertical="center"/>
    </xf>
    <xf numFmtId="1" fontId="38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left" vertical="center"/>
    </xf>
    <xf numFmtId="0" fontId="37" fillId="2" borderId="0" xfId="0" applyFont="1" applyFill="1" applyBorder="1" applyAlignment="1">
      <alignment vertical="center"/>
    </xf>
    <xf numFmtId="0" fontId="37" fillId="2" borderId="7" xfId="0" applyFont="1" applyFill="1" applyBorder="1" applyAlignment="1">
      <alignment vertical="center"/>
    </xf>
    <xf numFmtId="0" fontId="37" fillId="2" borderId="7" xfId="0" applyFont="1" applyFill="1" applyBorder="1"/>
    <xf numFmtId="0" fontId="37" fillId="2" borderId="5" xfId="0" applyFont="1" applyFill="1" applyBorder="1"/>
    <xf numFmtId="164" fontId="37" fillId="2" borderId="7" xfId="0" applyNumberFormat="1" applyFont="1" applyFill="1" applyBorder="1"/>
    <xf numFmtId="164" fontId="37" fillId="2" borderId="8" xfId="0" applyNumberFormat="1" applyFont="1" applyFill="1" applyBorder="1"/>
    <xf numFmtId="164" fontId="37" fillId="2" borderId="0" xfId="0" applyNumberFormat="1" applyFont="1" applyFill="1" applyBorder="1"/>
    <xf numFmtId="164" fontId="37" fillId="2" borderId="10" xfId="0" applyNumberFormat="1" applyFont="1" applyFill="1" applyBorder="1"/>
    <xf numFmtId="0" fontId="37" fillId="2" borderId="6" xfId="0" applyFont="1" applyFill="1" applyBorder="1" applyAlignment="1">
      <alignment horizontal="left" vertical="center"/>
    </xf>
    <xf numFmtId="0" fontId="37" fillId="2" borderId="9" xfId="0" applyFont="1" applyFill="1" applyBorder="1" applyAlignment="1">
      <alignment horizontal="left" vertical="center"/>
    </xf>
    <xf numFmtId="170" fontId="38" fillId="2" borderId="7" xfId="0" applyNumberFormat="1" applyFont="1" applyFill="1" applyBorder="1" applyAlignment="1">
      <alignment horizontal="left" vertical="center"/>
    </xf>
    <xf numFmtId="169" fontId="38" fillId="2" borderId="7" xfId="0" applyNumberFormat="1" applyFont="1" applyFill="1" applyBorder="1" applyAlignment="1"/>
    <xf numFmtId="0" fontId="38" fillId="2" borderId="0" xfId="0" applyFont="1" applyFill="1" applyBorder="1" applyAlignment="1">
      <alignment vertical="center"/>
    </xf>
    <xf numFmtId="0" fontId="33" fillId="2" borderId="0" xfId="0" applyFont="1" applyFill="1" applyBorder="1" applyAlignment="1">
      <alignment vertical="center"/>
    </xf>
    <xf numFmtId="0" fontId="37" fillId="2" borderId="0" xfId="0" applyFont="1" applyFill="1" applyBorder="1" applyAlignment="1">
      <alignment horizontal="left" vertical="center"/>
    </xf>
    <xf numFmtId="0" fontId="34" fillId="2" borderId="0" xfId="0" applyFont="1" applyFill="1" applyBorder="1" applyAlignment="1">
      <alignment horizontal="center"/>
    </xf>
    <xf numFmtId="0" fontId="37" fillId="2" borderId="5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3" fillId="2" borderId="7" xfId="0" applyFont="1" applyFill="1" applyBorder="1" applyAlignment="1">
      <alignment vertical="center"/>
    </xf>
    <xf numFmtId="0" fontId="0" fillId="2" borderId="6" xfId="0" applyFill="1" applyBorder="1"/>
    <xf numFmtId="0" fontId="33" fillId="2" borderId="8" xfId="0" applyFont="1" applyFill="1" applyBorder="1" applyAlignment="1">
      <alignment vertical="center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0" fillId="2" borderId="11" xfId="0" applyFill="1" applyBorder="1"/>
    <xf numFmtId="0" fontId="38" fillId="2" borderId="5" xfId="0" applyFont="1" applyFill="1" applyBorder="1" applyAlignment="1">
      <alignment vertical="center"/>
    </xf>
    <xf numFmtId="0" fontId="38" fillId="2" borderId="12" xfId="0" applyFont="1" applyFill="1" applyBorder="1" applyAlignment="1">
      <alignment vertical="center"/>
    </xf>
    <xf numFmtId="0" fontId="34" fillId="2" borderId="9" xfId="0" applyFont="1" applyFill="1" applyBorder="1" applyAlignment="1">
      <alignment horizontal="center"/>
    </xf>
    <xf numFmtId="0" fontId="34" fillId="2" borderId="10" xfId="0" applyFont="1" applyFill="1" applyBorder="1" applyAlignment="1">
      <alignment horizontal="center"/>
    </xf>
    <xf numFmtId="0" fontId="37" fillId="2" borderId="6" xfId="0" applyFont="1" applyFill="1" applyBorder="1" applyAlignment="1">
      <alignment vertical="center"/>
    </xf>
    <xf numFmtId="0" fontId="37" fillId="2" borderId="9" xfId="0" applyFont="1" applyFill="1" applyBorder="1" applyAlignment="1">
      <alignment vertical="center"/>
    </xf>
    <xf numFmtId="0" fontId="37" fillId="2" borderId="11" xfId="0" applyFont="1" applyFill="1" applyBorder="1" applyAlignment="1">
      <alignment vertical="center"/>
    </xf>
    <xf numFmtId="0" fontId="37" fillId="2" borderId="9" xfId="0" applyFont="1" applyFill="1" applyBorder="1"/>
    <xf numFmtId="0" fontId="37" fillId="2" borderId="10" xfId="0" applyFont="1" applyFill="1" applyBorder="1" applyAlignment="1">
      <alignment horizontal="center" vertical="center"/>
    </xf>
    <xf numFmtId="0" fontId="0" fillId="2" borderId="10" xfId="0" applyFill="1" applyBorder="1"/>
    <xf numFmtId="0" fontId="37" fillId="2" borderId="11" xfId="0" applyFont="1" applyFill="1" applyBorder="1"/>
    <xf numFmtId="0" fontId="37" fillId="2" borderId="12" xfId="0" applyFont="1" applyFill="1" applyBorder="1"/>
    <xf numFmtId="0" fontId="37" fillId="2" borderId="6" xfId="0" applyFont="1" applyFill="1" applyBorder="1"/>
    <xf numFmtId="0" fontId="37" fillId="2" borderId="8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37" fillId="2" borderId="0" xfId="0" applyFont="1" applyFill="1" applyBorder="1" applyAlignment="1">
      <alignment horizontal="right" vertical="center"/>
    </xf>
    <xf numFmtId="14" fontId="2" fillId="2" borderId="1" xfId="0" applyNumberFormat="1" applyFont="1" applyFill="1" applyBorder="1"/>
    <xf numFmtId="0" fontId="2" fillId="2" borderId="1" xfId="0" applyFont="1" applyFill="1" applyBorder="1" applyAlignment="1">
      <alignment horizontal="right" vertical="center"/>
    </xf>
    <xf numFmtId="0" fontId="42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1" fontId="37" fillId="2" borderId="10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34" fillId="2" borderId="0" xfId="0" applyFont="1" applyFill="1" applyAlignment="1">
      <alignment horizontal="center"/>
    </xf>
    <xf numFmtId="0" fontId="36" fillId="2" borderId="0" xfId="0" applyFont="1" applyFill="1" applyBorder="1" applyAlignment="1">
      <alignment horizontal="left" vertical="center" wrapText="1"/>
    </xf>
    <xf numFmtId="0" fontId="36" fillId="2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0" fontId="35" fillId="0" borderId="0" xfId="0" applyFont="1" applyAlignment="1">
      <alignment horizontal="center"/>
    </xf>
    <xf numFmtId="0" fontId="37" fillId="2" borderId="5" xfId="0" applyFont="1" applyFill="1" applyBorder="1" applyAlignment="1">
      <alignment horizontal="left" vertical="center"/>
    </xf>
    <xf numFmtId="0" fontId="37" fillId="2" borderId="12" xfId="0" applyFont="1" applyFill="1" applyBorder="1" applyAlignment="1">
      <alignment horizontal="left" vertical="center"/>
    </xf>
    <xf numFmtId="0" fontId="38" fillId="2" borderId="11" xfId="0" applyFont="1" applyFill="1" applyBorder="1" applyAlignment="1">
      <alignment horizontal="right" vertical="center"/>
    </xf>
    <xf numFmtId="0" fontId="38" fillId="2" borderId="12" xfId="0" applyFont="1" applyFill="1" applyBorder="1" applyAlignment="1">
      <alignment horizontal="right" vertical="center"/>
    </xf>
    <xf numFmtId="0" fontId="33" fillId="2" borderId="6" xfId="0" applyFont="1" applyFill="1" applyBorder="1" applyAlignment="1">
      <alignment horizontal="right" vertical="center"/>
    </xf>
    <xf numFmtId="0" fontId="33" fillId="2" borderId="8" xfId="0" applyFont="1" applyFill="1" applyBorder="1" applyAlignment="1">
      <alignment horizontal="right" vertical="center"/>
    </xf>
    <xf numFmtId="0" fontId="38" fillId="2" borderId="5" xfId="0" applyFont="1" applyFill="1" applyBorder="1" applyAlignment="1">
      <alignment horizontal="left" vertical="center"/>
    </xf>
    <xf numFmtId="0" fontId="38" fillId="2" borderId="12" xfId="0" applyFont="1" applyFill="1" applyBorder="1" applyAlignment="1">
      <alignment horizontal="left" vertical="center"/>
    </xf>
    <xf numFmtId="0" fontId="40" fillId="2" borderId="6" xfId="0" applyFont="1" applyFill="1" applyBorder="1" applyAlignment="1">
      <alignment horizontal="center"/>
    </xf>
    <xf numFmtId="0" fontId="40" fillId="2" borderId="7" xfId="0" applyFont="1" applyFill="1" applyBorder="1" applyAlignment="1">
      <alignment horizontal="center"/>
    </xf>
    <xf numFmtId="0" fontId="40" fillId="2" borderId="8" xfId="0" applyFont="1" applyFill="1" applyBorder="1" applyAlignment="1">
      <alignment horizontal="center"/>
    </xf>
    <xf numFmtId="0" fontId="39" fillId="2" borderId="11" xfId="0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 vertical="center"/>
    </xf>
    <xf numFmtId="0" fontId="39" fillId="2" borderId="12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left" vertical="center"/>
    </xf>
    <xf numFmtId="0" fontId="41" fillId="2" borderId="9" xfId="0" applyFont="1" applyFill="1" applyBorder="1" applyAlignment="1">
      <alignment horizontal="center"/>
    </xf>
    <xf numFmtId="0" fontId="41" fillId="2" borderId="0" xfId="0" applyFont="1" applyFill="1" applyBorder="1" applyAlignment="1">
      <alignment horizontal="center"/>
    </xf>
    <xf numFmtId="0" fontId="41" fillId="2" borderId="10" xfId="0" applyFont="1" applyFill="1" applyBorder="1" applyAlignment="1">
      <alignment horizontal="center"/>
    </xf>
    <xf numFmtId="0" fontId="37" fillId="2" borderId="10" xfId="0" applyFont="1" applyFill="1" applyBorder="1" applyAlignment="1">
      <alignment horizontal="left" vertical="center"/>
    </xf>
    <xf numFmtId="0" fontId="37" fillId="2" borderId="0" xfId="0" applyFont="1" applyFill="1" applyBorder="1" applyAlignment="1">
      <alignment horizontal="left" vertical="center" wrapText="1"/>
    </xf>
    <xf numFmtId="0" fontId="37" fillId="2" borderId="10" xfId="0" applyFont="1" applyFill="1" applyBorder="1" applyAlignment="1">
      <alignment horizontal="left" vertical="center" wrapText="1"/>
    </xf>
    <xf numFmtId="0" fontId="38" fillId="2" borderId="1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left" vertical="center"/>
    </xf>
    <xf numFmtId="1" fontId="2" fillId="2" borderId="1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 wrapText="1"/>
    </xf>
    <xf numFmtId="164" fontId="4" fillId="2" borderId="4" xfId="0" applyNumberFormat="1" applyFont="1" applyFill="1" applyBorder="1" applyAlignment="1">
      <alignment horizontal="center" vertical="center" wrapText="1"/>
    </xf>
    <xf numFmtId="164" fontId="4" fillId="2" borderId="3" xfId="0" applyNumberFormat="1" applyFont="1" applyFill="1" applyBorder="1" applyAlignment="1">
      <alignment horizontal="center" vertical="center" wrapText="1"/>
    </xf>
    <xf numFmtId="164" fontId="22" fillId="9" borderId="1" xfId="0" applyNumberFormat="1" applyFont="1" applyFill="1" applyBorder="1" applyAlignment="1">
      <alignment horizontal="center" vertical="center"/>
    </xf>
    <xf numFmtId="1" fontId="20" fillId="6" borderId="2" xfId="0" applyNumberFormat="1" applyFont="1" applyFill="1" applyBorder="1" applyAlignment="1">
      <alignment horizontal="center" vertical="center" wrapText="1"/>
    </xf>
    <xf numFmtId="1" fontId="20" fillId="6" borderId="3" xfId="0" applyNumberFormat="1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/>
    </xf>
  </cellXfs>
  <cellStyles count="9">
    <cellStyle name="Comma" xfId="1" builtinId="3"/>
    <cellStyle name="Comma 2" xfId="4"/>
    <cellStyle name="Comma 3" xfId="3"/>
    <cellStyle name="Comma 4" xfId="8"/>
    <cellStyle name="Normal" xfId="0" builtinId="0"/>
    <cellStyle name="Normal 2" xfId="2"/>
    <cellStyle name="Normal 2 2" xfId="5"/>
    <cellStyle name="Normal 4" xfId="6"/>
    <cellStyle name="Style 1" xfId="7"/>
  </cellStyles>
  <dxfs count="0"/>
  <tableStyles count="0" defaultTableStyle="TableStyleMedium9" defaultPivotStyle="PivotStyleLight16"/>
  <colors>
    <mruColors>
      <color rgb="FFFFDF79"/>
      <color rgb="FFFFD03B"/>
      <color rgb="FF9FACD5"/>
      <color rgb="FF993366"/>
      <color rgb="FFCCFF33"/>
      <color rgb="FFFF99F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5</xdr:row>
      <xdr:rowOff>104775</xdr:rowOff>
    </xdr:from>
    <xdr:to>
      <xdr:col>1</xdr:col>
      <xdr:colOff>971550</xdr:colOff>
      <xdr:row>8</xdr:row>
      <xdr:rowOff>200025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95300"/>
          <a:ext cx="904875" cy="8572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lectrician%20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ill"/>
      <sheetName val="Code"/>
      <sheetName val="MIS"/>
      <sheetName val="HO "/>
      <sheetName val="Electrician"/>
      <sheetName val="Lovelock"/>
      <sheetName val="Gangetica"/>
      <sheetName val="Aura"/>
      <sheetName val="Allure"/>
      <sheetName val="Pecan"/>
      <sheetName val="Master Sheet"/>
      <sheetName val="Payslip"/>
      <sheetName val="Client Name &amp; Address"/>
      <sheetName val="Rate - 01.01.2017-30.06.2017"/>
      <sheetName val="Head Count"/>
      <sheetName val="MIS on 26 days"/>
    </sheetNames>
    <sheetDataSet>
      <sheetData sheetId="0"/>
      <sheetData sheetId="1"/>
      <sheetData sheetId="2"/>
      <sheetData sheetId="3"/>
      <sheetData sheetId="4">
        <row r="8">
          <cell r="B8" t="str">
            <v>ID Card No.</v>
          </cell>
          <cell r="C8" t="str">
            <v>Name</v>
          </cell>
          <cell r="D8" t="str">
            <v>Designation</v>
          </cell>
          <cell r="E8" t="str">
            <v>Basic</v>
          </cell>
          <cell r="F8" t="str">
            <v>Other Allowance</v>
          </cell>
          <cell r="G8" t="str">
            <v>Gross 
Salary</v>
          </cell>
          <cell r="H8" t="str">
            <v>Days in the Month</v>
          </cell>
          <cell r="I8" t="str">
            <v>Payable Days</v>
          </cell>
          <cell r="J8" t="str">
            <v>Extra Duty</v>
          </cell>
          <cell r="K8" t="str">
            <v>Earned Basic</v>
          </cell>
          <cell r="L8" t="str">
            <v>Earned Other Allowance</v>
          </cell>
          <cell r="M8" t="str">
            <v>Extra Duty Allowance</v>
          </cell>
          <cell r="N8" t="str">
            <v>Gross Salary Payable</v>
          </cell>
          <cell r="O8" t="str">
            <v>Provident Fund</v>
          </cell>
          <cell r="P8" t="str">
            <v>ESI</v>
          </cell>
          <cell r="Q8" t="str">
            <v>Professional Tax</v>
          </cell>
          <cell r="R8" t="str">
            <v>Advance Adjustment</v>
          </cell>
          <cell r="S8" t="str">
            <v>Miscellaneous Deduction</v>
          </cell>
          <cell r="T8" t="str">
            <v>Total 
Deduction</v>
          </cell>
          <cell r="U8" t="str">
            <v>Net Salary Payable</v>
          </cell>
          <cell r="V8" t="str">
            <v>Washing Allowance</v>
          </cell>
          <cell r="W8" t="str">
            <v>Bonus</v>
          </cell>
          <cell r="X8" t="str">
            <v>Total Payable</v>
          </cell>
          <cell r="Y8" t="str">
            <v>Signature</v>
          </cell>
          <cell r="Z8" t="str">
            <v>PF Wages</v>
          </cell>
          <cell r="AA8" t="str">
            <v>Employer's PF Contribution</v>
          </cell>
          <cell r="AB8" t="str">
            <v>ESI Wages</v>
          </cell>
          <cell r="AC8" t="str">
            <v>Employer's ESI Contribution</v>
          </cell>
          <cell r="AD8" t="str">
            <v>Wages Paid</v>
          </cell>
        </row>
        <row r="9">
          <cell r="B9" t="str">
            <v>Primarc HO/ Elec/001</v>
          </cell>
          <cell r="C9" t="str">
            <v>Kamaluddin Khan</v>
          </cell>
          <cell r="D9" t="str">
            <v>Electrician</v>
          </cell>
          <cell r="E9">
            <v>7546</v>
          </cell>
          <cell r="F9">
            <v>7080</v>
          </cell>
          <cell r="G9">
            <v>14626</v>
          </cell>
          <cell r="H9">
            <v>26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</row>
        <row r="12">
          <cell r="AD1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Q28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P27" sqref="P27"/>
    </sheetView>
  </sheetViews>
  <sheetFormatPr defaultRowHeight="15"/>
  <cols>
    <col min="1" max="1" width="4" style="84" bestFit="1" customWidth="1"/>
    <col min="2" max="2" width="13.7109375" style="26" customWidth="1"/>
    <col min="3" max="3" width="18" style="26" customWidth="1"/>
    <col min="4" max="4" width="22.140625" style="26" bestFit="1" customWidth="1"/>
    <col min="5" max="5" width="5.5703125" style="84" bestFit="1" customWidth="1"/>
    <col min="6" max="6" width="7.5703125" style="26" bestFit="1" customWidth="1"/>
    <col min="7" max="7" width="7.5703125" style="88" bestFit="1" customWidth="1"/>
    <col min="8" max="8" width="8.5703125" style="26" bestFit="1" customWidth="1"/>
    <col min="9" max="9" width="6.5703125" style="26" bestFit="1" customWidth="1"/>
    <col min="10" max="11" width="8.5703125" style="26" bestFit="1" customWidth="1"/>
    <col min="12" max="13" width="9" style="26" bestFit="1" customWidth="1"/>
    <col min="14" max="15" width="9.140625" style="26"/>
    <col min="16" max="16" width="5.140625" style="26" bestFit="1" customWidth="1"/>
    <col min="17" max="17" width="8.42578125" style="26" bestFit="1" customWidth="1"/>
    <col min="18" max="16384" width="9.140625" style="26"/>
  </cols>
  <sheetData>
    <row r="1" spans="1:17" ht="28.5">
      <c r="A1" s="188" t="s">
        <v>126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</row>
    <row r="2" spans="1:17" ht="20.25">
      <c r="A2" s="189" t="str">
        <f>"Month :- "&amp;" "&amp;TEXT(Payslip!$J$1,"mmmm yyyyy")&amp;""</f>
        <v>Month :-  March 2017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</row>
    <row r="4" spans="1:17" s="16" customFormat="1" ht="24">
      <c r="A4" s="97" t="s">
        <v>0</v>
      </c>
      <c r="B4" s="97" t="s">
        <v>119</v>
      </c>
      <c r="C4" s="97" t="s">
        <v>120</v>
      </c>
      <c r="D4" s="97" t="s">
        <v>115</v>
      </c>
      <c r="E4" s="97" t="s">
        <v>127</v>
      </c>
      <c r="F4" s="97" t="s">
        <v>116</v>
      </c>
      <c r="G4" s="97" t="s">
        <v>117</v>
      </c>
      <c r="H4" s="97" t="s">
        <v>121</v>
      </c>
      <c r="I4" s="97" t="s">
        <v>122</v>
      </c>
      <c r="J4" s="97" t="s">
        <v>123</v>
      </c>
      <c r="K4" s="97" t="s">
        <v>124</v>
      </c>
      <c r="L4" s="97" t="s">
        <v>125</v>
      </c>
      <c r="M4" s="97" t="s">
        <v>128</v>
      </c>
    </row>
    <row r="5" spans="1:17">
      <c r="A5" s="190">
        <v>1</v>
      </c>
      <c r="B5" s="193" t="s">
        <v>101</v>
      </c>
      <c r="C5" s="175" t="s">
        <v>104</v>
      </c>
      <c r="D5" s="175" t="s">
        <v>105</v>
      </c>
      <c r="E5" s="99">
        <v>8</v>
      </c>
      <c r="F5" s="100">
        <v>398.86</v>
      </c>
      <c r="G5" s="101">
        <f>'HO '!I23+'HO '!J23</f>
        <v>256</v>
      </c>
      <c r="H5" s="102">
        <f>F5*G5</f>
        <v>102108.16</v>
      </c>
      <c r="I5" s="103">
        <f>H5*1%</f>
        <v>1021.0816000000001</v>
      </c>
      <c r="J5" s="102">
        <f>H5-I5</f>
        <v>101087.0784</v>
      </c>
      <c r="K5" s="103">
        <f>'HO '!AD23</f>
        <v>93636</v>
      </c>
      <c r="L5" s="102">
        <f>J5-K5</f>
        <v>7451.0783999999985</v>
      </c>
      <c r="M5" s="100">
        <f>L5/E5</f>
        <v>931.38479999999981</v>
      </c>
      <c r="Q5" s="120"/>
    </row>
    <row r="6" spans="1:17">
      <c r="A6" s="191"/>
      <c r="B6" s="194"/>
      <c r="C6" s="175" t="s">
        <v>104</v>
      </c>
      <c r="D6" s="175" t="s">
        <v>106</v>
      </c>
      <c r="E6" s="99">
        <v>1</v>
      </c>
      <c r="F6" s="100">
        <v>438.17</v>
      </c>
      <c r="G6" s="101">
        <f>'HO '!I26+'HO '!J26</f>
        <v>27</v>
      </c>
      <c r="H6" s="102">
        <f t="shared" ref="H6:H25" si="0">F6*G6</f>
        <v>11830.59</v>
      </c>
      <c r="I6" s="103">
        <f t="shared" ref="I6:I25" si="1">H6*1%</f>
        <v>118.30590000000001</v>
      </c>
      <c r="J6" s="102">
        <f t="shared" ref="J6:J25" si="2">H6-I6</f>
        <v>11712.284100000001</v>
      </c>
      <c r="K6" s="103">
        <f>'HO '!AD26</f>
        <v>10874</v>
      </c>
      <c r="L6" s="102">
        <f t="shared" ref="L6:L25" si="3">J6-K6</f>
        <v>838.28410000000076</v>
      </c>
      <c r="M6" s="100">
        <f t="shared" ref="M6:M9" si="4">L6/E6</f>
        <v>838.28410000000076</v>
      </c>
    </row>
    <row r="7" spans="1:17">
      <c r="A7" s="191"/>
      <c r="B7" s="194"/>
      <c r="C7" s="175" t="s">
        <v>104</v>
      </c>
      <c r="D7" s="175" t="s">
        <v>107</v>
      </c>
      <c r="E7" s="99">
        <v>1</v>
      </c>
      <c r="F7" s="100">
        <v>498.91</v>
      </c>
      <c r="G7" s="101">
        <f>'HO '!I29+'HO '!J29</f>
        <v>26</v>
      </c>
      <c r="H7" s="102">
        <f t="shared" si="0"/>
        <v>12971.66</v>
      </c>
      <c r="I7" s="103">
        <f t="shared" si="1"/>
        <v>129.7166</v>
      </c>
      <c r="J7" s="102">
        <f t="shared" si="2"/>
        <v>12841.9434</v>
      </c>
      <c r="K7" s="103">
        <f>'HO '!AD29</f>
        <v>12123</v>
      </c>
      <c r="L7" s="102">
        <f t="shared" si="3"/>
        <v>718.94340000000011</v>
      </c>
      <c r="M7" s="100">
        <f t="shared" si="4"/>
        <v>718.94340000000011</v>
      </c>
    </row>
    <row r="8" spans="1:17">
      <c r="A8" s="191"/>
      <c r="B8" s="194"/>
      <c r="C8" s="175" t="s">
        <v>130</v>
      </c>
      <c r="D8" s="175" t="s">
        <v>29</v>
      </c>
      <c r="E8" s="99">
        <v>1</v>
      </c>
      <c r="F8" s="100">
        <v>697.89</v>
      </c>
      <c r="G8" s="101">
        <f>Electrician!I11+Electrician!J11</f>
        <v>31</v>
      </c>
      <c r="H8" s="102">
        <f t="shared" si="0"/>
        <v>21634.59</v>
      </c>
      <c r="I8" s="103">
        <f t="shared" si="1"/>
        <v>216.3459</v>
      </c>
      <c r="J8" s="102">
        <f t="shared" si="2"/>
        <v>21418.2441</v>
      </c>
      <c r="K8" s="103">
        <f>Electrician!AD11</f>
        <v>20098.399794871795</v>
      </c>
      <c r="L8" s="102">
        <f t="shared" si="3"/>
        <v>1319.8443051282047</v>
      </c>
      <c r="M8" s="100">
        <f t="shared" si="4"/>
        <v>1319.8443051282047</v>
      </c>
    </row>
    <row r="9" spans="1:17">
      <c r="A9" s="192"/>
      <c r="B9" s="195"/>
      <c r="C9" s="175" t="s">
        <v>130</v>
      </c>
      <c r="D9" s="175" t="s">
        <v>109</v>
      </c>
      <c r="E9" s="99">
        <v>3</v>
      </c>
      <c r="F9" s="100">
        <v>579.82000000000005</v>
      </c>
      <c r="G9" s="101">
        <f>Lovelock!I14+Lovelock!J14</f>
        <v>21</v>
      </c>
      <c r="H9" s="102">
        <f t="shared" si="0"/>
        <v>12176.220000000001</v>
      </c>
      <c r="I9" s="103">
        <f t="shared" si="1"/>
        <v>121.76220000000001</v>
      </c>
      <c r="J9" s="102">
        <f t="shared" si="2"/>
        <v>12054.457800000002</v>
      </c>
      <c r="K9" s="103">
        <f>Lovelock!AD14</f>
        <v>11258.461538461539</v>
      </c>
      <c r="L9" s="102">
        <f t="shared" si="3"/>
        <v>795.99626153846293</v>
      </c>
      <c r="M9" s="100">
        <f t="shared" si="4"/>
        <v>265.33208717948764</v>
      </c>
    </row>
    <row r="10" spans="1:17">
      <c r="A10" s="42"/>
      <c r="B10" s="42"/>
      <c r="C10" s="175"/>
      <c r="D10" s="175"/>
      <c r="E10" s="104"/>
      <c r="F10" s="86"/>
      <c r="G10" s="105"/>
      <c r="H10" s="102">
        <f t="shared" si="0"/>
        <v>0</v>
      </c>
      <c r="I10" s="103">
        <f t="shared" si="1"/>
        <v>0</v>
      </c>
      <c r="J10" s="106">
        <f t="shared" si="2"/>
        <v>0</v>
      </c>
      <c r="K10" s="107"/>
      <c r="L10" s="102">
        <f t="shared" si="3"/>
        <v>0</v>
      </c>
      <c r="M10" s="108"/>
    </row>
    <row r="11" spans="1:17">
      <c r="A11" s="109"/>
      <c r="B11" s="109"/>
      <c r="C11" s="110"/>
      <c r="D11" s="110"/>
      <c r="E11" s="111"/>
      <c r="F11" s="112"/>
      <c r="G11" s="87"/>
      <c r="H11" s="113">
        <f>SUM(H5:H10)</f>
        <v>160721.22</v>
      </c>
      <c r="I11" s="113">
        <f t="shared" ref="I11:L11" si="5">SUM(I5:I10)</f>
        <v>1607.2121999999999</v>
      </c>
      <c r="J11" s="113">
        <f t="shared" si="5"/>
        <v>159114.00780000002</v>
      </c>
      <c r="K11" s="113">
        <f t="shared" si="5"/>
        <v>147989.86133333333</v>
      </c>
      <c r="L11" s="113">
        <f t="shared" si="5"/>
        <v>11124.146466666667</v>
      </c>
      <c r="M11" s="114"/>
    </row>
    <row r="12" spans="1:17" ht="15" customHeight="1">
      <c r="A12" s="190">
        <v>2</v>
      </c>
      <c r="B12" s="196" t="s">
        <v>53</v>
      </c>
      <c r="C12" s="198" t="s">
        <v>131</v>
      </c>
      <c r="D12" s="175" t="s">
        <v>108</v>
      </c>
      <c r="E12" s="99">
        <v>5</v>
      </c>
      <c r="F12" s="100">
        <v>480.22</v>
      </c>
      <c r="G12" s="101">
        <f>Gangetica!I16+Gangetica!J16</f>
        <v>160</v>
      </c>
      <c r="H12" s="102">
        <f t="shared" si="0"/>
        <v>76835.200000000012</v>
      </c>
      <c r="I12" s="103">
        <f t="shared" si="1"/>
        <v>768.35200000000009</v>
      </c>
      <c r="J12" s="102">
        <f t="shared" si="2"/>
        <v>76066.848000000013</v>
      </c>
      <c r="K12" s="103">
        <f>Gangetica!AD16</f>
        <v>70689.68582564102</v>
      </c>
      <c r="L12" s="102">
        <f t="shared" si="3"/>
        <v>5377.1621743589931</v>
      </c>
      <c r="M12" s="100">
        <f t="shared" ref="M12:M13" si="6">L12/E12</f>
        <v>1075.4324348717987</v>
      </c>
    </row>
    <row r="13" spans="1:17">
      <c r="A13" s="192"/>
      <c r="B13" s="197"/>
      <c r="C13" s="198"/>
      <c r="D13" s="175" t="s">
        <v>105</v>
      </c>
      <c r="E13" s="99">
        <v>1</v>
      </c>
      <c r="F13" s="100">
        <v>398.86</v>
      </c>
      <c r="G13" s="101">
        <f>Gangetica!I20+Gangetica!J20</f>
        <v>32</v>
      </c>
      <c r="H13" s="102">
        <f t="shared" si="0"/>
        <v>12763.52</v>
      </c>
      <c r="I13" s="103">
        <f t="shared" si="1"/>
        <v>127.63520000000001</v>
      </c>
      <c r="J13" s="102">
        <f t="shared" si="2"/>
        <v>12635.8848</v>
      </c>
      <c r="K13" s="103">
        <f>Gangetica!AD20</f>
        <v>11744.333333333332</v>
      </c>
      <c r="L13" s="102">
        <f t="shared" si="3"/>
        <v>891.55146666666769</v>
      </c>
      <c r="M13" s="100">
        <f t="shared" si="6"/>
        <v>891.55146666666769</v>
      </c>
    </row>
    <row r="14" spans="1:17">
      <c r="A14" s="42"/>
      <c r="B14" s="98"/>
      <c r="C14" s="175"/>
      <c r="D14" s="175"/>
      <c r="E14" s="104"/>
      <c r="F14" s="86"/>
      <c r="G14" s="105"/>
      <c r="H14" s="102">
        <f t="shared" si="0"/>
        <v>0</v>
      </c>
      <c r="I14" s="103">
        <f t="shared" si="1"/>
        <v>0</v>
      </c>
      <c r="J14" s="106">
        <f t="shared" si="2"/>
        <v>0</v>
      </c>
      <c r="K14" s="107"/>
      <c r="L14" s="102">
        <f t="shared" si="3"/>
        <v>0</v>
      </c>
      <c r="M14" s="86"/>
    </row>
    <row r="15" spans="1:17">
      <c r="A15" s="109"/>
      <c r="B15" s="109"/>
      <c r="C15" s="110"/>
      <c r="D15" s="110"/>
      <c r="E15" s="111"/>
      <c r="F15" s="112"/>
      <c r="G15" s="87"/>
      <c r="H15" s="113">
        <f>SUM(H12:H14)</f>
        <v>89598.720000000016</v>
      </c>
      <c r="I15" s="113">
        <f t="shared" ref="I15:L15" si="7">SUM(I12:I14)</f>
        <v>895.98720000000014</v>
      </c>
      <c r="J15" s="113">
        <f t="shared" si="7"/>
        <v>88702.732800000013</v>
      </c>
      <c r="K15" s="113">
        <f t="shared" si="7"/>
        <v>82434.019158974348</v>
      </c>
      <c r="L15" s="113">
        <f t="shared" si="7"/>
        <v>6268.7136410256608</v>
      </c>
      <c r="M15" s="114"/>
    </row>
    <row r="16" spans="1:17">
      <c r="A16" s="186">
        <v>3</v>
      </c>
      <c r="B16" s="199" t="s">
        <v>102</v>
      </c>
      <c r="C16" s="198" t="s">
        <v>112</v>
      </c>
      <c r="D16" s="175" t="s">
        <v>108</v>
      </c>
      <c r="E16" s="99">
        <v>4</v>
      </c>
      <c r="F16" s="100">
        <v>480.22</v>
      </c>
      <c r="G16" s="101">
        <f>Aura!I15+Aura!J15</f>
        <v>128</v>
      </c>
      <c r="H16" s="102">
        <f t="shared" si="0"/>
        <v>61468.160000000003</v>
      </c>
      <c r="I16" s="103">
        <f t="shared" si="1"/>
        <v>614.6816</v>
      </c>
      <c r="J16" s="102">
        <f t="shared" si="2"/>
        <v>60853.4784</v>
      </c>
      <c r="K16" s="103">
        <f>Aura!AD15</f>
        <v>56561.713087179487</v>
      </c>
      <c r="L16" s="102">
        <f t="shared" si="3"/>
        <v>4291.7653128205129</v>
      </c>
      <c r="M16" s="100">
        <f t="shared" ref="M16:M17" si="8">L16/E16</f>
        <v>1072.9413282051282</v>
      </c>
    </row>
    <row r="17" spans="1:13">
      <c r="A17" s="186"/>
      <c r="B17" s="199"/>
      <c r="C17" s="198"/>
      <c r="D17" s="175" t="s">
        <v>105</v>
      </c>
      <c r="E17" s="99">
        <v>2</v>
      </c>
      <c r="F17" s="100">
        <v>398.86</v>
      </c>
      <c r="G17" s="101">
        <f>Aura!I20+Aura!J20</f>
        <v>58</v>
      </c>
      <c r="H17" s="102">
        <f t="shared" si="0"/>
        <v>23133.88</v>
      </c>
      <c r="I17" s="103">
        <f t="shared" si="1"/>
        <v>231.33880000000002</v>
      </c>
      <c r="J17" s="102">
        <f t="shared" si="2"/>
        <v>22902.5412</v>
      </c>
      <c r="K17" s="103">
        <f>Aura!AD20</f>
        <v>21261.7556</v>
      </c>
      <c r="L17" s="102">
        <f t="shared" si="3"/>
        <v>1640.7855999999992</v>
      </c>
      <c r="M17" s="100">
        <f t="shared" si="8"/>
        <v>820.39279999999962</v>
      </c>
    </row>
    <row r="18" spans="1:13">
      <c r="A18" s="42"/>
      <c r="B18" s="98"/>
      <c r="C18" s="174"/>
      <c r="D18" s="175"/>
      <c r="E18" s="99"/>
      <c r="F18" s="100"/>
      <c r="G18" s="101"/>
      <c r="H18" s="102"/>
      <c r="I18" s="103"/>
      <c r="J18" s="102"/>
      <c r="K18" s="103"/>
      <c r="L18" s="102"/>
      <c r="M18" s="86"/>
    </row>
    <row r="19" spans="1:13">
      <c r="A19" s="109"/>
      <c r="B19" s="109"/>
      <c r="C19" s="110"/>
      <c r="D19" s="110"/>
      <c r="E19" s="111"/>
      <c r="F19" s="112"/>
      <c r="G19" s="87"/>
      <c r="H19" s="113">
        <f>SUM(H16:H18)</f>
        <v>84602.040000000008</v>
      </c>
      <c r="I19" s="113">
        <f t="shared" ref="I19" si="9">SUM(I16:I18)</f>
        <v>846.0204</v>
      </c>
      <c r="J19" s="113">
        <f t="shared" ref="J19" si="10">SUM(J16:J18)</f>
        <v>83756.0196</v>
      </c>
      <c r="K19" s="113">
        <f t="shared" ref="K19" si="11">SUM(K16:K18)</f>
        <v>77823.468687179484</v>
      </c>
      <c r="L19" s="113">
        <f t="shared" ref="L19" si="12">SUM(L16:L18)</f>
        <v>5932.5509128205122</v>
      </c>
      <c r="M19" s="114"/>
    </row>
    <row r="20" spans="1:13" ht="25.5">
      <c r="A20" s="42">
        <v>4</v>
      </c>
      <c r="B20" s="98" t="s">
        <v>87</v>
      </c>
      <c r="C20" s="175" t="s">
        <v>113</v>
      </c>
      <c r="D20" s="175" t="s">
        <v>108</v>
      </c>
      <c r="E20" s="99">
        <v>3</v>
      </c>
      <c r="F20" s="100">
        <v>480.22</v>
      </c>
      <c r="G20" s="101">
        <f>Allure!I14+Allure!J14</f>
        <v>0</v>
      </c>
      <c r="H20" s="102">
        <f t="shared" si="0"/>
        <v>0</v>
      </c>
      <c r="I20" s="103">
        <f t="shared" si="1"/>
        <v>0</v>
      </c>
      <c r="J20" s="102">
        <f t="shared" si="2"/>
        <v>0</v>
      </c>
      <c r="K20" s="103">
        <f>Allure!AD14</f>
        <v>0</v>
      </c>
      <c r="L20" s="102">
        <f t="shared" si="3"/>
        <v>0</v>
      </c>
      <c r="M20" s="100">
        <f t="shared" ref="M20" si="13">L20/E20</f>
        <v>0</v>
      </c>
    </row>
    <row r="21" spans="1:13">
      <c r="A21" s="42"/>
      <c r="B21" s="98"/>
      <c r="C21" s="175"/>
      <c r="D21" s="175"/>
      <c r="E21" s="104"/>
      <c r="F21" s="86"/>
      <c r="G21" s="105"/>
      <c r="H21" s="102">
        <f t="shared" si="0"/>
        <v>0</v>
      </c>
      <c r="I21" s="103">
        <f t="shared" si="1"/>
        <v>0</v>
      </c>
      <c r="J21" s="106">
        <f t="shared" si="2"/>
        <v>0</v>
      </c>
      <c r="K21" s="107"/>
      <c r="L21" s="102">
        <f t="shared" si="3"/>
        <v>0</v>
      </c>
      <c r="M21" s="86"/>
    </row>
    <row r="22" spans="1:13">
      <c r="A22" s="109"/>
      <c r="B22" s="109"/>
      <c r="C22" s="110"/>
      <c r="D22" s="110"/>
      <c r="E22" s="111"/>
      <c r="F22" s="112"/>
      <c r="G22" s="87"/>
      <c r="H22" s="113">
        <f>SUM(H20:H21)</f>
        <v>0</v>
      </c>
      <c r="I22" s="113">
        <f t="shared" ref="I22:L22" si="14">SUM(I20:I21)</f>
        <v>0</v>
      </c>
      <c r="J22" s="113">
        <f t="shared" si="14"/>
        <v>0</v>
      </c>
      <c r="K22" s="113">
        <f t="shared" si="14"/>
        <v>0</v>
      </c>
      <c r="L22" s="113">
        <f t="shared" si="14"/>
        <v>0</v>
      </c>
      <c r="M22" s="114"/>
    </row>
    <row r="23" spans="1:13">
      <c r="A23" s="186">
        <v>5</v>
      </c>
      <c r="B23" s="199" t="s">
        <v>103</v>
      </c>
      <c r="C23" s="198" t="s">
        <v>114</v>
      </c>
      <c r="D23" s="175" t="s">
        <v>108</v>
      </c>
      <c r="E23" s="99">
        <v>1</v>
      </c>
      <c r="F23" s="100">
        <v>480.22</v>
      </c>
      <c r="G23" s="101">
        <f>Pecan!I12+Pecan!J12</f>
        <v>28</v>
      </c>
      <c r="H23" s="102">
        <f t="shared" si="0"/>
        <v>13446.16</v>
      </c>
      <c r="I23" s="103">
        <f t="shared" si="1"/>
        <v>134.4616</v>
      </c>
      <c r="J23" s="102">
        <f t="shared" si="2"/>
        <v>13311.698399999999</v>
      </c>
      <c r="K23" s="103">
        <f>Pecan!AD12</f>
        <v>12404.820512820514</v>
      </c>
      <c r="L23" s="102">
        <f t="shared" si="3"/>
        <v>906.8778871794857</v>
      </c>
      <c r="M23" s="100">
        <f t="shared" ref="M23:M24" si="15">L23/E23</f>
        <v>906.8778871794857</v>
      </c>
    </row>
    <row r="24" spans="1:13">
      <c r="A24" s="186"/>
      <c r="B24" s="199"/>
      <c r="C24" s="198"/>
      <c r="D24" s="175" t="s">
        <v>105</v>
      </c>
      <c r="E24" s="99">
        <v>4</v>
      </c>
      <c r="F24" s="100">
        <v>398.86</v>
      </c>
      <c r="G24" s="101">
        <f>Pecan!I19+Pecan!J19</f>
        <v>107</v>
      </c>
      <c r="H24" s="102">
        <f t="shared" si="0"/>
        <v>42678.020000000004</v>
      </c>
      <c r="I24" s="103">
        <f t="shared" si="1"/>
        <v>426.78020000000004</v>
      </c>
      <c r="J24" s="102">
        <f t="shared" si="2"/>
        <v>42251.239800000003</v>
      </c>
      <c r="K24" s="103">
        <f>Pecan!AD19</f>
        <v>39169.939066666666</v>
      </c>
      <c r="L24" s="102">
        <f t="shared" si="3"/>
        <v>3081.3007333333371</v>
      </c>
      <c r="M24" s="100">
        <f t="shared" si="15"/>
        <v>770.32518333333428</v>
      </c>
    </row>
    <row r="25" spans="1:13">
      <c r="A25" s="1"/>
      <c r="B25" s="86"/>
      <c r="C25" s="86"/>
      <c r="D25" s="86"/>
      <c r="E25" s="104"/>
      <c r="F25" s="86"/>
      <c r="G25" s="101"/>
      <c r="H25" s="102">
        <f t="shared" si="0"/>
        <v>0</v>
      </c>
      <c r="I25" s="103">
        <f t="shared" si="1"/>
        <v>0</v>
      </c>
      <c r="J25" s="102">
        <f t="shared" si="2"/>
        <v>0</v>
      </c>
      <c r="K25" s="103"/>
      <c r="L25" s="102">
        <f t="shared" si="3"/>
        <v>0</v>
      </c>
      <c r="M25" s="86"/>
    </row>
    <row r="26" spans="1:13">
      <c r="A26" s="109"/>
      <c r="B26" s="109"/>
      <c r="C26" s="110"/>
      <c r="D26" s="110"/>
      <c r="E26" s="111"/>
      <c r="F26" s="112"/>
      <c r="G26" s="87"/>
      <c r="H26" s="113">
        <f>SUM(H23:H25)</f>
        <v>56124.180000000008</v>
      </c>
      <c r="I26" s="113">
        <f t="shared" ref="I26" si="16">SUM(I23:I25)</f>
        <v>561.24180000000001</v>
      </c>
      <c r="J26" s="113">
        <f t="shared" ref="J26" si="17">SUM(J23:J25)</f>
        <v>55562.938200000004</v>
      </c>
      <c r="K26" s="113">
        <f t="shared" ref="K26" si="18">SUM(K23:K25)</f>
        <v>51574.759579487181</v>
      </c>
      <c r="L26" s="113">
        <f t="shared" ref="L26" si="19">SUM(L23:L25)</f>
        <v>3988.1786205128228</v>
      </c>
      <c r="M26" s="114"/>
    </row>
    <row r="27" spans="1:13">
      <c r="A27" s="115"/>
      <c r="B27" s="116"/>
      <c r="C27" s="116"/>
      <c r="D27" s="116"/>
      <c r="E27" s="115"/>
      <c r="F27" s="116"/>
      <c r="G27" s="117"/>
      <c r="H27" s="116"/>
      <c r="I27" s="116"/>
      <c r="J27" s="116"/>
      <c r="K27" s="116"/>
      <c r="L27" s="116"/>
      <c r="M27" s="118"/>
    </row>
    <row r="28" spans="1:13" s="85" customFormat="1" ht="15.75">
      <c r="A28" s="187" t="s">
        <v>45</v>
      </c>
      <c r="B28" s="187"/>
      <c r="C28" s="187"/>
      <c r="D28" s="187"/>
      <c r="E28" s="187"/>
      <c r="F28" s="187"/>
      <c r="G28" s="187"/>
      <c r="H28" s="106">
        <f>H11+H15+H19+H22+H26</f>
        <v>391046.16</v>
      </c>
      <c r="I28" s="106">
        <f t="shared" ref="I28:K28" si="20">I11+I15+I19+I22+I26</f>
        <v>3910.4615999999996</v>
      </c>
      <c r="J28" s="106">
        <f t="shared" si="20"/>
        <v>387135.69839999999</v>
      </c>
      <c r="K28" s="106">
        <f t="shared" si="20"/>
        <v>359822.10875897435</v>
      </c>
      <c r="L28" s="106">
        <f>L11+L15+L19+L22+L26</f>
        <v>27313.589641025665</v>
      </c>
      <c r="M28" s="119"/>
    </row>
  </sheetData>
  <mergeCells count="14">
    <mergeCell ref="A23:A24"/>
    <mergeCell ref="A28:G28"/>
    <mergeCell ref="A1:M1"/>
    <mergeCell ref="A2:M2"/>
    <mergeCell ref="A5:A9"/>
    <mergeCell ref="A12:A13"/>
    <mergeCell ref="A16:A17"/>
    <mergeCell ref="B5:B9"/>
    <mergeCell ref="B12:B13"/>
    <mergeCell ref="C12:C13"/>
    <mergeCell ref="C16:C17"/>
    <mergeCell ref="B16:B17"/>
    <mergeCell ref="B23:B24"/>
    <mergeCell ref="C23:C24"/>
  </mergeCells>
  <printOptions horizontalCentered="1"/>
  <pageMargins left="0" right="0" top="0.5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L29"/>
  <sheetViews>
    <sheetView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C13" sqref="C13"/>
    </sheetView>
  </sheetViews>
  <sheetFormatPr defaultRowHeight="15"/>
  <cols>
    <col min="1" max="1" width="3.7109375" style="77" customWidth="1"/>
    <col min="2" max="2" width="19.85546875" style="77" bestFit="1" customWidth="1"/>
    <col min="3" max="3" width="16.5703125" style="77" bestFit="1" customWidth="1"/>
    <col min="4" max="4" width="12.28515625" style="77" bestFit="1" customWidth="1"/>
    <col min="5" max="5" width="6.28515625" style="77" hidden="1" customWidth="1"/>
    <col min="6" max="6" width="8" style="77" hidden="1" customWidth="1"/>
    <col min="7" max="7" width="6.7109375" style="77" bestFit="1" customWidth="1"/>
    <col min="8" max="8" width="6.42578125" style="77" bestFit="1" customWidth="1"/>
    <col min="9" max="9" width="7.28515625" style="77" bestFit="1" customWidth="1"/>
    <col min="10" max="10" width="5.42578125" style="77" customWidth="1"/>
    <col min="11" max="11" width="7.28515625" style="77" hidden="1" customWidth="1"/>
    <col min="12" max="12" width="8.42578125" style="77" hidden="1" customWidth="1"/>
    <col min="13" max="13" width="8" style="77" hidden="1" customWidth="1"/>
    <col min="14" max="14" width="7.28515625" style="77" bestFit="1" customWidth="1"/>
    <col min="15" max="15" width="7.85546875" style="77" bestFit="1" customWidth="1"/>
    <col min="16" max="16" width="6.28515625" style="77" bestFit="1" customWidth="1"/>
    <col min="17" max="17" width="9.7109375" style="77" bestFit="1" customWidth="1"/>
    <col min="18" max="18" width="9.28515625" style="77" bestFit="1" customWidth="1"/>
    <col min="19" max="19" width="11.140625" style="77" bestFit="1" customWidth="1"/>
    <col min="20" max="20" width="8.28515625" style="77" bestFit="1" customWidth="1"/>
    <col min="21" max="21" width="8.5703125" style="95" bestFit="1" customWidth="1"/>
    <col min="22" max="22" width="8.5703125" style="77" customWidth="1"/>
    <col min="23" max="23" width="6.28515625" style="77" bestFit="1" customWidth="1"/>
    <col min="24" max="24" width="7.28515625" style="95" bestFit="1" customWidth="1"/>
    <col min="25" max="25" width="22.85546875" style="77" customWidth="1"/>
    <col min="26" max="26" width="8.5703125" style="77" bestFit="1" customWidth="1"/>
    <col min="27" max="27" width="11.140625" style="77" bestFit="1" customWidth="1"/>
    <col min="28" max="28" width="9" style="77" bestFit="1" customWidth="1"/>
    <col min="29" max="29" width="11.42578125" style="77" customWidth="1"/>
    <col min="30" max="30" width="10.7109375" style="77" bestFit="1" customWidth="1"/>
    <col min="31" max="16384" width="9.140625" style="77"/>
  </cols>
  <sheetData>
    <row r="1" spans="1:38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8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8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5" spans="1:38">
      <c r="A5" s="201" t="s">
        <v>135</v>
      </c>
      <c r="B5" s="201"/>
      <c r="C5" s="201"/>
      <c r="D5" s="203" t="s">
        <v>101</v>
      </c>
      <c r="E5" s="203"/>
      <c r="F5" s="203"/>
      <c r="G5" s="203"/>
      <c r="H5" s="203"/>
      <c r="I5" s="203"/>
    </row>
    <row r="6" spans="1:38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</row>
    <row r="7" spans="1:38" ht="20.25" customHeight="1">
      <c r="A7" s="202" t="s">
        <v>137</v>
      </c>
      <c r="B7" s="202"/>
      <c r="C7" s="202"/>
      <c r="D7" s="203" t="s">
        <v>104</v>
      </c>
      <c r="E7" s="203"/>
      <c r="F7" s="203"/>
      <c r="G7" s="203"/>
      <c r="H7" s="203"/>
      <c r="I7" s="203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</row>
    <row r="8" spans="1:38" ht="48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8">
      <c r="A9" s="89">
        <v>1</v>
      </c>
      <c r="B9" s="134" t="s">
        <v>164</v>
      </c>
      <c r="C9" s="45" t="s">
        <v>56</v>
      </c>
      <c r="D9" s="90" t="s">
        <v>105</v>
      </c>
      <c r="E9" s="3">
        <v>7546</v>
      </c>
      <c r="F9" s="3">
        <v>0</v>
      </c>
      <c r="G9" s="4">
        <f>E9+F9</f>
        <v>7546</v>
      </c>
      <c r="H9" s="5">
        <v>26</v>
      </c>
      <c r="I9" s="11">
        <v>23</v>
      </c>
      <c r="J9" s="11"/>
      <c r="K9" s="3">
        <f>E9/H9*I9</f>
        <v>6675.3076923076924</v>
      </c>
      <c r="L9" s="3">
        <f>F9/H9*I9</f>
        <v>0</v>
      </c>
      <c r="M9" s="3">
        <f>G9/H9*J9</f>
        <v>0</v>
      </c>
      <c r="N9" s="6">
        <f>ROUND(K9+L9+M9,0)</f>
        <v>6675</v>
      </c>
      <c r="O9" s="7">
        <f>ROUND(Z9*12%,0)</f>
        <v>801</v>
      </c>
      <c r="P9" s="7">
        <f>ROUNDUP(AB9*1.75%,0)</f>
        <v>117</v>
      </c>
      <c r="Q9" s="8">
        <f>IF(N9&gt;40000,200,IF(N9&gt;25000,150,IF(N9&gt;15000,130,IF(N9&gt;10000,110,IF(N9&gt;8500,0,)))))</f>
        <v>0</v>
      </c>
      <c r="R9" s="3">
        <v>500</v>
      </c>
      <c r="S9" s="3">
        <v>0</v>
      </c>
      <c r="T9" s="9">
        <f>SUM(O9:S9)</f>
        <v>1418</v>
      </c>
      <c r="U9" s="68">
        <f>N9-T9</f>
        <v>5257</v>
      </c>
      <c r="V9" s="7">
        <f>ROUND((E9/H9*J9)*13.36%,0)</f>
        <v>0</v>
      </c>
      <c r="W9" s="5">
        <f>ROUND((E9/12)/H9*(I9),0)</f>
        <v>556</v>
      </c>
      <c r="X9" s="68">
        <f>U9+W9+V9</f>
        <v>5813</v>
      </c>
      <c r="Y9" s="7"/>
      <c r="Z9" s="7">
        <f>ROUND(IF(($K9)&gt;15000,15000,IF(($K9)&lt;=15000,($K9))),0)</f>
        <v>6675</v>
      </c>
      <c r="AA9" s="7">
        <f>ROUND(Z9*13.36%,0)</f>
        <v>892</v>
      </c>
      <c r="AB9" s="7">
        <f>ROUND($G9/$H9*($I9+J9),0)</f>
        <v>6675</v>
      </c>
      <c r="AC9" s="7">
        <f>ROUNDUP(AB9*4.75%,0)</f>
        <v>318</v>
      </c>
      <c r="AD9" s="91">
        <f>N9+V9+W9+AA9+AC9</f>
        <v>8441</v>
      </c>
    </row>
    <row r="10" spans="1:38">
      <c r="A10" s="89">
        <v>2</v>
      </c>
      <c r="B10" s="134" t="s">
        <v>165</v>
      </c>
      <c r="C10" s="45" t="s">
        <v>64</v>
      </c>
      <c r="D10" s="90" t="s">
        <v>105</v>
      </c>
      <c r="E10" s="3">
        <v>7546</v>
      </c>
      <c r="F10" s="3">
        <v>0</v>
      </c>
      <c r="G10" s="4">
        <f t="shared" ref="G10:G11" si="0">E10+F10</f>
        <v>7546</v>
      </c>
      <c r="H10" s="5">
        <v>26</v>
      </c>
      <c r="I10" s="11">
        <v>23</v>
      </c>
      <c r="J10" s="11"/>
      <c r="K10" s="3">
        <f t="shared" ref="K10:K11" si="1">E10/H10*I10</f>
        <v>6675.3076923076924</v>
      </c>
      <c r="L10" s="3">
        <f t="shared" ref="L10:L11" si="2">F10/H10*I10</f>
        <v>0</v>
      </c>
      <c r="M10" s="3">
        <f t="shared" ref="M10:M11" si="3">G10/H10*J10</f>
        <v>0</v>
      </c>
      <c r="N10" s="6">
        <f t="shared" ref="N10:N11" si="4">ROUND(K10+L10+M10,0)</f>
        <v>6675</v>
      </c>
      <c r="O10" s="7">
        <f t="shared" ref="O10:O11" si="5">ROUND(Z10*12%,0)</f>
        <v>801</v>
      </c>
      <c r="P10" s="7">
        <f t="shared" ref="P10:P11" si="6">ROUNDUP(AB10*1.75%,0)</f>
        <v>117</v>
      </c>
      <c r="Q10" s="8">
        <f>IF(N10&gt;40000,200,IF(N10&gt;25000,150,IF(N10&gt;15000,130,IF(N10&gt;10000,110,IF(N10&gt;8500,0,)))))</f>
        <v>0</v>
      </c>
      <c r="R10" s="3">
        <v>500</v>
      </c>
      <c r="S10" s="3">
        <v>0</v>
      </c>
      <c r="T10" s="9">
        <f t="shared" ref="T10:T21" si="7">SUM(O10:S10)</f>
        <v>1418</v>
      </c>
      <c r="U10" s="68">
        <f t="shared" ref="U10:U11" si="8">N10-T10</f>
        <v>5257</v>
      </c>
      <c r="V10" s="7">
        <f t="shared" ref="V10:V11" si="9">ROUND((E10/H10*J10)*13.36%,0)</f>
        <v>0</v>
      </c>
      <c r="W10" s="5">
        <f>ROUND((E10/12)/H10*(I10),0)</f>
        <v>556</v>
      </c>
      <c r="X10" s="68">
        <f t="shared" ref="X10:X11" si="10">U10+W10+V10</f>
        <v>5813</v>
      </c>
      <c r="Y10" s="7"/>
      <c r="Z10" s="7">
        <f>ROUND(IF(($K10)&gt;15000,15000,IF(($K10)&lt;=15000,($K10))),0)</f>
        <v>6675</v>
      </c>
      <c r="AA10" s="7">
        <f t="shared" ref="AA10:AA11" si="11">ROUND(Z10*13.36%,0)</f>
        <v>892</v>
      </c>
      <c r="AB10" s="7">
        <f>ROUND($G10/$H10*($I10+J10),0)</f>
        <v>6675</v>
      </c>
      <c r="AC10" s="7">
        <f t="shared" ref="AC10:AC11" si="12">ROUNDUP(AB10*4.75%,0)</f>
        <v>318</v>
      </c>
      <c r="AD10" s="91">
        <f>N10+V10+W10+AA10+AC10</f>
        <v>8441</v>
      </c>
    </row>
    <row r="11" spans="1:38">
      <c r="A11" s="89">
        <v>3</v>
      </c>
      <c r="B11" s="134" t="s">
        <v>166</v>
      </c>
      <c r="C11" s="10" t="s">
        <v>60</v>
      </c>
      <c r="D11" s="90" t="s">
        <v>105</v>
      </c>
      <c r="E11" s="3">
        <v>7546</v>
      </c>
      <c r="F11" s="3">
        <v>0</v>
      </c>
      <c r="G11" s="4">
        <f t="shared" si="0"/>
        <v>7546</v>
      </c>
      <c r="H11" s="5">
        <v>26</v>
      </c>
      <c r="I11" s="11">
        <v>26</v>
      </c>
      <c r="J11" s="11">
        <v>2</v>
      </c>
      <c r="K11" s="3">
        <f t="shared" si="1"/>
        <v>7546</v>
      </c>
      <c r="L11" s="3">
        <f t="shared" si="2"/>
        <v>0</v>
      </c>
      <c r="M11" s="3">
        <f t="shared" si="3"/>
        <v>580.46153846153845</v>
      </c>
      <c r="N11" s="6">
        <f t="shared" si="4"/>
        <v>8126</v>
      </c>
      <c r="O11" s="7">
        <f t="shared" si="5"/>
        <v>906</v>
      </c>
      <c r="P11" s="7">
        <f t="shared" si="6"/>
        <v>143</v>
      </c>
      <c r="Q11" s="8">
        <f>IF(N11&gt;40000,200,IF(N11&gt;25000,150,IF(N11&gt;15000,130,IF(N11&gt;10000,110,IF(N11&gt;8500,0,)))))</f>
        <v>0</v>
      </c>
      <c r="R11" s="3">
        <v>1000</v>
      </c>
      <c r="S11" s="3">
        <v>0</v>
      </c>
      <c r="T11" s="9">
        <f t="shared" si="7"/>
        <v>2049</v>
      </c>
      <c r="U11" s="68">
        <f t="shared" si="8"/>
        <v>6077</v>
      </c>
      <c r="V11" s="7">
        <f t="shared" si="9"/>
        <v>78</v>
      </c>
      <c r="W11" s="5">
        <f>ROUND((E11/12)/H11*(I11),0)</f>
        <v>629</v>
      </c>
      <c r="X11" s="68">
        <f t="shared" si="10"/>
        <v>6784</v>
      </c>
      <c r="Y11" s="7"/>
      <c r="Z11" s="7">
        <f>ROUND(IF(($K11)&gt;15000,15000,IF(($K11)&lt;=15000,($K11))),0)</f>
        <v>7546</v>
      </c>
      <c r="AA11" s="7">
        <f t="shared" si="11"/>
        <v>1008</v>
      </c>
      <c r="AB11" s="7">
        <f>ROUND($G11/$H11*($I11+J11),0)</f>
        <v>8126</v>
      </c>
      <c r="AC11" s="7">
        <f t="shared" si="12"/>
        <v>386</v>
      </c>
      <c r="AD11" s="91">
        <f>N11+V11+W11+AA11+AC11</f>
        <v>10227</v>
      </c>
    </row>
    <row r="12" spans="1:38">
      <c r="A12" s="89">
        <v>4</v>
      </c>
      <c r="B12" s="134" t="s">
        <v>167</v>
      </c>
      <c r="C12" s="10" t="s">
        <v>67</v>
      </c>
      <c r="D12" s="90" t="s">
        <v>105</v>
      </c>
      <c r="E12" s="3">
        <v>7546</v>
      </c>
      <c r="F12" s="3">
        <v>0</v>
      </c>
      <c r="G12" s="4">
        <f t="shared" ref="G12" si="13">E12+F12</f>
        <v>7546</v>
      </c>
      <c r="H12" s="5">
        <v>26</v>
      </c>
      <c r="I12" s="11">
        <v>26</v>
      </c>
      <c r="J12" s="11">
        <v>6</v>
      </c>
      <c r="K12" s="3">
        <f t="shared" ref="K12" si="14">E12/H12*I12</f>
        <v>7546</v>
      </c>
      <c r="L12" s="3">
        <f t="shared" ref="L12" si="15">F12/H12*I12</f>
        <v>0</v>
      </c>
      <c r="M12" s="3">
        <f t="shared" ref="M12" si="16">G12/H12*J12</f>
        <v>1741.3846153846152</v>
      </c>
      <c r="N12" s="6">
        <f t="shared" ref="N12" si="17">ROUND(K12+L12+M12,0)</f>
        <v>9287</v>
      </c>
      <c r="O12" s="7">
        <f t="shared" ref="O12" si="18">ROUND(Z12*12%,0)</f>
        <v>906</v>
      </c>
      <c r="P12" s="7">
        <f t="shared" ref="P12" si="19">ROUNDUP(AB12*1.75%,0)</f>
        <v>163</v>
      </c>
      <c r="Q12" s="8">
        <f>IF(N12&gt;40000,200,IF(N12&gt;25000,150,IF(N12&gt;15000,130,IF(N12&gt;10000,110,IF(N12&gt;8500,0,)))))</f>
        <v>0</v>
      </c>
      <c r="R12" s="3"/>
      <c r="S12" s="3">
        <v>0</v>
      </c>
      <c r="T12" s="9">
        <f t="shared" si="7"/>
        <v>1069</v>
      </c>
      <c r="U12" s="68">
        <f t="shared" ref="U12" si="20">N12-T12</f>
        <v>8218</v>
      </c>
      <c r="V12" s="7">
        <f t="shared" ref="V12" si="21">ROUND((E12/H12*J12)*13.36%,0)</f>
        <v>233</v>
      </c>
      <c r="W12" s="5">
        <f>ROUND((E12/12)/H12*(I12),0)</f>
        <v>629</v>
      </c>
      <c r="X12" s="68">
        <f t="shared" ref="X12" si="22">U12+W12+V12</f>
        <v>9080</v>
      </c>
      <c r="Y12" s="7"/>
      <c r="Z12" s="7">
        <f>ROUND(IF(($K12)&gt;15000,15000,IF(($K12)&lt;=15000,($K12))),0)</f>
        <v>7546</v>
      </c>
      <c r="AA12" s="7">
        <f t="shared" ref="AA12" si="23">ROUND(Z12*13.36%,0)</f>
        <v>1008</v>
      </c>
      <c r="AB12" s="7">
        <f>ROUND($G12/$H12*($I12+J12),0)</f>
        <v>9287</v>
      </c>
      <c r="AC12" s="7">
        <f t="shared" ref="AC12" si="24">ROUNDUP(AB12*4.75%,0)</f>
        <v>442</v>
      </c>
      <c r="AD12" s="91">
        <f>N12+V12+W12+AA12+AC12</f>
        <v>11599</v>
      </c>
    </row>
    <row r="13" spans="1:38">
      <c r="A13" s="89">
        <v>5</v>
      </c>
      <c r="B13" s="134" t="s">
        <v>168</v>
      </c>
      <c r="C13" s="10" t="s">
        <v>58</v>
      </c>
      <c r="D13" s="90" t="s">
        <v>105</v>
      </c>
      <c r="E13" s="3">
        <v>7546</v>
      </c>
      <c r="F13" s="3">
        <v>0</v>
      </c>
      <c r="G13" s="4">
        <f t="shared" ref="G13" si="25">E13+F13</f>
        <v>7546</v>
      </c>
      <c r="H13" s="5">
        <v>26</v>
      </c>
      <c r="I13" s="11">
        <v>24</v>
      </c>
      <c r="J13" s="11"/>
      <c r="K13" s="3">
        <f t="shared" ref="K13" si="26">E13/H13*I13</f>
        <v>6965.538461538461</v>
      </c>
      <c r="L13" s="3">
        <f t="shared" ref="L13" si="27">F13/H13*I13</f>
        <v>0</v>
      </c>
      <c r="M13" s="3">
        <f t="shared" ref="M13" si="28">G13/H13*J13</f>
        <v>0</v>
      </c>
      <c r="N13" s="6">
        <f t="shared" ref="N13" si="29">ROUND(K13+L13+M13,0)</f>
        <v>6966</v>
      </c>
      <c r="O13" s="7">
        <f t="shared" ref="O13" si="30">ROUND(Z13*12%,0)</f>
        <v>836</v>
      </c>
      <c r="P13" s="7">
        <f t="shared" ref="P13" si="31">ROUNDUP(AB13*1.75%,0)</f>
        <v>122</v>
      </c>
      <c r="Q13" s="8">
        <f t="shared" ref="Q13:Q21" si="32">IF(N13&gt;40000,200,IF(N13&gt;25000,150,IF(N13&gt;15000,130,IF(N13&gt;10000,110,IF(N13&gt;8500,0,)))))</f>
        <v>0</v>
      </c>
      <c r="R13" s="3"/>
      <c r="S13" s="3">
        <v>0</v>
      </c>
      <c r="T13" s="9">
        <f t="shared" si="7"/>
        <v>958</v>
      </c>
      <c r="U13" s="68">
        <f t="shared" ref="U13" si="33">N13-T13</f>
        <v>6008</v>
      </c>
      <c r="V13" s="7">
        <f t="shared" ref="V13" si="34">ROUND((E13/H13*J13)*13.36%,0)</f>
        <v>0</v>
      </c>
      <c r="W13" s="5">
        <f t="shared" ref="W13:W21" si="35">ROUND((E13/12)/H13*(I13),0)</f>
        <v>580</v>
      </c>
      <c r="X13" s="68">
        <f t="shared" ref="X13" si="36">U13+W13+V13</f>
        <v>6588</v>
      </c>
      <c r="Y13" s="7" t="s">
        <v>231</v>
      </c>
      <c r="Z13" s="7">
        <f t="shared" ref="Z13:Z21" si="37">ROUND(IF(($K13)&gt;15000,15000,IF(($K13)&lt;=15000,($K13))),0)</f>
        <v>6966</v>
      </c>
      <c r="AA13" s="7">
        <f t="shared" ref="AA13" si="38">ROUND(Z13*13.36%,0)</f>
        <v>931</v>
      </c>
      <c r="AB13" s="7">
        <f t="shared" ref="AB13" si="39">ROUND($G13/$H13*($I13+J13),0)</f>
        <v>6966</v>
      </c>
      <c r="AC13" s="7">
        <f t="shared" ref="AC13" si="40">ROUNDUP(AB13*4.75%,0)</f>
        <v>331</v>
      </c>
      <c r="AD13" s="91">
        <f t="shared" ref="AD13:AD21" si="41">N13+V13+W13+AA13+AC13</f>
        <v>8808</v>
      </c>
    </row>
    <row r="14" spans="1:38">
      <c r="A14" s="89">
        <v>6</v>
      </c>
      <c r="B14" s="134" t="s">
        <v>169</v>
      </c>
      <c r="C14" s="10" t="s">
        <v>59</v>
      </c>
      <c r="D14" s="90" t="s">
        <v>105</v>
      </c>
      <c r="E14" s="3">
        <v>7546</v>
      </c>
      <c r="F14" s="3">
        <v>0</v>
      </c>
      <c r="G14" s="4">
        <f t="shared" ref="G14" si="42">E14+F14</f>
        <v>7546</v>
      </c>
      <c r="H14" s="5">
        <v>26</v>
      </c>
      <c r="I14" s="11">
        <v>26</v>
      </c>
      <c r="J14" s="11"/>
      <c r="K14" s="3">
        <f t="shared" ref="K14" si="43">E14/H14*I14</f>
        <v>7546</v>
      </c>
      <c r="L14" s="3">
        <f t="shared" ref="L14" si="44">F14/H14*I14</f>
        <v>0</v>
      </c>
      <c r="M14" s="3">
        <f t="shared" ref="M14" si="45">G14/H14*J14</f>
        <v>0</v>
      </c>
      <c r="N14" s="6">
        <f t="shared" ref="N14" si="46">ROUND(K14+L14+M14,0)</f>
        <v>7546</v>
      </c>
      <c r="O14" s="7">
        <f t="shared" ref="O14" si="47">ROUND(Z14*12%,0)</f>
        <v>906</v>
      </c>
      <c r="P14" s="7">
        <f t="shared" ref="P14" si="48">ROUNDUP(AB14*1.75%,0)</f>
        <v>133</v>
      </c>
      <c r="Q14" s="8">
        <f t="shared" si="32"/>
        <v>0</v>
      </c>
      <c r="R14" s="3"/>
      <c r="S14" s="3">
        <v>0</v>
      </c>
      <c r="T14" s="9">
        <f t="shared" si="7"/>
        <v>1039</v>
      </c>
      <c r="U14" s="68">
        <f t="shared" ref="U14" si="49">N14-T14</f>
        <v>6507</v>
      </c>
      <c r="V14" s="7">
        <f t="shared" ref="V14" si="50">ROUND((E14/H14*J14)*13.36%,0)</f>
        <v>0</v>
      </c>
      <c r="W14" s="5">
        <f t="shared" si="35"/>
        <v>629</v>
      </c>
      <c r="X14" s="68">
        <f t="shared" ref="X14" si="51">U14+W14+V14</f>
        <v>7136</v>
      </c>
      <c r="Y14" s="7" t="s">
        <v>232</v>
      </c>
      <c r="Z14" s="7">
        <f t="shared" si="37"/>
        <v>7546</v>
      </c>
      <c r="AA14" s="7">
        <f t="shared" ref="AA14" si="52">ROUND(Z14*13.36%,0)</f>
        <v>1008</v>
      </c>
      <c r="AB14" s="7">
        <f t="shared" ref="AB14" si="53">ROUND($G14/$H14*($I14+J14),0)</f>
        <v>7546</v>
      </c>
      <c r="AC14" s="7">
        <f t="shared" ref="AC14" si="54">ROUNDUP(AB14*4.75%,0)</f>
        <v>359</v>
      </c>
      <c r="AD14" s="91">
        <f t="shared" si="41"/>
        <v>9542</v>
      </c>
    </row>
    <row r="15" spans="1:38">
      <c r="A15" s="89">
        <v>7</v>
      </c>
      <c r="B15" s="134" t="s">
        <v>170</v>
      </c>
      <c r="C15" s="10" t="s">
        <v>62</v>
      </c>
      <c r="D15" s="90" t="s">
        <v>105</v>
      </c>
      <c r="E15" s="3">
        <v>7546</v>
      </c>
      <c r="F15" s="3">
        <v>0</v>
      </c>
      <c r="G15" s="4">
        <f>E15+F15</f>
        <v>7546</v>
      </c>
      <c r="H15" s="5">
        <v>26</v>
      </c>
      <c r="I15" s="11">
        <v>26</v>
      </c>
      <c r="J15" s="11">
        <v>2</v>
      </c>
      <c r="K15" s="3">
        <f>E15/H15*I15</f>
        <v>7546</v>
      </c>
      <c r="L15" s="3">
        <f>F15/H15*I15</f>
        <v>0</v>
      </c>
      <c r="M15" s="3">
        <f>G15/H15*J15</f>
        <v>580.46153846153845</v>
      </c>
      <c r="N15" s="6">
        <f>ROUND(K15+L15+M15,0)</f>
        <v>8126</v>
      </c>
      <c r="O15" s="7">
        <f>ROUND(Z15*12%,0)</f>
        <v>906</v>
      </c>
      <c r="P15" s="7">
        <f>ROUNDUP(AB15*1.75%,0)</f>
        <v>143</v>
      </c>
      <c r="Q15" s="8">
        <f>IF(N15&gt;40000,200,IF(N15&gt;25000,150,IF(N15&gt;15000,130,IF(N15&gt;10000,110,IF(N15&gt;8500,0,)))))</f>
        <v>0</v>
      </c>
      <c r="R15" s="3"/>
      <c r="S15" s="3">
        <v>0</v>
      </c>
      <c r="T15" s="9">
        <f t="shared" si="7"/>
        <v>1049</v>
      </c>
      <c r="U15" s="68">
        <f>N15-T15</f>
        <v>7077</v>
      </c>
      <c r="V15" s="7">
        <f>ROUND((E15/H15*J15)*13.36%,0)</f>
        <v>78</v>
      </c>
      <c r="W15" s="5">
        <f>ROUND((E15/12)/H15*(I15),0)</f>
        <v>629</v>
      </c>
      <c r="X15" s="68">
        <f>U15+W15+V15</f>
        <v>7784</v>
      </c>
      <c r="Y15" s="7"/>
      <c r="Z15" s="7">
        <f>ROUND(IF(($K15)&gt;15000,15000,IF(($K15)&lt;=15000,($K15))),0)</f>
        <v>7546</v>
      </c>
      <c r="AA15" s="7">
        <f>ROUND(Z15*13.36%,0)</f>
        <v>1008</v>
      </c>
      <c r="AB15" s="7">
        <f>ROUND($G15/$H15*($I15+J15),0)</f>
        <v>8126</v>
      </c>
      <c r="AC15" s="7">
        <f>ROUNDUP(AB15*4.75%,0)</f>
        <v>386</v>
      </c>
      <c r="AD15" s="91">
        <f>N15+V15+W15+AA15+AC15</f>
        <v>10227</v>
      </c>
    </row>
    <row r="16" spans="1:38">
      <c r="A16" s="89">
        <v>8</v>
      </c>
      <c r="B16" s="134" t="s">
        <v>171</v>
      </c>
      <c r="C16" s="10" t="s">
        <v>61</v>
      </c>
      <c r="D16" s="90" t="s">
        <v>105</v>
      </c>
      <c r="E16" s="3">
        <v>7546</v>
      </c>
      <c r="F16" s="3">
        <v>0</v>
      </c>
      <c r="G16" s="4">
        <f>E16+F16</f>
        <v>7546</v>
      </c>
      <c r="H16" s="5">
        <v>26</v>
      </c>
      <c r="I16" s="11">
        <v>26</v>
      </c>
      <c r="J16" s="11">
        <v>1</v>
      </c>
      <c r="K16" s="3">
        <f>E16/H16*I16</f>
        <v>7546</v>
      </c>
      <c r="L16" s="3">
        <f>F16/H16*I16</f>
        <v>0</v>
      </c>
      <c r="M16" s="3">
        <f>G16/H16*J16</f>
        <v>290.23076923076923</v>
      </c>
      <c r="N16" s="6">
        <f>ROUND(K16+L16+M16,0)</f>
        <v>7836</v>
      </c>
      <c r="O16" s="7">
        <f>ROUND(Z16*12%,0)</f>
        <v>906</v>
      </c>
      <c r="P16" s="7">
        <f>ROUNDUP(AB16*1.75%,0)</f>
        <v>138</v>
      </c>
      <c r="Q16" s="8">
        <f>IF(N16&gt;40000,200,IF(N16&gt;25000,150,IF(N16&gt;15000,130,IF(N16&gt;10000,110,IF(N16&gt;8500,0,)))))</f>
        <v>0</v>
      </c>
      <c r="R16" s="3"/>
      <c r="S16" s="3">
        <v>0</v>
      </c>
      <c r="T16" s="9">
        <f t="shared" si="7"/>
        <v>1044</v>
      </c>
      <c r="U16" s="68">
        <f>N16-T16</f>
        <v>6792</v>
      </c>
      <c r="V16" s="7">
        <f>ROUND((E16/H16*J16)*13.36%,0)</f>
        <v>39</v>
      </c>
      <c r="W16" s="5">
        <f>ROUND((E16/12)/H16*(I16),0)</f>
        <v>629</v>
      </c>
      <c r="X16" s="68">
        <f>U16+W16+V16</f>
        <v>7460</v>
      </c>
      <c r="Y16" s="7" t="s">
        <v>230</v>
      </c>
      <c r="Z16" s="7">
        <f>ROUND(IF(($K16)&gt;15000,15000,IF(($K16)&lt;=15000,($K16))),0)</f>
        <v>7546</v>
      </c>
      <c r="AA16" s="7">
        <f>ROUND(Z16*13.36%,0)</f>
        <v>1008</v>
      </c>
      <c r="AB16" s="7">
        <f>ROUND($G16/$H16*($I16+J16),0)</f>
        <v>7836</v>
      </c>
      <c r="AC16" s="7">
        <f>ROUNDUP(AB16*4.75%,0)</f>
        <v>373</v>
      </c>
      <c r="AD16" s="91">
        <f>N16+V16+W16+AA16+AC16</f>
        <v>9885</v>
      </c>
    </row>
    <row r="17" spans="1:30">
      <c r="A17" s="89">
        <v>9</v>
      </c>
      <c r="B17" s="134" t="s">
        <v>172</v>
      </c>
      <c r="C17" s="10" t="s">
        <v>63</v>
      </c>
      <c r="D17" s="90" t="s">
        <v>105</v>
      </c>
      <c r="E17" s="3">
        <v>7546</v>
      </c>
      <c r="F17" s="3">
        <v>0</v>
      </c>
      <c r="G17" s="4">
        <f>E17+F17</f>
        <v>7546</v>
      </c>
      <c r="H17" s="5">
        <v>26</v>
      </c>
      <c r="I17" s="11">
        <v>26</v>
      </c>
      <c r="J17" s="11">
        <v>2</v>
      </c>
      <c r="K17" s="3">
        <f>E17/H17*I17</f>
        <v>7546</v>
      </c>
      <c r="L17" s="3">
        <f>F17/H17*I17</f>
        <v>0</v>
      </c>
      <c r="M17" s="3">
        <f>G17/H17*J17</f>
        <v>580.46153846153845</v>
      </c>
      <c r="N17" s="6">
        <f>ROUND(K17+L17+M17,0)</f>
        <v>8126</v>
      </c>
      <c r="O17" s="7">
        <f>ROUND(Z17*12%,0)</f>
        <v>906</v>
      </c>
      <c r="P17" s="7">
        <f>ROUNDUP(AB17*1.75%,0)</f>
        <v>143</v>
      </c>
      <c r="Q17" s="8">
        <f>IF(N17&gt;40000,200,IF(N17&gt;25000,150,IF(N17&gt;15000,130,IF(N17&gt;10000,110,IF(N17&gt;8500,0,)))))</f>
        <v>0</v>
      </c>
      <c r="R17" s="3"/>
      <c r="S17" s="3">
        <v>0</v>
      </c>
      <c r="T17" s="9">
        <f t="shared" si="7"/>
        <v>1049</v>
      </c>
      <c r="U17" s="68">
        <f>N17-T17</f>
        <v>7077</v>
      </c>
      <c r="V17" s="7">
        <f>ROUND((E17/H17*J17)*13.36%,0)</f>
        <v>78</v>
      </c>
      <c r="W17" s="5">
        <f>ROUND((E17/12)/H17*(I17),0)</f>
        <v>629</v>
      </c>
      <c r="X17" s="68">
        <f>U17+W17+V17</f>
        <v>7784</v>
      </c>
      <c r="Y17" s="7"/>
      <c r="Z17" s="7">
        <f>ROUND(IF(($K17)&gt;15000,15000,IF(($K17)&lt;=15000,($K17))),0)</f>
        <v>7546</v>
      </c>
      <c r="AA17" s="7">
        <f>ROUND(Z17*13.36%,0)</f>
        <v>1008</v>
      </c>
      <c r="AB17" s="7">
        <f>ROUND($G17/$H17*($I17+J17),0)</f>
        <v>8126</v>
      </c>
      <c r="AC17" s="7">
        <f>ROUNDUP(AB17*4.75%,0)</f>
        <v>386</v>
      </c>
      <c r="AD17" s="91">
        <f>N17+V17+W17+AA17+AC17</f>
        <v>10227</v>
      </c>
    </row>
    <row r="18" spans="1:30" ht="24">
      <c r="A18" s="89">
        <v>10</v>
      </c>
      <c r="B18" s="134" t="s">
        <v>173</v>
      </c>
      <c r="C18" s="10" t="s">
        <v>57</v>
      </c>
      <c r="D18" s="90" t="s">
        <v>228</v>
      </c>
      <c r="E18" s="3">
        <v>7546</v>
      </c>
      <c r="F18" s="3">
        <v>0</v>
      </c>
      <c r="G18" s="4">
        <f>E18+F18</f>
        <v>7546</v>
      </c>
      <c r="H18" s="5">
        <v>26</v>
      </c>
      <c r="I18" s="11">
        <v>8</v>
      </c>
      <c r="J18" s="11"/>
      <c r="K18" s="3">
        <f>E18/H18*I18</f>
        <v>2321.8461538461538</v>
      </c>
      <c r="L18" s="3">
        <f>F18/H18*I18</f>
        <v>0</v>
      </c>
      <c r="M18" s="3">
        <f>G18/H18*J18</f>
        <v>0</v>
      </c>
      <c r="N18" s="6">
        <f>ROUND(K18+L18+M18,0)</f>
        <v>2322</v>
      </c>
      <c r="O18" s="7">
        <f>ROUND(Z18*12%,0)</f>
        <v>279</v>
      </c>
      <c r="P18" s="7">
        <f>ROUNDUP(AB18*1.75%,0)</f>
        <v>41</v>
      </c>
      <c r="Q18" s="8">
        <f>IF(N18&gt;40000,200,IF(N18&gt;25000,150,IF(N18&gt;15000,130,IF(N18&gt;10000,110,IF(N18&gt;8500,0,)))))</f>
        <v>0</v>
      </c>
      <c r="R18" s="3"/>
      <c r="S18" s="3">
        <v>0</v>
      </c>
      <c r="T18" s="9">
        <f t="shared" si="7"/>
        <v>320</v>
      </c>
      <c r="U18" s="68">
        <f>N18-T18</f>
        <v>2002</v>
      </c>
      <c r="V18" s="7">
        <f>ROUND((E18/H18*J18)*13.36%,0)</f>
        <v>0</v>
      </c>
      <c r="W18" s="5">
        <f>ROUND((E18/12)/H18*(I18),0)</f>
        <v>193</v>
      </c>
      <c r="X18" s="68">
        <f>U18+W18+V18</f>
        <v>2195</v>
      </c>
      <c r="Y18" s="7"/>
      <c r="Z18" s="7">
        <f>ROUND(IF(($K18)&gt;15000,15000,IF(($K18)&lt;=15000,($K18))),0)</f>
        <v>2322</v>
      </c>
      <c r="AA18" s="7">
        <f>ROUND(Z18*13.36%,0)</f>
        <v>310</v>
      </c>
      <c r="AB18" s="7">
        <f>ROUND($G18/$H18*($I18+J18),0)</f>
        <v>2322</v>
      </c>
      <c r="AC18" s="7">
        <f>ROUNDUP(AB18*4.75%,0)</f>
        <v>111</v>
      </c>
      <c r="AD18" s="91">
        <f>N18+V18+W18+AA18+AC18</f>
        <v>2936</v>
      </c>
    </row>
    <row r="19" spans="1:30" ht="24">
      <c r="A19" s="89">
        <v>11</v>
      </c>
      <c r="B19" s="134" t="s">
        <v>174</v>
      </c>
      <c r="C19" s="45" t="s">
        <v>68</v>
      </c>
      <c r="D19" s="90" t="s">
        <v>228</v>
      </c>
      <c r="E19" s="3">
        <v>7546</v>
      </c>
      <c r="F19" s="3">
        <v>0</v>
      </c>
      <c r="G19" s="4">
        <f t="shared" ref="G19:G20" si="55">E19+F19</f>
        <v>7546</v>
      </c>
      <c r="H19" s="5">
        <v>26</v>
      </c>
      <c r="I19" s="11">
        <v>7</v>
      </c>
      <c r="J19" s="11"/>
      <c r="K19" s="3">
        <f t="shared" ref="K19:K20" si="56">E19/H19*I19</f>
        <v>2031.6153846153845</v>
      </c>
      <c r="L19" s="3">
        <f t="shared" ref="L19:L20" si="57">F19/H19*I19</f>
        <v>0</v>
      </c>
      <c r="M19" s="3">
        <f t="shared" ref="M19:M20" si="58">G19/H19*J19</f>
        <v>0</v>
      </c>
      <c r="N19" s="6">
        <f t="shared" ref="N19:N20" si="59">ROUND(K19+L19+M19,0)</f>
        <v>2032</v>
      </c>
      <c r="O19" s="7">
        <f t="shared" ref="O19:O20" si="60">ROUND(Z19*12%,0)</f>
        <v>244</v>
      </c>
      <c r="P19" s="7">
        <f t="shared" ref="P19:P20" si="61">ROUNDUP(AB19*1.75%,0)</f>
        <v>36</v>
      </c>
      <c r="Q19" s="8">
        <f t="shared" si="32"/>
        <v>0</v>
      </c>
      <c r="R19" s="3"/>
      <c r="S19" s="3">
        <v>0</v>
      </c>
      <c r="T19" s="9">
        <f t="shared" si="7"/>
        <v>280</v>
      </c>
      <c r="U19" s="68">
        <f t="shared" ref="U19:U20" si="62">N19-T19</f>
        <v>1752</v>
      </c>
      <c r="V19" s="7">
        <f t="shared" ref="V19:V20" si="63">ROUND((E19/H19*J19)*13.36%,0)</f>
        <v>0</v>
      </c>
      <c r="W19" s="5">
        <f t="shared" si="35"/>
        <v>169</v>
      </c>
      <c r="X19" s="68">
        <f t="shared" ref="X19:X20" si="64">U19+W19+V19</f>
        <v>1921</v>
      </c>
      <c r="Y19" s="7"/>
      <c r="Z19" s="7">
        <f t="shared" si="37"/>
        <v>2032</v>
      </c>
      <c r="AA19" s="7">
        <f t="shared" ref="AA19:AA20" si="65">ROUND(Z19*13.36%,0)</f>
        <v>271</v>
      </c>
      <c r="AB19" s="7">
        <f t="shared" ref="AB19:AB20" si="66">ROUND($G19/$H19*($I19+J19),0)</f>
        <v>2032</v>
      </c>
      <c r="AC19" s="7">
        <f t="shared" ref="AC19:AC20" si="67">ROUNDUP(AB19*4.75%,0)</f>
        <v>97</v>
      </c>
      <c r="AD19" s="91">
        <f t="shared" si="41"/>
        <v>2569</v>
      </c>
    </row>
    <row r="20" spans="1:30" ht="24">
      <c r="A20" s="89">
        <v>12</v>
      </c>
      <c r="B20" s="134" t="s">
        <v>175</v>
      </c>
      <c r="C20" s="45" t="s">
        <v>91</v>
      </c>
      <c r="D20" s="90" t="s">
        <v>228</v>
      </c>
      <c r="E20" s="3">
        <v>7546</v>
      </c>
      <c r="F20" s="3">
        <v>0</v>
      </c>
      <c r="G20" s="4">
        <f t="shared" si="55"/>
        <v>7546</v>
      </c>
      <c r="H20" s="5">
        <v>26</v>
      </c>
      <c r="I20" s="11">
        <v>1</v>
      </c>
      <c r="J20" s="11"/>
      <c r="K20" s="3">
        <f t="shared" si="56"/>
        <v>290.23076923076923</v>
      </c>
      <c r="L20" s="3">
        <f t="shared" si="57"/>
        <v>0</v>
      </c>
      <c r="M20" s="3">
        <f t="shared" si="58"/>
        <v>0</v>
      </c>
      <c r="N20" s="6">
        <f t="shared" si="59"/>
        <v>290</v>
      </c>
      <c r="O20" s="7">
        <f t="shared" si="60"/>
        <v>35</v>
      </c>
      <c r="P20" s="7">
        <f t="shared" si="61"/>
        <v>6</v>
      </c>
      <c r="Q20" s="8">
        <f t="shared" si="32"/>
        <v>0</v>
      </c>
      <c r="R20" s="3"/>
      <c r="S20" s="3">
        <v>0</v>
      </c>
      <c r="T20" s="9">
        <f t="shared" si="7"/>
        <v>41</v>
      </c>
      <c r="U20" s="68">
        <f t="shared" si="62"/>
        <v>249</v>
      </c>
      <c r="V20" s="7">
        <f t="shared" si="63"/>
        <v>0</v>
      </c>
      <c r="W20" s="5">
        <f t="shared" si="35"/>
        <v>24</v>
      </c>
      <c r="X20" s="68">
        <f t="shared" si="64"/>
        <v>273</v>
      </c>
      <c r="Y20" s="7"/>
      <c r="Z20" s="7">
        <f t="shared" si="37"/>
        <v>290</v>
      </c>
      <c r="AA20" s="7">
        <f t="shared" si="65"/>
        <v>39</v>
      </c>
      <c r="AB20" s="7">
        <f t="shared" si="66"/>
        <v>290</v>
      </c>
      <c r="AC20" s="7">
        <f t="shared" si="67"/>
        <v>14</v>
      </c>
      <c r="AD20" s="91">
        <f t="shared" si="41"/>
        <v>367</v>
      </c>
    </row>
    <row r="21" spans="1:30" ht="24">
      <c r="A21" s="89">
        <v>13</v>
      </c>
      <c r="B21" s="134" t="s">
        <v>176</v>
      </c>
      <c r="C21" s="45" t="s">
        <v>69</v>
      </c>
      <c r="D21" s="90" t="s">
        <v>228</v>
      </c>
      <c r="E21" s="3">
        <v>7546</v>
      </c>
      <c r="F21" s="3">
        <v>0</v>
      </c>
      <c r="G21" s="4">
        <f t="shared" ref="G21" si="68">E21+F21</f>
        <v>7546</v>
      </c>
      <c r="H21" s="5">
        <v>26</v>
      </c>
      <c r="I21" s="11">
        <v>1</v>
      </c>
      <c r="J21" s="11"/>
      <c r="K21" s="3">
        <f t="shared" ref="K21" si="69">E21/H21*I21</f>
        <v>290.23076923076923</v>
      </c>
      <c r="L21" s="3">
        <f t="shared" ref="L21" si="70">F21/H21*I21</f>
        <v>0</v>
      </c>
      <c r="M21" s="3">
        <f t="shared" ref="M21" si="71">G21/H21*J21</f>
        <v>0</v>
      </c>
      <c r="N21" s="6">
        <f t="shared" ref="N21" si="72">ROUND(K21+L21+M21,0)</f>
        <v>290</v>
      </c>
      <c r="O21" s="7">
        <f t="shared" ref="O21" si="73">ROUND(Z21*12%,0)</f>
        <v>35</v>
      </c>
      <c r="P21" s="7">
        <f t="shared" ref="P21" si="74">ROUNDUP(AB21*1.75%,0)</f>
        <v>6</v>
      </c>
      <c r="Q21" s="8">
        <f t="shared" si="32"/>
        <v>0</v>
      </c>
      <c r="R21" s="3"/>
      <c r="S21" s="3">
        <v>0</v>
      </c>
      <c r="T21" s="9">
        <f t="shared" si="7"/>
        <v>41</v>
      </c>
      <c r="U21" s="68">
        <f t="shared" ref="U21" si="75">N21-T21</f>
        <v>249</v>
      </c>
      <c r="V21" s="7">
        <f t="shared" ref="V21" si="76">ROUND((E21/H21*J21)*13.36%,0)</f>
        <v>0</v>
      </c>
      <c r="W21" s="5">
        <f t="shared" si="35"/>
        <v>24</v>
      </c>
      <c r="X21" s="68">
        <f t="shared" ref="X21" si="77">U21+W21+V21</f>
        <v>273</v>
      </c>
      <c r="Y21" s="7"/>
      <c r="Z21" s="7">
        <f t="shared" si="37"/>
        <v>290</v>
      </c>
      <c r="AA21" s="7">
        <f t="shared" ref="AA21" si="78">ROUND(Z21*13.36%,0)</f>
        <v>39</v>
      </c>
      <c r="AB21" s="7">
        <f t="shared" ref="AB21" si="79">ROUND($G21/$H21*($I21+J21),0)</f>
        <v>290</v>
      </c>
      <c r="AC21" s="7">
        <f t="shared" ref="AC21" si="80">ROUNDUP(AB21*4.75%,0)</f>
        <v>14</v>
      </c>
      <c r="AD21" s="91">
        <f t="shared" si="41"/>
        <v>367</v>
      </c>
    </row>
    <row r="22" spans="1:30">
      <c r="A22" s="89"/>
      <c r="B22" s="134"/>
      <c r="C22" s="45"/>
      <c r="D22" s="90"/>
      <c r="E22" s="3"/>
      <c r="F22" s="3"/>
      <c r="G22" s="4"/>
      <c r="H22" s="5"/>
      <c r="I22" s="11"/>
      <c r="J22" s="11"/>
      <c r="K22" s="3"/>
      <c r="L22" s="3"/>
      <c r="M22" s="3"/>
      <c r="N22" s="6"/>
      <c r="O22" s="7"/>
      <c r="P22" s="7"/>
      <c r="Q22" s="8"/>
      <c r="R22" s="3"/>
      <c r="S22" s="3"/>
      <c r="T22" s="9"/>
      <c r="U22" s="68"/>
      <c r="V22" s="7"/>
      <c r="W22" s="5"/>
      <c r="X22" s="68"/>
      <c r="Y22" s="7"/>
      <c r="Z22" s="7"/>
      <c r="AA22" s="7"/>
      <c r="AB22" s="7"/>
      <c r="AC22" s="7"/>
      <c r="AD22" s="93"/>
    </row>
    <row r="23" spans="1:30">
      <c r="A23" s="54"/>
      <c r="B23" s="129"/>
      <c r="C23" s="54"/>
      <c r="D23" s="12"/>
      <c r="E23" s="13"/>
      <c r="F23" s="13"/>
      <c r="G23" s="13"/>
      <c r="H23" s="13"/>
      <c r="I23" s="11">
        <f t="shared" ref="I23:AD23" si="81">SUM(I9:I22)</f>
        <v>243</v>
      </c>
      <c r="J23" s="11">
        <f t="shared" si="81"/>
        <v>13</v>
      </c>
      <c r="K23" s="13">
        <f t="shared" si="81"/>
        <v>70526.076923076922</v>
      </c>
      <c r="L23" s="13">
        <f t="shared" si="81"/>
        <v>0</v>
      </c>
      <c r="M23" s="13">
        <f t="shared" si="81"/>
        <v>3773</v>
      </c>
      <c r="N23" s="13">
        <f t="shared" si="81"/>
        <v>74297</v>
      </c>
      <c r="O23" s="13">
        <f t="shared" si="81"/>
        <v>8467</v>
      </c>
      <c r="P23" s="13">
        <f t="shared" si="81"/>
        <v>1308</v>
      </c>
      <c r="Q23" s="13">
        <f t="shared" si="81"/>
        <v>0</v>
      </c>
      <c r="R23" s="13">
        <f t="shared" si="81"/>
        <v>2000</v>
      </c>
      <c r="S23" s="13">
        <f t="shared" si="81"/>
        <v>0</v>
      </c>
      <c r="T23" s="13">
        <f t="shared" si="81"/>
        <v>11775</v>
      </c>
      <c r="U23" s="96">
        <f t="shared" si="81"/>
        <v>62522</v>
      </c>
      <c r="V23" s="13">
        <f t="shared" si="81"/>
        <v>506</v>
      </c>
      <c r="W23" s="13">
        <f t="shared" si="81"/>
        <v>5876</v>
      </c>
      <c r="X23" s="96">
        <f t="shared" si="81"/>
        <v>68904</v>
      </c>
      <c r="Y23" s="13">
        <f t="shared" si="81"/>
        <v>0</v>
      </c>
      <c r="Z23" s="13">
        <f t="shared" si="81"/>
        <v>70526</v>
      </c>
      <c r="AA23" s="13">
        <f t="shared" si="81"/>
        <v>9422</v>
      </c>
      <c r="AB23" s="13">
        <f t="shared" si="81"/>
        <v>74297</v>
      </c>
      <c r="AC23" s="13">
        <f t="shared" si="81"/>
        <v>3535</v>
      </c>
      <c r="AD23" s="94">
        <f t="shared" si="81"/>
        <v>93636</v>
      </c>
    </row>
    <row r="24" spans="1:30" ht="24">
      <c r="A24" s="89">
        <v>1</v>
      </c>
      <c r="B24" s="134" t="s">
        <v>177</v>
      </c>
      <c r="C24" s="45" t="s">
        <v>65</v>
      </c>
      <c r="D24" s="90" t="s">
        <v>226</v>
      </c>
      <c r="E24" s="3">
        <v>8301</v>
      </c>
      <c r="F24" s="3"/>
      <c r="G24" s="4">
        <f>E24+F24</f>
        <v>8301</v>
      </c>
      <c r="H24" s="5">
        <v>26</v>
      </c>
      <c r="I24" s="11">
        <v>26</v>
      </c>
      <c r="J24" s="11">
        <v>1</v>
      </c>
      <c r="K24" s="3">
        <f>E24/H24*I24</f>
        <v>8301</v>
      </c>
      <c r="L24" s="3">
        <f>F24/H24*I24</f>
        <v>0</v>
      </c>
      <c r="M24" s="3">
        <f>G24/H24*J24</f>
        <v>319.26923076923077</v>
      </c>
      <c r="N24" s="6">
        <f>ROUND(K24+L24+M24,0)</f>
        <v>8620</v>
      </c>
      <c r="O24" s="7">
        <f>ROUND(Z24*12%,0)</f>
        <v>996</v>
      </c>
      <c r="P24" s="7">
        <f>ROUNDUP(AB24*1.75%,0)</f>
        <v>151</v>
      </c>
      <c r="Q24" s="8">
        <f>IF(N24&gt;40000,200,IF(N24&gt;25000,150,IF(N24&gt;15000,130,IF(N24&gt;10000,110,IF(N24&gt;8500,0,)))))</f>
        <v>0</v>
      </c>
      <c r="R24" s="3">
        <v>0</v>
      </c>
      <c r="S24" s="3">
        <v>0</v>
      </c>
      <c r="T24" s="9">
        <f>SUM(O24:S24)</f>
        <v>1147</v>
      </c>
      <c r="U24" s="68">
        <f>N24-T24</f>
        <v>7473</v>
      </c>
      <c r="V24" s="7">
        <f>ROUND((E24/H24*J24)*13.36%,0)</f>
        <v>43</v>
      </c>
      <c r="W24" s="5">
        <f>ROUND((E24/12)/H24*(I24),0)</f>
        <v>692</v>
      </c>
      <c r="X24" s="68">
        <f>U24+W24+V24</f>
        <v>8208</v>
      </c>
      <c r="Y24" s="7"/>
      <c r="Z24" s="7">
        <f>ROUND(IF(($K24)&gt;15000,15000,IF(($K24)&lt;=15000,($K24))),0)</f>
        <v>8301</v>
      </c>
      <c r="AA24" s="7">
        <f>ROUND(Z24*13.36%,0)</f>
        <v>1109</v>
      </c>
      <c r="AB24" s="7">
        <f>ROUND($G24/$H24*($I24+J24),0)</f>
        <v>8620</v>
      </c>
      <c r="AC24" s="7">
        <f>ROUNDUP(AB24*4.75%,0)</f>
        <v>410</v>
      </c>
      <c r="AD24" s="91">
        <f t="shared" ref="AD24" si="82">N24+V24+W24+AA24+AC24</f>
        <v>10874</v>
      </c>
    </row>
    <row r="25" spans="1:30">
      <c r="A25" s="89"/>
      <c r="B25" s="134"/>
      <c r="C25" s="45"/>
      <c r="D25" s="90"/>
      <c r="E25" s="3"/>
      <c r="F25" s="3"/>
      <c r="G25" s="4"/>
      <c r="H25" s="5"/>
      <c r="I25" s="11"/>
      <c r="J25" s="11"/>
      <c r="K25" s="3"/>
      <c r="L25" s="3"/>
      <c r="M25" s="3"/>
      <c r="N25" s="6"/>
      <c r="O25" s="7"/>
      <c r="P25" s="7"/>
      <c r="Q25" s="8"/>
      <c r="R25" s="3"/>
      <c r="S25" s="3"/>
      <c r="T25" s="9"/>
      <c r="U25" s="68"/>
      <c r="V25" s="7"/>
      <c r="W25" s="5"/>
      <c r="X25" s="68"/>
      <c r="Y25" s="7"/>
      <c r="Z25" s="7"/>
      <c r="AA25" s="7"/>
      <c r="AB25" s="7"/>
      <c r="AC25" s="7"/>
      <c r="AD25" s="93"/>
    </row>
    <row r="26" spans="1:30">
      <c r="A26" s="54"/>
      <c r="B26" s="129"/>
      <c r="C26" s="54"/>
      <c r="D26" s="12"/>
      <c r="E26" s="13"/>
      <c r="F26" s="13"/>
      <c r="G26" s="13"/>
      <c r="H26" s="13"/>
      <c r="I26" s="11">
        <f t="shared" ref="I26:AC26" si="83">SUM(I24:I25)</f>
        <v>26</v>
      </c>
      <c r="J26" s="11">
        <f t="shared" si="83"/>
        <v>1</v>
      </c>
      <c r="K26" s="13">
        <f t="shared" si="83"/>
        <v>8301</v>
      </c>
      <c r="L26" s="13">
        <f t="shared" si="83"/>
        <v>0</v>
      </c>
      <c r="M26" s="13">
        <f t="shared" si="83"/>
        <v>319.26923076923077</v>
      </c>
      <c r="N26" s="13">
        <f t="shared" si="83"/>
        <v>8620</v>
      </c>
      <c r="O26" s="13">
        <f t="shared" si="83"/>
        <v>996</v>
      </c>
      <c r="P26" s="13">
        <f t="shared" si="83"/>
        <v>151</v>
      </c>
      <c r="Q26" s="13">
        <f t="shared" si="83"/>
        <v>0</v>
      </c>
      <c r="R26" s="13">
        <f t="shared" si="83"/>
        <v>0</v>
      </c>
      <c r="S26" s="13">
        <f t="shared" si="83"/>
        <v>0</v>
      </c>
      <c r="T26" s="13">
        <f t="shared" si="83"/>
        <v>1147</v>
      </c>
      <c r="U26" s="96">
        <f t="shared" si="83"/>
        <v>7473</v>
      </c>
      <c r="V26" s="13">
        <f t="shared" si="83"/>
        <v>43</v>
      </c>
      <c r="W26" s="13">
        <f t="shared" si="83"/>
        <v>692</v>
      </c>
      <c r="X26" s="96">
        <f t="shared" si="83"/>
        <v>8208</v>
      </c>
      <c r="Y26" s="13">
        <f t="shared" si="83"/>
        <v>0</v>
      </c>
      <c r="Z26" s="13">
        <f t="shared" si="83"/>
        <v>8301</v>
      </c>
      <c r="AA26" s="13">
        <f t="shared" si="83"/>
        <v>1109</v>
      </c>
      <c r="AB26" s="13">
        <f t="shared" si="83"/>
        <v>8620</v>
      </c>
      <c r="AC26" s="13">
        <f t="shared" si="83"/>
        <v>410</v>
      </c>
      <c r="AD26" s="94">
        <f>SUM(AD24:AD25)</f>
        <v>10874</v>
      </c>
    </row>
    <row r="27" spans="1:30">
      <c r="A27" s="89">
        <v>1</v>
      </c>
      <c r="B27" s="70" t="s">
        <v>183</v>
      </c>
      <c r="C27" s="10" t="s">
        <v>129</v>
      </c>
      <c r="D27" s="45" t="s">
        <v>30</v>
      </c>
      <c r="E27" s="3">
        <v>9132</v>
      </c>
      <c r="F27" s="3">
        <v>550</v>
      </c>
      <c r="G27" s="4">
        <f>E27+F27</f>
        <v>9682</v>
      </c>
      <c r="H27" s="5">
        <v>26</v>
      </c>
      <c r="I27" s="11">
        <v>26</v>
      </c>
      <c r="J27" s="11">
        <v>0</v>
      </c>
      <c r="K27" s="3">
        <f>E27/H27*I27</f>
        <v>9132</v>
      </c>
      <c r="L27" s="3">
        <f>F27/H27*I27</f>
        <v>550</v>
      </c>
      <c r="M27" s="3">
        <f>G27/H27*J27</f>
        <v>0</v>
      </c>
      <c r="N27" s="6">
        <f>SUM(K27:M27)</f>
        <v>9682</v>
      </c>
      <c r="O27" s="7">
        <f>ROUND(Z27*12%,0)</f>
        <v>1096</v>
      </c>
      <c r="P27" s="7">
        <f>ROUNDUP(AB27*1.75%,0)</f>
        <v>170</v>
      </c>
      <c r="Q27" s="8">
        <f>IF(N27&gt;40000,200,IF(N27&gt;25000,150,IF(N27&gt;15000,130,IF(N27&gt;10000,110,IF(N27&gt;8500,0,)))))</f>
        <v>0</v>
      </c>
      <c r="R27" s="3">
        <v>0</v>
      </c>
      <c r="S27" s="3">
        <v>0</v>
      </c>
      <c r="T27" s="9">
        <f>SUM(O27:S27)</f>
        <v>1266</v>
      </c>
      <c r="U27" s="68">
        <f>N27-T27</f>
        <v>8416</v>
      </c>
      <c r="V27" s="7">
        <f>((E27/H27*J27)*13.36%)</f>
        <v>0</v>
      </c>
      <c r="W27" s="5">
        <f>((E27/12)/H27*(I27))</f>
        <v>761</v>
      </c>
      <c r="X27" s="68">
        <f>U27+W27+V27</f>
        <v>9177</v>
      </c>
      <c r="Y27" s="7"/>
      <c r="Z27" s="7">
        <f>ROUND(IF(($K27)&gt;15000,15000,IF(($K27)&lt;=15000,($K27))),0)</f>
        <v>9132</v>
      </c>
      <c r="AA27" s="7">
        <f>ROUND(Z27*13.36%,0)</f>
        <v>1220</v>
      </c>
      <c r="AB27" s="7">
        <f>ROUND($G27/$H27*($I27+J27),0)</f>
        <v>9682</v>
      </c>
      <c r="AC27" s="7">
        <f>ROUNDUP(AB27*4.75%,0)</f>
        <v>460</v>
      </c>
      <c r="AD27" s="91">
        <f t="shared" ref="AD27" si="84">N27+V27+W27+AA27+AC27</f>
        <v>12123</v>
      </c>
    </row>
    <row r="28" spans="1:30">
      <c r="A28" s="89"/>
      <c r="B28" s="134"/>
      <c r="C28" s="45"/>
      <c r="D28" s="90"/>
      <c r="E28" s="3"/>
      <c r="F28" s="3"/>
      <c r="G28" s="4"/>
      <c r="H28" s="5"/>
      <c r="I28" s="11"/>
      <c r="J28" s="11"/>
      <c r="K28" s="3"/>
      <c r="L28" s="3"/>
      <c r="M28" s="3"/>
      <c r="N28" s="6"/>
      <c r="O28" s="7"/>
      <c r="P28" s="7"/>
      <c r="Q28" s="8"/>
      <c r="R28" s="3"/>
      <c r="S28" s="3"/>
      <c r="T28" s="9"/>
      <c r="U28" s="68"/>
      <c r="V28" s="7"/>
      <c r="W28" s="5"/>
      <c r="X28" s="68"/>
      <c r="Y28" s="7"/>
      <c r="Z28" s="7"/>
      <c r="AA28" s="7"/>
      <c r="AB28" s="7"/>
      <c r="AC28" s="7"/>
      <c r="AD28" s="93"/>
    </row>
    <row r="29" spans="1:30">
      <c r="A29" s="54"/>
      <c r="B29" s="129"/>
      <c r="C29" s="54"/>
      <c r="D29" s="12"/>
      <c r="E29" s="13"/>
      <c r="F29" s="13"/>
      <c r="G29" s="13"/>
      <c r="H29" s="13"/>
      <c r="I29" s="11">
        <f t="shared" ref="I29:AC29" si="85">SUM(I27:I28)</f>
        <v>26</v>
      </c>
      <c r="J29" s="11">
        <f t="shared" si="85"/>
        <v>0</v>
      </c>
      <c r="K29" s="13">
        <f t="shared" si="85"/>
        <v>9132</v>
      </c>
      <c r="L29" s="13">
        <f t="shared" si="85"/>
        <v>550</v>
      </c>
      <c r="M29" s="13">
        <f t="shared" si="85"/>
        <v>0</v>
      </c>
      <c r="N29" s="13">
        <f t="shared" si="85"/>
        <v>9682</v>
      </c>
      <c r="O29" s="13">
        <f t="shared" si="85"/>
        <v>1096</v>
      </c>
      <c r="P29" s="13">
        <f t="shared" si="85"/>
        <v>170</v>
      </c>
      <c r="Q29" s="13">
        <f t="shared" si="85"/>
        <v>0</v>
      </c>
      <c r="R29" s="13">
        <f t="shared" si="85"/>
        <v>0</v>
      </c>
      <c r="S29" s="13">
        <f t="shared" si="85"/>
        <v>0</v>
      </c>
      <c r="T29" s="13">
        <f t="shared" si="85"/>
        <v>1266</v>
      </c>
      <c r="U29" s="96">
        <f t="shared" si="85"/>
        <v>8416</v>
      </c>
      <c r="V29" s="13">
        <f>SUM(V27:V28)</f>
        <v>0</v>
      </c>
      <c r="W29" s="13">
        <f t="shared" si="85"/>
        <v>761</v>
      </c>
      <c r="X29" s="96">
        <f t="shared" si="85"/>
        <v>9177</v>
      </c>
      <c r="Y29" s="13">
        <f t="shared" si="85"/>
        <v>0</v>
      </c>
      <c r="Z29" s="13">
        <f t="shared" si="85"/>
        <v>9132</v>
      </c>
      <c r="AA29" s="13">
        <f t="shared" si="85"/>
        <v>1220</v>
      </c>
      <c r="AB29" s="13">
        <f t="shared" si="85"/>
        <v>9682</v>
      </c>
      <c r="AC29" s="13">
        <f t="shared" si="85"/>
        <v>460</v>
      </c>
      <c r="AD29" s="94">
        <f>SUM(AD27:AD28)</f>
        <v>12123</v>
      </c>
    </row>
  </sheetData>
  <mergeCells count="9">
    <mergeCell ref="A1:Y1"/>
    <mergeCell ref="A2:Y2"/>
    <mergeCell ref="A5:C5"/>
    <mergeCell ref="A6:C6"/>
    <mergeCell ref="A7:C7"/>
    <mergeCell ref="D5:I5"/>
    <mergeCell ref="D6:I6"/>
    <mergeCell ref="D7:I7"/>
    <mergeCell ref="A3:Y3"/>
  </mergeCells>
  <printOptions horizontalCentered="1"/>
  <pageMargins left="0" right="0" top="0.23" bottom="0" header="0" footer="0"/>
  <pageSetup paperSize="9" scale="75" orientation="landscape" copies="2" r:id="rId1"/>
  <colBreaks count="1" manualBreakCount="1">
    <brk id="25" min="6" max="4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2"/>
  <sheetViews>
    <sheetView view="pageBreakPreview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U22" sqref="U22"/>
    </sheetView>
  </sheetViews>
  <sheetFormatPr defaultRowHeight="15"/>
  <cols>
    <col min="1" max="1" width="3.7109375" style="26" customWidth="1"/>
    <col min="2" max="2" width="11.5703125" style="26" customWidth="1"/>
    <col min="3" max="3" width="11.85546875" style="26" customWidth="1"/>
    <col min="4" max="4" width="9.42578125" style="26" bestFit="1" customWidth="1"/>
    <col min="5" max="5" width="7.140625" style="26" hidden="1" customWidth="1"/>
    <col min="6" max="6" width="8" style="26" hidden="1" customWidth="1"/>
    <col min="7" max="7" width="7.85546875" style="26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hidden="1" customWidth="1"/>
    <col min="12" max="12" width="8.28515625" style="26" hidden="1" customWidth="1"/>
    <col min="13" max="13" width="9.28515625" style="26" hidden="1" customWidth="1"/>
    <col min="14" max="14" width="8" style="26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7.5703125" style="26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10.5703125" style="26" bestFit="1" customWidth="1"/>
    <col min="31" max="31" width="9.140625" style="26"/>
    <col min="32" max="32" width="9.5703125" style="26" bestFit="1" customWidth="1"/>
    <col min="33" max="33" width="8.7109375" style="26" bestFit="1" customWidth="1"/>
    <col min="34" max="16384" width="9.140625" style="26"/>
  </cols>
  <sheetData>
    <row r="1" spans="1:31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1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1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1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1" ht="15" customHeight="1">
      <c r="A5" s="201" t="s">
        <v>135</v>
      </c>
      <c r="B5" s="201"/>
      <c r="C5" s="201"/>
      <c r="D5" s="203" t="s">
        <v>101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1" ht="15" customHeight="1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1" ht="15" customHeight="1">
      <c r="A7" s="202" t="s">
        <v>137</v>
      </c>
      <c r="B7" s="202"/>
      <c r="C7" s="202"/>
      <c r="D7" s="203" t="s">
        <v>110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1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1" ht="24">
      <c r="A9" s="1">
        <v>1</v>
      </c>
      <c r="B9" s="69" t="s">
        <v>178</v>
      </c>
      <c r="C9" s="10" t="s">
        <v>79</v>
      </c>
      <c r="D9" s="45" t="s">
        <v>29</v>
      </c>
      <c r="E9" s="61">
        <v>7546</v>
      </c>
      <c r="F9" s="61">
        <v>7080</v>
      </c>
      <c r="G9" s="62">
        <f>E9+F9</f>
        <v>14626</v>
      </c>
      <c r="H9" s="56">
        <v>26</v>
      </c>
      <c r="I9" s="63">
        <v>26</v>
      </c>
      <c r="J9" s="63">
        <v>5</v>
      </c>
      <c r="K9" s="61">
        <f>E9/H9*I9</f>
        <v>7546</v>
      </c>
      <c r="L9" s="61">
        <f>F9/H9*I9</f>
        <v>7080</v>
      </c>
      <c r="M9" s="61">
        <f>G9/H9*J9</f>
        <v>2812.6923076923076</v>
      </c>
      <c r="N9" s="64">
        <f>SUM(K9:M9)</f>
        <v>17438.692307692309</v>
      </c>
      <c r="O9" s="30">
        <f>ROUND(Z9*12%,0)</f>
        <v>906</v>
      </c>
      <c r="P9" s="30">
        <f>ROUNDUP(AB9*1.75%,0)</f>
        <v>306</v>
      </c>
      <c r="Q9" s="65">
        <f>IF(N9&gt;40000,200,IF(N9&gt;25000,150,IF(N9&gt;15000,130,IF(N9&gt;10000,110,IF(N9&gt;8500,0,)))))</f>
        <v>130</v>
      </c>
      <c r="R9" s="61"/>
      <c r="S9" s="61">
        <v>0</v>
      </c>
      <c r="T9" s="66">
        <f>SUM(O9:S9)</f>
        <v>1342</v>
      </c>
      <c r="U9" s="68">
        <f>N9-T9</f>
        <v>16096.692307692309</v>
      </c>
      <c r="V9" s="30">
        <f>((E9/H9*J9)*13.36%)</f>
        <v>193.87415384615386</v>
      </c>
      <c r="W9" s="56">
        <f>((E9/12)/H9*(I9))</f>
        <v>628.83333333333337</v>
      </c>
      <c r="X9" s="68">
        <f>U9+W9+V9</f>
        <v>16919.399794871795</v>
      </c>
      <c r="Y9" s="30"/>
      <c r="Z9" s="7">
        <f>ROUND(IF(($K9)&gt;15000,15000,IF(($K9)&lt;=15000,($K9))),0)</f>
        <v>7546</v>
      </c>
      <c r="AA9" s="7">
        <f>ROUND(Z9*13.36%,0)</f>
        <v>1008</v>
      </c>
      <c r="AB9" s="7">
        <f>ROUND($G9/$H9*($I9+J9),0)</f>
        <v>17439</v>
      </c>
      <c r="AC9" s="7">
        <f>ROUNDUP(AB9*4.75%,0)</f>
        <v>829</v>
      </c>
      <c r="AD9" s="83">
        <f>N9+V9+W9+AA9+AC9</f>
        <v>20098.399794871795</v>
      </c>
    </row>
    <row r="10" spans="1:31" ht="15.75">
      <c r="A10" s="1"/>
      <c r="B10" s="40"/>
      <c r="C10" s="41"/>
      <c r="D10" s="42"/>
      <c r="E10" s="61"/>
      <c r="F10" s="61"/>
      <c r="G10" s="62"/>
      <c r="H10" s="56"/>
      <c r="I10" s="63"/>
      <c r="J10" s="63"/>
      <c r="K10" s="61"/>
      <c r="L10" s="61"/>
      <c r="M10" s="61"/>
      <c r="N10" s="64"/>
      <c r="O10" s="30"/>
      <c r="P10" s="30"/>
      <c r="Q10" s="65"/>
      <c r="R10" s="61"/>
      <c r="S10" s="61"/>
      <c r="T10" s="66"/>
      <c r="U10" s="64"/>
      <c r="V10" s="30"/>
      <c r="W10" s="56"/>
      <c r="X10" s="64"/>
      <c r="Y10" s="30"/>
      <c r="Z10" s="7"/>
      <c r="AA10" s="7"/>
      <c r="AB10" s="7"/>
      <c r="AC10" s="7"/>
      <c r="AD10" s="83"/>
    </row>
    <row r="11" spans="1:31">
      <c r="A11" s="54"/>
      <c r="B11" s="54"/>
      <c r="C11" s="54"/>
      <c r="D11" s="12"/>
      <c r="E11" s="67"/>
      <c r="F11" s="67"/>
      <c r="G11" s="67"/>
      <c r="H11" s="67"/>
      <c r="I11" s="63">
        <f t="shared" ref="I11:AC11" si="0">SUM(I9:I10)</f>
        <v>26</v>
      </c>
      <c r="J11" s="63">
        <f t="shared" si="0"/>
        <v>5</v>
      </c>
      <c r="K11" s="67">
        <f t="shared" si="0"/>
        <v>7546</v>
      </c>
      <c r="L11" s="67">
        <f t="shared" si="0"/>
        <v>7080</v>
      </c>
      <c r="M11" s="67">
        <f t="shared" si="0"/>
        <v>2812.6923076923076</v>
      </c>
      <c r="N11" s="67">
        <f t="shared" si="0"/>
        <v>17438.692307692309</v>
      </c>
      <c r="O11" s="67">
        <f t="shared" si="0"/>
        <v>906</v>
      </c>
      <c r="P11" s="67">
        <f t="shared" si="0"/>
        <v>306</v>
      </c>
      <c r="Q11" s="67">
        <f t="shared" si="0"/>
        <v>130</v>
      </c>
      <c r="R11" s="67">
        <f t="shared" si="0"/>
        <v>0</v>
      </c>
      <c r="S11" s="67">
        <f t="shared" si="0"/>
        <v>0</v>
      </c>
      <c r="T11" s="67">
        <f t="shared" si="0"/>
        <v>1342</v>
      </c>
      <c r="U11" s="67">
        <f t="shared" si="0"/>
        <v>16096.692307692309</v>
      </c>
      <c r="V11" s="67">
        <f>SUM(V9:V10)</f>
        <v>193.87415384615386</v>
      </c>
      <c r="W11" s="67">
        <f t="shared" si="0"/>
        <v>628.83333333333337</v>
      </c>
      <c r="X11" s="67">
        <f t="shared" si="0"/>
        <v>16919.399794871795</v>
      </c>
      <c r="Y11" s="67">
        <f t="shared" si="0"/>
        <v>0</v>
      </c>
      <c r="Z11" s="13">
        <f t="shared" si="0"/>
        <v>7546</v>
      </c>
      <c r="AA11" s="13">
        <f t="shared" si="0"/>
        <v>1008</v>
      </c>
      <c r="AB11" s="13">
        <f t="shared" si="0"/>
        <v>17439</v>
      </c>
      <c r="AC11" s="13">
        <f t="shared" si="0"/>
        <v>829</v>
      </c>
      <c r="AD11" s="83">
        <f>SUM(AD9:AD10)</f>
        <v>20098.399794871795</v>
      </c>
    </row>
    <row r="12" spans="1:31">
      <c r="AD12" s="46"/>
      <c r="AE12" s="53"/>
    </row>
  </sheetData>
  <mergeCells count="9">
    <mergeCell ref="A7:C7"/>
    <mergeCell ref="D5:I5"/>
    <mergeCell ref="D6:I6"/>
    <mergeCell ref="D7:I7"/>
    <mergeCell ref="A1:Y1"/>
    <mergeCell ref="A2:Y2"/>
    <mergeCell ref="A3:Y3"/>
    <mergeCell ref="A5:C5"/>
    <mergeCell ref="A6:C6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AD14"/>
  <sheetViews>
    <sheetView view="pageBreakPreview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B9" sqref="B9:B12"/>
    </sheetView>
  </sheetViews>
  <sheetFormatPr defaultRowHeight="15"/>
  <cols>
    <col min="1" max="1" width="3.7109375" style="26" customWidth="1"/>
    <col min="2" max="2" width="13.7109375" style="26" bestFit="1" customWidth="1"/>
    <col min="3" max="3" width="10.7109375" style="31" customWidth="1"/>
    <col min="4" max="4" width="10.42578125" style="3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7.42578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10.5703125" style="26" bestFit="1" customWidth="1"/>
    <col min="31" max="31" width="9.140625" style="26"/>
    <col min="32" max="32" width="9.5703125" style="26" bestFit="1" customWidth="1"/>
    <col min="33" max="33" width="8.7109375" style="26" bestFit="1" customWidth="1"/>
    <col min="34" max="16384" width="9.140625" style="26"/>
  </cols>
  <sheetData>
    <row r="1" spans="1:30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0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0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0">
      <c r="A4" s="77"/>
      <c r="B4" s="77"/>
      <c r="C4" s="123"/>
      <c r="D4" s="123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0" ht="15" customHeight="1">
      <c r="A5" s="201" t="s">
        <v>135</v>
      </c>
      <c r="B5" s="201"/>
      <c r="C5" s="201"/>
      <c r="D5" s="203" t="s">
        <v>101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0" ht="15" customHeight="1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0" ht="15" customHeight="1">
      <c r="A7" s="202" t="s">
        <v>137</v>
      </c>
      <c r="B7" s="202"/>
      <c r="C7" s="202"/>
      <c r="D7" s="203" t="s">
        <v>110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0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0" ht="37.5" customHeight="1">
      <c r="A9" s="1">
        <v>1</v>
      </c>
      <c r="B9" s="70" t="s">
        <v>179</v>
      </c>
      <c r="C9" s="10" t="s">
        <v>138</v>
      </c>
      <c r="D9" s="10" t="s">
        <v>27</v>
      </c>
      <c r="E9" s="3">
        <v>9132</v>
      </c>
      <c r="F9" s="3">
        <f>ROUND((E9*50%)/8*4,0)</f>
        <v>2283</v>
      </c>
      <c r="G9" s="4">
        <f>E9+F9</f>
        <v>11415</v>
      </c>
      <c r="H9" s="5">
        <v>26</v>
      </c>
      <c r="I9" s="11">
        <v>6</v>
      </c>
      <c r="J9" s="11"/>
      <c r="K9" s="3">
        <f>E9/H9*I9</f>
        <v>2107.3846153846152</v>
      </c>
      <c r="L9" s="3">
        <f>F9/H9*I9</f>
        <v>526.84615384615381</v>
      </c>
      <c r="M9" s="3">
        <f>G9/H9*J9</f>
        <v>0</v>
      </c>
      <c r="N9" s="6">
        <f>SUM(K9:M9)</f>
        <v>2634.2307692307691</v>
      </c>
      <c r="O9" s="7">
        <f>ROUND(Z9*12%,0)</f>
        <v>253</v>
      </c>
      <c r="P9" s="7">
        <f>ROUNDUP(AB9*1.75%,0)</f>
        <v>47</v>
      </c>
      <c r="Q9" s="8">
        <f>IF(N9&gt;40000,200,IF(N9&gt;25000,150,IF(N9&gt;15000,130,IF(N9&gt;10000,110,IF(N9&gt;8500,0,)))))</f>
        <v>0</v>
      </c>
      <c r="R9" s="3"/>
      <c r="S9" s="3">
        <v>0</v>
      </c>
      <c r="T9" s="9">
        <f>SUM(O9:S9)</f>
        <v>300</v>
      </c>
      <c r="U9" s="68">
        <f>N9-T9</f>
        <v>2334.2307692307691</v>
      </c>
      <c r="V9" s="7">
        <f>((E9/H9*J9)*13.36%)</f>
        <v>0</v>
      </c>
      <c r="W9" s="5">
        <f>((E9/12)/H9*(I9))</f>
        <v>175.61538461538461</v>
      </c>
      <c r="X9" s="68">
        <f>U9+W9+V9</f>
        <v>2509.8461538461538</v>
      </c>
      <c r="Y9" s="7"/>
      <c r="Z9" s="7">
        <f>ROUND(IF(($K9)&gt;15000,15000,IF(($K9)&lt;=15000,($K9))),0)</f>
        <v>2107</v>
      </c>
      <c r="AA9" s="7">
        <f>ROUND(Z9*13.36%,0)</f>
        <v>281</v>
      </c>
      <c r="AB9" s="7">
        <f>ROUND($G9/$H9*($I9+J9),0)</f>
        <v>2634</v>
      </c>
      <c r="AC9" s="7">
        <f>ROUNDUP(AB9*4.75%,0)</f>
        <v>126</v>
      </c>
      <c r="AD9" s="83">
        <f>N9+V9+W9+AA9+AC9</f>
        <v>3216.8461538461538</v>
      </c>
    </row>
    <row r="10" spans="1:30" ht="37.5" customHeight="1">
      <c r="A10" s="1">
        <v>2</v>
      </c>
      <c r="B10" s="70" t="s">
        <v>180</v>
      </c>
      <c r="C10" s="10" t="s">
        <v>139</v>
      </c>
      <c r="D10" s="10" t="s">
        <v>27</v>
      </c>
      <c r="E10" s="3">
        <v>9132</v>
      </c>
      <c r="F10" s="3">
        <f t="shared" ref="F10:F12" si="0">ROUND((E10*50%)/8*4,0)</f>
        <v>2283</v>
      </c>
      <c r="G10" s="4">
        <f t="shared" ref="G10:G12" si="1">E10+F10</f>
        <v>11415</v>
      </c>
      <c r="H10" s="5">
        <v>26</v>
      </c>
      <c r="I10" s="11">
        <v>6</v>
      </c>
      <c r="J10" s="11"/>
      <c r="K10" s="3">
        <f t="shared" ref="K10:K12" si="2">E10/H10*I10</f>
        <v>2107.3846153846152</v>
      </c>
      <c r="L10" s="3">
        <f t="shared" ref="L10:L12" si="3">F10/H10*I10</f>
        <v>526.84615384615381</v>
      </c>
      <c r="M10" s="3">
        <f t="shared" ref="M10:M12" si="4">G10/H10*J10</f>
        <v>0</v>
      </c>
      <c r="N10" s="6">
        <f t="shared" ref="N10:N12" si="5">SUM(K10:M10)</f>
        <v>2634.2307692307691</v>
      </c>
      <c r="O10" s="7">
        <f t="shared" ref="O10:O12" si="6">ROUND(Z10*12%,0)</f>
        <v>253</v>
      </c>
      <c r="P10" s="7">
        <f t="shared" ref="P10:P12" si="7">ROUNDUP(AB10*1.75%,0)</f>
        <v>47</v>
      </c>
      <c r="Q10" s="8">
        <f t="shared" ref="Q10:Q12" si="8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:T12" si="9">SUM(O10:S10)</f>
        <v>300</v>
      </c>
      <c r="U10" s="68">
        <f t="shared" ref="U10:U12" si="10">N10-T10</f>
        <v>2334.2307692307691</v>
      </c>
      <c r="V10" s="7">
        <f>((E10/H10*J10)*13.36%)</f>
        <v>0</v>
      </c>
      <c r="W10" s="5">
        <f t="shared" ref="W10:W12" si="11">((E10/12)/H10*(I10))</f>
        <v>175.61538461538461</v>
      </c>
      <c r="X10" s="68">
        <f t="shared" ref="X10:X12" si="12">U10+W10+V10</f>
        <v>2509.8461538461538</v>
      </c>
      <c r="Y10" s="7"/>
      <c r="Z10" s="7">
        <f t="shared" ref="Z10:Z12" si="13">ROUND(IF(($K10)&gt;15000,15000,IF(($K10)&lt;=15000,($K10))),0)</f>
        <v>2107</v>
      </c>
      <c r="AA10" s="7">
        <f t="shared" ref="AA10:AA12" si="14">ROUND(Z10*13.36%,0)</f>
        <v>281</v>
      </c>
      <c r="AB10" s="7">
        <f t="shared" ref="AB10:AB12" si="15">ROUND($G10/$H10*($I10+J10),0)</f>
        <v>2634</v>
      </c>
      <c r="AC10" s="7">
        <f t="shared" ref="AC10:AC12" si="16">ROUNDUP(AB10*4.75%,0)</f>
        <v>126</v>
      </c>
      <c r="AD10" s="83">
        <f t="shared" ref="AD10:AD12" si="17">N10+V10+W10+AA10+AC10</f>
        <v>3216.8461538461538</v>
      </c>
    </row>
    <row r="11" spans="1:30" ht="37.5" customHeight="1">
      <c r="A11" s="1">
        <v>3</v>
      </c>
      <c r="B11" s="70" t="s">
        <v>181</v>
      </c>
      <c r="C11" s="10" t="s">
        <v>140</v>
      </c>
      <c r="D11" s="10" t="s">
        <v>27</v>
      </c>
      <c r="E11" s="3">
        <v>9132</v>
      </c>
      <c r="F11" s="3">
        <f t="shared" si="0"/>
        <v>2283</v>
      </c>
      <c r="G11" s="4">
        <f t="shared" si="1"/>
        <v>11415</v>
      </c>
      <c r="H11" s="5">
        <v>26</v>
      </c>
      <c r="I11" s="11">
        <v>8</v>
      </c>
      <c r="J11" s="11"/>
      <c r="K11" s="3">
        <f t="shared" si="2"/>
        <v>2809.8461538461538</v>
      </c>
      <c r="L11" s="3">
        <f t="shared" si="3"/>
        <v>702.46153846153845</v>
      </c>
      <c r="M11" s="3">
        <f t="shared" si="4"/>
        <v>0</v>
      </c>
      <c r="N11" s="6">
        <f t="shared" si="5"/>
        <v>3512.3076923076924</v>
      </c>
      <c r="O11" s="7">
        <f t="shared" si="6"/>
        <v>337</v>
      </c>
      <c r="P11" s="7">
        <f t="shared" si="7"/>
        <v>62</v>
      </c>
      <c r="Q11" s="8">
        <f t="shared" si="8"/>
        <v>0</v>
      </c>
      <c r="R11" s="3">
        <v>0</v>
      </c>
      <c r="S11" s="3">
        <v>0</v>
      </c>
      <c r="T11" s="9">
        <f t="shared" si="9"/>
        <v>399</v>
      </c>
      <c r="U11" s="68">
        <f t="shared" si="10"/>
        <v>3113.3076923076924</v>
      </c>
      <c r="V11" s="7">
        <f>((E11/H11*J11)*13.36%)</f>
        <v>0</v>
      </c>
      <c r="W11" s="5">
        <f t="shared" si="11"/>
        <v>234.15384615384616</v>
      </c>
      <c r="X11" s="68">
        <f t="shared" si="12"/>
        <v>3347.4615384615386</v>
      </c>
      <c r="Y11" s="7"/>
      <c r="Z11" s="7">
        <f t="shared" si="13"/>
        <v>2810</v>
      </c>
      <c r="AA11" s="7">
        <f t="shared" si="14"/>
        <v>375</v>
      </c>
      <c r="AB11" s="7">
        <f t="shared" si="15"/>
        <v>3512</v>
      </c>
      <c r="AC11" s="7">
        <f t="shared" si="16"/>
        <v>167</v>
      </c>
      <c r="AD11" s="83">
        <f t="shared" si="17"/>
        <v>4288.461538461539</v>
      </c>
    </row>
    <row r="12" spans="1:30" ht="37.5" customHeight="1">
      <c r="A12" s="1">
        <v>4</v>
      </c>
      <c r="B12" s="70" t="s">
        <v>182</v>
      </c>
      <c r="C12" s="10" t="s">
        <v>89</v>
      </c>
      <c r="D12" s="10" t="s">
        <v>27</v>
      </c>
      <c r="E12" s="3">
        <v>9132</v>
      </c>
      <c r="F12" s="3">
        <f t="shared" si="0"/>
        <v>2283</v>
      </c>
      <c r="G12" s="4">
        <f t="shared" si="1"/>
        <v>11415</v>
      </c>
      <c r="H12" s="5">
        <v>26</v>
      </c>
      <c r="I12" s="11">
        <v>1</v>
      </c>
      <c r="J12" s="11"/>
      <c r="K12" s="3">
        <f t="shared" si="2"/>
        <v>351.23076923076923</v>
      </c>
      <c r="L12" s="3">
        <f t="shared" si="3"/>
        <v>87.807692307692307</v>
      </c>
      <c r="M12" s="3">
        <f t="shared" si="4"/>
        <v>0</v>
      </c>
      <c r="N12" s="6">
        <f t="shared" si="5"/>
        <v>439.03846153846155</v>
      </c>
      <c r="O12" s="7">
        <f t="shared" si="6"/>
        <v>42</v>
      </c>
      <c r="P12" s="7">
        <f t="shared" si="7"/>
        <v>8</v>
      </c>
      <c r="Q12" s="8">
        <f t="shared" si="8"/>
        <v>0</v>
      </c>
      <c r="R12" s="3">
        <v>0</v>
      </c>
      <c r="S12" s="3">
        <v>0</v>
      </c>
      <c r="T12" s="9">
        <f t="shared" si="9"/>
        <v>50</v>
      </c>
      <c r="U12" s="68">
        <f t="shared" si="10"/>
        <v>389.03846153846155</v>
      </c>
      <c r="V12" s="7">
        <f>((E12/H12*J12)*13.36%)</f>
        <v>0</v>
      </c>
      <c r="W12" s="5">
        <f t="shared" si="11"/>
        <v>29.26923076923077</v>
      </c>
      <c r="X12" s="68">
        <f t="shared" si="12"/>
        <v>418.30769230769232</v>
      </c>
      <c r="Y12" s="7"/>
      <c r="Z12" s="7">
        <f t="shared" si="13"/>
        <v>351</v>
      </c>
      <c r="AA12" s="7">
        <f t="shared" si="14"/>
        <v>47</v>
      </c>
      <c r="AB12" s="7">
        <f t="shared" si="15"/>
        <v>439</v>
      </c>
      <c r="AC12" s="7">
        <f t="shared" si="16"/>
        <v>21</v>
      </c>
      <c r="AD12" s="83">
        <f t="shared" si="17"/>
        <v>536.30769230769238</v>
      </c>
    </row>
    <row r="13" spans="1:30" ht="15.75">
      <c r="A13" s="1"/>
      <c r="B13" s="40"/>
      <c r="C13" s="43"/>
      <c r="D13" s="42"/>
      <c r="E13" s="3"/>
      <c r="F13" s="3"/>
      <c r="G13" s="4"/>
      <c r="H13" s="5"/>
      <c r="I13" s="11"/>
      <c r="J13" s="11"/>
      <c r="K13" s="3"/>
      <c r="L13" s="3"/>
      <c r="M13" s="3"/>
      <c r="N13" s="6"/>
      <c r="O13" s="7"/>
      <c r="P13" s="7"/>
      <c r="Q13" s="8"/>
      <c r="R13" s="3"/>
      <c r="S13" s="3"/>
      <c r="T13" s="9"/>
      <c r="U13" s="68"/>
      <c r="V13" s="7"/>
      <c r="W13" s="5"/>
      <c r="X13" s="68"/>
      <c r="Y13" s="7"/>
      <c r="Z13" s="7"/>
      <c r="AA13" s="7"/>
      <c r="AB13" s="7"/>
      <c r="AC13" s="7"/>
      <c r="AD13" s="83"/>
    </row>
    <row r="14" spans="1:30">
      <c r="A14" s="54"/>
      <c r="B14" s="54"/>
      <c r="C14" s="72"/>
      <c r="D14" s="12"/>
      <c r="E14" s="13"/>
      <c r="F14" s="13"/>
      <c r="G14" s="13"/>
      <c r="H14" s="13"/>
      <c r="I14" s="11">
        <f t="shared" ref="I14:AD14" si="18">SUM(I9:I13)</f>
        <v>21</v>
      </c>
      <c r="J14" s="11">
        <f t="shared" si="18"/>
        <v>0</v>
      </c>
      <c r="K14" s="13">
        <f t="shared" si="18"/>
        <v>7375.8461538461543</v>
      </c>
      <c r="L14" s="13">
        <f t="shared" si="18"/>
        <v>1843.9615384615386</v>
      </c>
      <c r="M14" s="13">
        <f t="shared" si="18"/>
        <v>0</v>
      </c>
      <c r="N14" s="13">
        <f t="shared" si="18"/>
        <v>9219.8076923076915</v>
      </c>
      <c r="O14" s="13">
        <f t="shared" si="18"/>
        <v>885</v>
      </c>
      <c r="P14" s="13">
        <f t="shared" si="18"/>
        <v>164</v>
      </c>
      <c r="Q14" s="13">
        <f t="shared" si="18"/>
        <v>0</v>
      </c>
      <c r="R14" s="13">
        <f t="shared" si="18"/>
        <v>0</v>
      </c>
      <c r="S14" s="13">
        <f t="shared" si="18"/>
        <v>0</v>
      </c>
      <c r="T14" s="13">
        <f t="shared" si="18"/>
        <v>1049</v>
      </c>
      <c r="U14" s="13">
        <f t="shared" si="18"/>
        <v>8170.8076923076924</v>
      </c>
      <c r="V14" s="13">
        <f t="shared" si="18"/>
        <v>0</v>
      </c>
      <c r="W14" s="13">
        <f t="shared" si="18"/>
        <v>614.65384615384608</v>
      </c>
      <c r="X14" s="13">
        <f t="shared" si="18"/>
        <v>8785.4615384615372</v>
      </c>
      <c r="Y14" s="13">
        <f t="shared" si="18"/>
        <v>0</v>
      </c>
      <c r="Z14" s="13">
        <f t="shared" si="18"/>
        <v>7375</v>
      </c>
      <c r="AA14" s="13">
        <f t="shared" si="18"/>
        <v>984</v>
      </c>
      <c r="AB14" s="13">
        <f t="shared" si="18"/>
        <v>9219</v>
      </c>
      <c r="AC14" s="13">
        <f t="shared" si="18"/>
        <v>440</v>
      </c>
      <c r="AD14" s="83">
        <f t="shared" si="18"/>
        <v>11258.461538461539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E20"/>
  <sheetViews>
    <sheetView view="pageBreakPreview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S6" sqref="S6"/>
    </sheetView>
  </sheetViews>
  <sheetFormatPr defaultRowHeight="15"/>
  <cols>
    <col min="1" max="1" width="3.7109375" style="26" customWidth="1"/>
    <col min="2" max="2" width="17" style="26" bestFit="1" customWidth="1"/>
    <col min="3" max="3" width="15.5703125" style="31" bestFit="1" customWidth="1"/>
    <col min="4" max="4" width="12.5703125" style="26" bestFit="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7109375" style="26" bestFit="1" customWidth="1"/>
    <col min="10" max="10" width="5.42578125" style="26" customWidth="1"/>
    <col min="11" max="14" width="8.7109375" style="26" bestFit="1" customWidth="1"/>
    <col min="15" max="15" width="7.85546875" style="26" bestFit="1" customWidth="1"/>
    <col min="16" max="16" width="5.85546875" style="26" customWidth="1"/>
    <col min="17" max="17" width="9.7109375" style="26" bestFit="1" customWidth="1"/>
    <col min="18" max="18" width="9.28515625" style="26" bestFit="1" customWidth="1"/>
    <col min="19" max="19" width="11.140625" style="26" bestFit="1" customWidth="1"/>
    <col min="20" max="20" width="8.28515625" style="26" bestFit="1" customWidth="1"/>
    <col min="21" max="21" width="8.7109375" style="26" bestFit="1" customWidth="1"/>
    <col min="22" max="22" width="8.5703125" style="26" customWidth="1"/>
    <col min="23" max="23" width="5.85546875" style="26" customWidth="1"/>
    <col min="24" max="24" width="8.7109375" style="26" bestFit="1" customWidth="1"/>
    <col min="25" max="25" width="22.85546875" style="26" customWidth="1"/>
    <col min="26" max="26" width="8.7109375" style="26" bestFit="1" customWidth="1"/>
    <col min="27" max="27" width="11.140625" style="26" bestFit="1" customWidth="1"/>
    <col min="28" max="28" width="9" style="26" bestFit="1" customWidth="1"/>
    <col min="29" max="29" width="11.42578125" style="26" customWidth="1"/>
    <col min="30" max="30" width="9.5703125" style="26" bestFit="1" customWidth="1"/>
    <col min="31" max="31" width="8.7109375" style="26" bestFit="1" customWidth="1"/>
    <col min="32" max="32" width="9.5703125" style="26" bestFit="1" customWidth="1"/>
    <col min="33" max="16384" width="9.140625" style="26"/>
  </cols>
  <sheetData>
    <row r="1" spans="1:31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1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1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1">
      <c r="A4" s="77"/>
      <c r="B4" s="77"/>
      <c r="C4" s="123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1" ht="15" customHeight="1">
      <c r="A5" s="201" t="s">
        <v>135</v>
      </c>
      <c r="B5" s="201"/>
      <c r="C5" s="201"/>
      <c r="D5" s="203" t="s">
        <v>53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1" ht="15" customHeight="1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1" ht="15" customHeight="1">
      <c r="A7" s="202" t="s">
        <v>137</v>
      </c>
      <c r="B7" s="202"/>
      <c r="C7" s="202"/>
      <c r="D7" s="203" t="s">
        <v>111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1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1" ht="45" customHeight="1">
      <c r="A9" s="1">
        <v>1</v>
      </c>
      <c r="B9" s="70" t="s">
        <v>184</v>
      </c>
      <c r="C9" s="10" t="s">
        <v>141</v>
      </c>
      <c r="D9" s="71" t="s">
        <v>24</v>
      </c>
      <c r="E9" s="3">
        <v>7546</v>
      </c>
      <c r="F9" s="3">
        <f>ROUND((E9*50%)/8*4,0)</f>
        <v>1887</v>
      </c>
      <c r="G9" s="4">
        <f>E9+F9</f>
        <v>9433</v>
      </c>
      <c r="H9" s="5">
        <v>26</v>
      </c>
      <c r="I9" s="11">
        <v>26</v>
      </c>
      <c r="J9" s="11">
        <v>2</v>
      </c>
      <c r="K9" s="3">
        <f>E9/H9*I9</f>
        <v>7546</v>
      </c>
      <c r="L9" s="3">
        <f>F9/H9*I9</f>
        <v>1887</v>
      </c>
      <c r="M9" s="3">
        <f>G9/H9*J9</f>
        <v>725.61538461538464</v>
      </c>
      <c r="N9" s="6">
        <f>SUM(K9:M9)</f>
        <v>10158.615384615385</v>
      </c>
      <c r="O9" s="7">
        <f>ROUND(Z9*12%,0)</f>
        <v>906</v>
      </c>
      <c r="P9" s="7">
        <f>ROUNDUP(AB9*1.75%,0)</f>
        <v>178</v>
      </c>
      <c r="Q9" s="8">
        <f>IF(N9&gt;40000,200,IF(N9&gt;25000,150,IF(N9&gt;15000,130,IF(N9&gt;10000,110,IF(N9&gt;8500,0,)))))</f>
        <v>110</v>
      </c>
      <c r="R9" s="3">
        <v>5000</v>
      </c>
      <c r="S9" s="3">
        <v>0</v>
      </c>
      <c r="T9" s="9">
        <f>SUM(O9:S9)</f>
        <v>6194</v>
      </c>
      <c r="U9" s="44">
        <f>N9-T9</f>
        <v>3964.6153846153848</v>
      </c>
      <c r="V9" s="7">
        <f t="shared" ref="V9:V13" si="0">((E9/H9*J9)*13.36%)</f>
        <v>77.549661538461535</v>
      </c>
      <c r="W9" s="5">
        <f t="shared" ref="W9:W13" si="1">((E9/12)/H9*(I9))</f>
        <v>628.83333333333337</v>
      </c>
      <c r="X9" s="6">
        <f>U9+W9+V9</f>
        <v>4670.9983794871796</v>
      </c>
      <c r="Y9" s="7"/>
      <c r="Z9" s="7">
        <f>ROUND(IF(($K9)&gt;15000,15000,IF(($K9)&lt;=15000,($K9))),0)</f>
        <v>7546</v>
      </c>
      <c r="AA9" s="7">
        <f>ROUND(Z9*13.36%,0)</f>
        <v>1008</v>
      </c>
      <c r="AB9" s="7">
        <f t="shared" ref="AB9:AB13" si="2">ROUND($G9/$H9*($I9+J9),0)</f>
        <v>10159</v>
      </c>
      <c r="AC9" s="7">
        <f>ROUNDUP(AB9*4.75%,0)</f>
        <v>483</v>
      </c>
      <c r="AD9" s="83">
        <f>N9+V9+W9+AA9+AC9</f>
        <v>12355.998379487181</v>
      </c>
    </row>
    <row r="10" spans="1:31" ht="45" customHeight="1">
      <c r="A10" s="1">
        <v>2</v>
      </c>
      <c r="B10" s="70" t="s">
        <v>185</v>
      </c>
      <c r="C10" s="10" t="s">
        <v>142</v>
      </c>
      <c r="D10" s="71" t="s">
        <v>24</v>
      </c>
      <c r="E10" s="3">
        <v>7546</v>
      </c>
      <c r="F10" s="3">
        <f t="shared" ref="F10:F13" si="3">ROUND((E10*50%)/8*4,0)</f>
        <v>1887</v>
      </c>
      <c r="G10" s="4">
        <f t="shared" ref="G10:G13" si="4">E10+F10</f>
        <v>9433</v>
      </c>
      <c r="H10" s="5">
        <v>26</v>
      </c>
      <c r="I10" s="11">
        <v>26</v>
      </c>
      <c r="J10" s="11">
        <v>1</v>
      </c>
      <c r="K10" s="3">
        <f t="shared" ref="K10:K13" si="5">E10/H10*I10</f>
        <v>7546</v>
      </c>
      <c r="L10" s="3">
        <f t="shared" ref="L10:L13" si="6">F10/H10*I10</f>
        <v>1887</v>
      </c>
      <c r="M10" s="3">
        <f t="shared" ref="M10:M13" si="7">G10/H10*J10</f>
        <v>362.80769230769232</v>
      </c>
      <c r="N10" s="6">
        <f t="shared" ref="N10:N15" si="8">SUM(K10:M10)</f>
        <v>9795.8076923076915</v>
      </c>
      <c r="O10" s="7">
        <f t="shared" ref="O10:O13" si="9">ROUND(Z10*12%,0)</f>
        <v>906</v>
      </c>
      <c r="P10" s="7">
        <f t="shared" ref="P10:P13" si="10">ROUNDUP(AB10*1.75%,0)</f>
        <v>172</v>
      </c>
      <c r="Q10" s="8">
        <f t="shared" ref="Q10:Q13" si="11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:T13" si="12">SUM(O10:S10)</f>
        <v>1078</v>
      </c>
      <c r="U10" s="44">
        <f t="shared" ref="U10:U13" si="13">N10-T10</f>
        <v>8717.8076923076915</v>
      </c>
      <c r="V10" s="7">
        <f t="shared" si="0"/>
        <v>38.774830769230768</v>
      </c>
      <c r="W10" s="5">
        <f t="shared" si="1"/>
        <v>628.83333333333337</v>
      </c>
      <c r="X10" s="6">
        <f t="shared" ref="X10:X15" si="14">U10+W10+V10</f>
        <v>9385.4158564102563</v>
      </c>
      <c r="Y10" s="7"/>
      <c r="Z10" s="7">
        <f t="shared" ref="Z10:Z13" si="15">ROUND(IF(($K10)&gt;15000,15000,IF(($K10)&lt;=15000,($K10))),0)</f>
        <v>7546</v>
      </c>
      <c r="AA10" s="7">
        <f t="shared" ref="AA10:AA13" si="16">ROUND(Z10*13.36%,0)</f>
        <v>1008</v>
      </c>
      <c r="AB10" s="7">
        <f t="shared" si="2"/>
        <v>9796</v>
      </c>
      <c r="AC10" s="7">
        <f t="shared" ref="AC10:AC13" si="17">ROUNDUP(AB10*4.75%,0)</f>
        <v>466</v>
      </c>
      <c r="AD10" s="83">
        <f t="shared" ref="AD10:AD13" si="18">N10+V10+W10+AA10+AC10</f>
        <v>11937.415856410256</v>
      </c>
    </row>
    <row r="11" spans="1:31" ht="45" customHeight="1">
      <c r="A11" s="1">
        <v>3</v>
      </c>
      <c r="B11" s="70" t="s">
        <v>186</v>
      </c>
      <c r="C11" s="10" t="s">
        <v>143</v>
      </c>
      <c r="D11" s="71" t="s">
        <v>24</v>
      </c>
      <c r="E11" s="3">
        <v>7546</v>
      </c>
      <c r="F11" s="3">
        <f t="shared" si="3"/>
        <v>1887</v>
      </c>
      <c r="G11" s="4">
        <f t="shared" si="4"/>
        <v>9433</v>
      </c>
      <c r="H11" s="5">
        <v>26</v>
      </c>
      <c r="I11" s="11">
        <v>26</v>
      </c>
      <c r="J11" s="11">
        <v>2</v>
      </c>
      <c r="K11" s="3">
        <f t="shared" si="5"/>
        <v>7546</v>
      </c>
      <c r="L11" s="3">
        <f t="shared" si="6"/>
        <v>1887</v>
      </c>
      <c r="M11" s="3">
        <f t="shared" si="7"/>
        <v>725.61538461538464</v>
      </c>
      <c r="N11" s="6">
        <f t="shared" si="8"/>
        <v>10158.615384615385</v>
      </c>
      <c r="O11" s="7">
        <f t="shared" si="9"/>
        <v>906</v>
      </c>
      <c r="P11" s="7">
        <f t="shared" si="10"/>
        <v>178</v>
      </c>
      <c r="Q11" s="8">
        <f t="shared" si="11"/>
        <v>110</v>
      </c>
      <c r="R11" s="3">
        <v>0</v>
      </c>
      <c r="S11" s="3">
        <v>0</v>
      </c>
      <c r="T11" s="9">
        <f t="shared" si="12"/>
        <v>1194</v>
      </c>
      <c r="U11" s="44">
        <f t="shared" si="13"/>
        <v>8964.6153846153848</v>
      </c>
      <c r="V11" s="7">
        <f t="shared" si="0"/>
        <v>77.549661538461535</v>
      </c>
      <c r="W11" s="5">
        <f t="shared" si="1"/>
        <v>628.83333333333337</v>
      </c>
      <c r="X11" s="6">
        <f t="shared" si="14"/>
        <v>9670.9983794871805</v>
      </c>
      <c r="Y11" s="7"/>
      <c r="Z11" s="7">
        <f t="shared" si="15"/>
        <v>7546</v>
      </c>
      <c r="AA11" s="7">
        <f t="shared" si="16"/>
        <v>1008</v>
      </c>
      <c r="AB11" s="7">
        <f t="shared" si="2"/>
        <v>10159</v>
      </c>
      <c r="AC11" s="7">
        <f t="shared" si="17"/>
        <v>483</v>
      </c>
      <c r="AD11" s="83">
        <f t="shared" si="18"/>
        <v>12355.998379487181</v>
      </c>
    </row>
    <row r="12" spans="1:31" ht="45" customHeight="1">
      <c r="A12" s="1">
        <v>4</v>
      </c>
      <c r="B12" s="70" t="s">
        <v>187</v>
      </c>
      <c r="C12" s="10" t="s">
        <v>144</v>
      </c>
      <c r="D12" s="71" t="s">
        <v>24</v>
      </c>
      <c r="E12" s="3">
        <v>7546</v>
      </c>
      <c r="F12" s="3">
        <f t="shared" si="3"/>
        <v>1887</v>
      </c>
      <c r="G12" s="4">
        <f t="shared" si="4"/>
        <v>9433</v>
      </c>
      <c r="H12" s="5">
        <v>26</v>
      </c>
      <c r="I12" s="11">
        <v>26</v>
      </c>
      <c r="J12" s="11">
        <v>1</v>
      </c>
      <c r="K12" s="3">
        <f t="shared" si="5"/>
        <v>7546</v>
      </c>
      <c r="L12" s="3">
        <f t="shared" si="6"/>
        <v>1887</v>
      </c>
      <c r="M12" s="3">
        <f t="shared" si="7"/>
        <v>362.80769230769232</v>
      </c>
      <c r="N12" s="6">
        <f t="shared" si="8"/>
        <v>9795.8076923076915</v>
      </c>
      <c r="O12" s="7">
        <f t="shared" si="9"/>
        <v>906</v>
      </c>
      <c r="P12" s="7">
        <f t="shared" si="10"/>
        <v>172</v>
      </c>
      <c r="Q12" s="8">
        <f t="shared" si="11"/>
        <v>0</v>
      </c>
      <c r="R12" s="3">
        <v>0</v>
      </c>
      <c r="S12" s="3">
        <v>0</v>
      </c>
      <c r="T12" s="9">
        <f t="shared" si="12"/>
        <v>1078</v>
      </c>
      <c r="U12" s="44">
        <f t="shared" si="13"/>
        <v>8717.8076923076915</v>
      </c>
      <c r="V12" s="7">
        <f t="shared" si="0"/>
        <v>38.774830769230768</v>
      </c>
      <c r="W12" s="5">
        <f t="shared" si="1"/>
        <v>628.83333333333337</v>
      </c>
      <c r="X12" s="6">
        <f t="shared" si="14"/>
        <v>9385.4158564102563</v>
      </c>
      <c r="Y12" s="7"/>
      <c r="Z12" s="7">
        <f t="shared" si="15"/>
        <v>7546</v>
      </c>
      <c r="AA12" s="7">
        <f t="shared" si="16"/>
        <v>1008</v>
      </c>
      <c r="AB12" s="7">
        <f t="shared" si="2"/>
        <v>9796</v>
      </c>
      <c r="AC12" s="7">
        <f t="shared" si="17"/>
        <v>466</v>
      </c>
      <c r="AD12" s="83">
        <f t="shared" si="18"/>
        <v>11937.415856410256</v>
      </c>
      <c r="AE12" s="76"/>
    </row>
    <row r="13" spans="1:31" ht="45" customHeight="1">
      <c r="A13" s="1">
        <v>5</v>
      </c>
      <c r="B13" s="70" t="s">
        <v>188</v>
      </c>
      <c r="C13" s="10" t="s">
        <v>90</v>
      </c>
      <c r="D13" s="71" t="s">
        <v>24</v>
      </c>
      <c r="E13" s="3">
        <v>7546</v>
      </c>
      <c r="F13" s="3">
        <f t="shared" si="3"/>
        <v>1887</v>
      </c>
      <c r="G13" s="4">
        <f t="shared" si="4"/>
        <v>9433</v>
      </c>
      <c r="H13" s="5">
        <v>26</v>
      </c>
      <c r="I13" s="11">
        <v>26</v>
      </c>
      <c r="J13" s="11">
        <v>2</v>
      </c>
      <c r="K13" s="3">
        <f t="shared" si="5"/>
        <v>7546</v>
      </c>
      <c r="L13" s="3">
        <f t="shared" si="6"/>
        <v>1887</v>
      </c>
      <c r="M13" s="3">
        <f t="shared" si="7"/>
        <v>725.61538461538464</v>
      </c>
      <c r="N13" s="6">
        <f t="shared" si="8"/>
        <v>10158.615384615385</v>
      </c>
      <c r="O13" s="7">
        <f t="shared" si="9"/>
        <v>906</v>
      </c>
      <c r="P13" s="7">
        <f t="shared" si="10"/>
        <v>178</v>
      </c>
      <c r="Q13" s="8">
        <f t="shared" si="11"/>
        <v>110</v>
      </c>
      <c r="R13" s="3">
        <v>0</v>
      </c>
      <c r="S13" s="3">
        <v>0</v>
      </c>
      <c r="T13" s="9">
        <f t="shared" si="12"/>
        <v>1194</v>
      </c>
      <c r="U13" s="44">
        <f t="shared" si="13"/>
        <v>8964.6153846153848</v>
      </c>
      <c r="V13" s="7">
        <f t="shared" si="0"/>
        <v>77.549661538461535</v>
      </c>
      <c r="W13" s="5">
        <f t="shared" si="1"/>
        <v>628.83333333333337</v>
      </c>
      <c r="X13" s="6">
        <f t="shared" si="14"/>
        <v>9670.9983794871805</v>
      </c>
      <c r="Y13" s="7"/>
      <c r="Z13" s="7">
        <f t="shared" si="15"/>
        <v>7546</v>
      </c>
      <c r="AA13" s="7">
        <f t="shared" si="16"/>
        <v>1008</v>
      </c>
      <c r="AB13" s="7">
        <f t="shared" si="2"/>
        <v>10159</v>
      </c>
      <c r="AC13" s="7">
        <f t="shared" si="17"/>
        <v>483</v>
      </c>
      <c r="AD13" s="83">
        <f t="shared" si="18"/>
        <v>12355.998379487181</v>
      </c>
      <c r="AE13" s="75"/>
    </row>
    <row r="14" spans="1:31" ht="45" customHeight="1">
      <c r="A14" s="1">
        <v>6</v>
      </c>
      <c r="B14" s="70" t="s">
        <v>189</v>
      </c>
      <c r="C14" s="10" t="s">
        <v>227</v>
      </c>
      <c r="D14" s="184" t="s">
        <v>229</v>
      </c>
      <c r="E14" s="3">
        <v>7546</v>
      </c>
      <c r="F14" s="3">
        <f>ROUND((E14*50%)/8*4,0)</f>
        <v>1887</v>
      </c>
      <c r="G14" s="4">
        <f>E14+F14</f>
        <v>9433</v>
      </c>
      <c r="H14" s="5">
        <v>26</v>
      </c>
      <c r="I14" s="11">
        <v>22</v>
      </c>
      <c r="J14" s="11"/>
      <c r="K14" s="3">
        <f>E14/H14*I14</f>
        <v>6385.0769230769229</v>
      </c>
      <c r="L14" s="3">
        <f>F14/H14*I14</f>
        <v>1596.6923076923078</v>
      </c>
      <c r="M14" s="3">
        <f>G14/H14*J14</f>
        <v>0</v>
      </c>
      <c r="N14" s="6">
        <f>SUM(K14:M14)</f>
        <v>7981.7692307692305</v>
      </c>
      <c r="O14" s="7">
        <f>ROUND(Z14*12%,0)</f>
        <v>766</v>
      </c>
      <c r="P14" s="7">
        <f>ROUNDUP(AB14*1.75%,0)</f>
        <v>140</v>
      </c>
      <c r="Q14" s="8">
        <f>IF(N14&gt;40000,200,IF(N14&gt;25000,150,IF(N14&gt;15000,130,IF(N14&gt;10000,110,IF(N14&gt;8500,0,)))))</f>
        <v>0</v>
      </c>
      <c r="R14" s="3">
        <v>0</v>
      </c>
      <c r="S14" s="3">
        <v>0</v>
      </c>
      <c r="T14" s="9">
        <f>SUM(O14:S14)</f>
        <v>906</v>
      </c>
      <c r="U14" s="44">
        <f>N14-T14</f>
        <v>7075.7692307692305</v>
      </c>
      <c r="V14" s="7">
        <f>((E14/H14*J14)*13.36%)</f>
        <v>0</v>
      </c>
      <c r="W14" s="5">
        <f>((E14/12)/H14*(I14))</f>
        <v>532.08974358974365</v>
      </c>
      <c r="X14" s="6">
        <f>U14+W14+V14</f>
        <v>7607.8589743589746</v>
      </c>
      <c r="Y14" s="7"/>
      <c r="Z14" s="7">
        <f>ROUND(IF(($K14)&gt;15000,15000,IF(($K14)&lt;=15000,($K14))),0)</f>
        <v>6385</v>
      </c>
      <c r="AA14" s="7">
        <f>ROUND(Z14*13.36%,0)</f>
        <v>853</v>
      </c>
      <c r="AB14" s="7">
        <f>ROUND($G14/$H14*($I14+J14),0)</f>
        <v>7982</v>
      </c>
      <c r="AC14" s="7">
        <f>ROUNDUP(AB14*4.75%,0)</f>
        <v>380</v>
      </c>
      <c r="AD14" s="83">
        <f>N14+V14+W14+AA14+AC14</f>
        <v>9746.8589743589746</v>
      </c>
      <c r="AE14" s="76"/>
    </row>
    <row r="15" spans="1:31" ht="15.75">
      <c r="A15" s="1"/>
      <c r="B15" s="70"/>
      <c r="C15" s="10"/>
      <c r="D15" s="71"/>
      <c r="E15" s="3"/>
      <c r="F15" s="3"/>
      <c r="G15" s="4"/>
      <c r="H15" s="5"/>
      <c r="I15" s="11"/>
      <c r="J15" s="11"/>
      <c r="K15" s="3"/>
      <c r="L15" s="3"/>
      <c r="M15" s="3"/>
      <c r="N15" s="6">
        <f t="shared" si="8"/>
        <v>0</v>
      </c>
      <c r="O15" s="7"/>
      <c r="P15" s="7"/>
      <c r="Q15" s="8"/>
      <c r="R15" s="3"/>
      <c r="S15" s="3"/>
      <c r="T15" s="9"/>
      <c r="U15" s="44"/>
      <c r="V15" s="7"/>
      <c r="W15" s="5"/>
      <c r="X15" s="6">
        <f t="shared" si="14"/>
        <v>0</v>
      </c>
      <c r="Y15" s="7"/>
      <c r="Z15" s="7"/>
      <c r="AA15" s="7"/>
      <c r="AB15" s="7"/>
      <c r="AC15" s="7"/>
      <c r="AD15" s="83">
        <f t="shared" ref="AD15" si="19">X15+AA15+AC15</f>
        <v>0</v>
      </c>
    </row>
    <row r="16" spans="1:31">
      <c r="A16" s="54"/>
      <c r="B16" s="54"/>
      <c r="C16" s="72"/>
      <c r="D16" s="12"/>
      <c r="E16" s="13"/>
      <c r="F16" s="13"/>
      <c r="G16" s="13"/>
      <c r="H16" s="13"/>
      <c r="I16" s="74">
        <f t="shared" ref="I16:AD16" si="20">SUM(I9:I15)</f>
        <v>152</v>
      </c>
      <c r="J16" s="74">
        <f t="shared" si="20"/>
        <v>8</v>
      </c>
      <c r="K16" s="74">
        <f t="shared" si="20"/>
        <v>44115.076923076922</v>
      </c>
      <c r="L16" s="74">
        <f t="shared" si="20"/>
        <v>11031.692307692309</v>
      </c>
      <c r="M16" s="74">
        <f t="shared" si="20"/>
        <v>2902.4615384615386</v>
      </c>
      <c r="N16" s="74">
        <f t="shared" si="20"/>
        <v>58049.230769230766</v>
      </c>
      <c r="O16" s="74">
        <f t="shared" si="20"/>
        <v>5296</v>
      </c>
      <c r="P16" s="74">
        <f t="shared" si="20"/>
        <v>1018</v>
      </c>
      <c r="Q16" s="74">
        <f t="shared" si="20"/>
        <v>330</v>
      </c>
      <c r="R16" s="74">
        <f t="shared" si="20"/>
        <v>5000</v>
      </c>
      <c r="S16" s="74">
        <f t="shared" si="20"/>
        <v>0</v>
      </c>
      <c r="T16" s="74">
        <f t="shared" si="20"/>
        <v>11644</v>
      </c>
      <c r="U16" s="74">
        <f t="shared" si="20"/>
        <v>46405.230769230766</v>
      </c>
      <c r="V16" s="74">
        <f t="shared" si="20"/>
        <v>310.19864615384614</v>
      </c>
      <c r="W16" s="74">
        <f t="shared" si="20"/>
        <v>3676.2564102564106</v>
      </c>
      <c r="X16" s="74">
        <f t="shared" si="20"/>
        <v>50391.685825641027</v>
      </c>
      <c r="Y16" s="74">
        <f t="shared" si="20"/>
        <v>0</v>
      </c>
      <c r="Z16" s="74">
        <f t="shared" si="20"/>
        <v>44115</v>
      </c>
      <c r="AA16" s="74">
        <f t="shared" si="20"/>
        <v>5893</v>
      </c>
      <c r="AB16" s="74">
        <f t="shared" si="20"/>
        <v>58051</v>
      </c>
      <c r="AC16" s="74">
        <f t="shared" si="20"/>
        <v>2761</v>
      </c>
      <c r="AD16" s="83">
        <f t="shared" si="20"/>
        <v>70689.68582564102</v>
      </c>
    </row>
    <row r="17" spans="1:30" ht="39.950000000000003" customHeight="1">
      <c r="A17" s="1">
        <v>1</v>
      </c>
      <c r="B17" s="70" t="s">
        <v>190</v>
      </c>
      <c r="C17" s="128" t="s">
        <v>145</v>
      </c>
      <c r="D17" s="90" t="s">
        <v>105</v>
      </c>
      <c r="E17" s="3">
        <v>7546</v>
      </c>
      <c r="F17" s="3">
        <v>0</v>
      </c>
      <c r="G17" s="4">
        <f>E17+F17</f>
        <v>7546</v>
      </c>
      <c r="H17" s="5">
        <v>26</v>
      </c>
      <c r="I17" s="11">
        <v>26</v>
      </c>
      <c r="J17" s="11"/>
      <c r="K17" s="3">
        <f>E17/H17*I17</f>
        <v>7546</v>
      </c>
      <c r="L17" s="3">
        <f>F17/H17*I17</f>
        <v>0</v>
      </c>
      <c r="M17" s="3">
        <f>G17/H17*J17</f>
        <v>0</v>
      </c>
      <c r="N17" s="6">
        <f>SUM(K17:M17)</f>
        <v>7546</v>
      </c>
      <c r="O17" s="7">
        <f>ROUND(Z17*12%,0)</f>
        <v>906</v>
      </c>
      <c r="P17" s="7">
        <f>ROUNDUP(AB17*1.75%,0)</f>
        <v>133</v>
      </c>
      <c r="Q17" s="8">
        <f>IF(N17&gt;40000,200,IF(N17&gt;25000,150,IF(N17&gt;15000,130,IF(N17&gt;10000,110,IF(N17&gt;8500,0,)))))</f>
        <v>0</v>
      </c>
      <c r="R17" s="3">
        <v>0</v>
      </c>
      <c r="S17" s="3">
        <v>0</v>
      </c>
      <c r="T17" s="9">
        <f>SUM(O17:S17)</f>
        <v>1039</v>
      </c>
      <c r="U17" s="44">
        <f>N17-T17</f>
        <v>6507</v>
      </c>
      <c r="V17" s="7">
        <f>((E17/H17*J17)*13.36%)</f>
        <v>0</v>
      </c>
      <c r="W17" s="5">
        <f>((E17/12)/H17*(I17))</f>
        <v>628.83333333333337</v>
      </c>
      <c r="X17" s="6">
        <f>U17+W17+V17</f>
        <v>7135.833333333333</v>
      </c>
      <c r="Y17" s="7"/>
      <c r="Z17" s="7">
        <f>ROUND(IF(($K17)&gt;15000,15000,IF(($K17)&lt;=15000,($K17))),0)</f>
        <v>7546</v>
      </c>
      <c r="AA17" s="7">
        <f>ROUND(Z17*13.36%,0)</f>
        <v>1008</v>
      </c>
      <c r="AB17" s="7">
        <f>ROUND($G17/$H17*($I17+J17),0)</f>
        <v>7546</v>
      </c>
      <c r="AC17" s="7">
        <f>ROUNDUP(AB17*4.75%,0)</f>
        <v>359</v>
      </c>
      <c r="AD17" s="83">
        <f t="shared" ref="AD17:AD18" si="21">N17+V17+W17+AA17+AC17</f>
        <v>9541.8333333333321</v>
      </c>
    </row>
    <row r="18" spans="1:30" ht="39.950000000000003" customHeight="1">
      <c r="A18" s="1">
        <v>2</v>
      </c>
      <c r="B18" s="70" t="s">
        <v>191</v>
      </c>
      <c r="C18" s="128" t="s">
        <v>146</v>
      </c>
      <c r="D18" s="90" t="s">
        <v>105</v>
      </c>
      <c r="E18" s="3">
        <v>7546</v>
      </c>
      <c r="F18" s="3">
        <v>0</v>
      </c>
      <c r="G18" s="4">
        <f t="shared" ref="G18" si="22">E18+F18</f>
        <v>7546</v>
      </c>
      <c r="H18" s="5">
        <v>26</v>
      </c>
      <c r="I18" s="11">
        <v>6</v>
      </c>
      <c r="J18" s="11"/>
      <c r="K18" s="3">
        <f t="shared" ref="K18" si="23">E18/H18*I18</f>
        <v>1741.3846153846152</v>
      </c>
      <c r="L18" s="3">
        <f t="shared" ref="L18" si="24">F18/H18*I18</f>
        <v>0</v>
      </c>
      <c r="M18" s="3">
        <f t="shared" ref="M18" si="25">G18/H18*J18</f>
        <v>0</v>
      </c>
      <c r="N18" s="6">
        <f t="shared" ref="N18:N19" si="26">SUM(K18:M18)</f>
        <v>1741.3846153846152</v>
      </c>
      <c r="O18" s="7">
        <f t="shared" ref="O18" si="27">ROUND(Z18*12%,0)</f>
        <v>209</v>
      </c>
      <c r="P18" s="7">
        <f t="shared" ref="P18" si="28">ROUNDUP(AB18*1.75%,0)</f>
        <v>31</v>
      </c>
      <c r="Q18" s="8">
        <f t="shared" ref="Q18" si="29">IF(N18&gt;40000,200,IF(N18&gt;25000,150,IF(N18&gt;15000,130,IF(N18&gt;10000,110,IF(N18&gt;8500,0,)))))</f>
        <v>0</v>
      </c>
      <c r="R18" s="3">
        <v>0</v>
      </c>
      <c r="S18" s="3">
        <v>0</v>
      </c>
      <c r="T18" s="9">
        <f t="shared" ref="T18" si="30">SUM(O18:S18)</f>
        <v>240</v>
      </c>
      <c r="U18" s="44">
        <f t="shared" ref="U18" si="31">N18-T18</f>
        <v>1501.3846153846152</v>
      </c>
      <c r="V18" s="7">
        <f>((E18/H18*J18)*13.36%)</f>
        <v>0</v>
      </c>
      <c r="W18" s="5">
        <f>((E18/12)/H18*(I18))</f>
        <v>145.11538461538464</v>
      </c>
      <c r="X18" s="6">
        <f t="shared" ref="X18:X19" si="32">U18+W18+V18</f>
        <v>1646.5</v>
      </c>
      <c r="Y18" s="7"/>
      <c r="Z18" s="7">
        <f t="shared" ref="Z18" si="33">ROUND(IF(($K18)&gt;15000,15000,IF(($K18)&lt;=15000,($K18))),0)</f>
        <v>1741</v>
      </c>
      <c r="AA18" s="7">
        <f t="shared" ref="AA18" si="34">ROUND(Z18*13.36%,0)</f>
        <v>233</v>
      </c>
      <c r="AB18" s="7">
        <f>ROUND($G18/$H18*($I18+J18),0)</f>
        <v>1741</v>
      </c>
      <c r="AC18" s="7">
        <f t="shared" ref="AC18" si="35">ROUNDUP(AB18*4.75%,0)</f>
        <v>83</v>
      </c>
      <c r="AD18" s="83">
        <f t="shared" si="21"/>
        <v>2202.5</v>
      </c>
    </row>
    <row r="19" spans="1:30" ht="15.75">
      <c r="A19" s="1"/>
      <c r="B19" s="70"/>
      <c r="C19" s="10"/>
      <c r="D19" s="71"/>
      <c r="E19" s="3"/>
      <c r="F19" s="3"/>
      <c r="G19" s="4"/>
      <c r="H19" s="5"/>
      <c r="I19" s="11"/>
      <c r="J19" s="11"/>
      <c r="K19" s="3"/>
      <c r="L19" s="3"/>
      <c r="M19" s="3"/>
      <c r="N19" s="6">
        <f t="shared" si="26"/>
        <v>0</v>
      </c>
      <c r="O19" s="7"/>
      <c r="P19" s="7"/>
      <c r="Q19" s="8"/>
      <c r="R19" s="3"/>
      <c r="S19" s="3"/>
      <c r="T19" s="9"/>
      <c r="U19" s="44"/>
      <c r="V19" s="7"/>
      <c r="W19" s="5"/>
      <c r="X19" s="6">
        <f t="shared" si="32"/>
        <v>0</v>
      </c>
      <c r="Y19" s="7"/>
      <c r="Z19" s="7"/>
      <c r="AA19" s="7"/>
      <c r="AB19" s="7"/>
      <c r="AC19" s="7"/>
      <c r="AD19" s="83">
        <f t="shared" ref="AD19" si="36">X19+AA19+AC19</f>
        <v>0</v>
      </c>
    </row>
    <row r="20" spans="1:30">
      <c r="A20" s="54"/>
      <c r="B20" s="54"/>
      <c r="C20" s="72"/>
      <c r="D20" s="12"/>
      <c r="E20" s="13"/>
      <c r="F20" s="13"/>
      <c r="G20" s="13"/>
      <c r="H20" s="13"/>
      <c r="I20" s="11">
        <f>SUM(I17:I19)</f>
        <v>32</v>
      </c>
      <c r="J20" s="11">
        <f t="shared" ref="J20" si="37">SUM(J17:J19)</f>
        <v>0</v>
      </c>
      <c r="K20" s="74">
        <f>SUM(K17:K19)</f>
        <v>9287.3846153846152</v>
      </c>
      <c r="L20" s="74">
        <f t="shared" ref="L20:AC20" si="38">SUM(L17:L19)</f>
        <v>0</v>
      </c>
      <c r="M20" s="74">
        <f t="shared" si="38"/>
        <v>0</v>
      </c>
      <c r="N20" s="74">
        <f t="shared" si="38"/>
        <v>9287.3846153846152</v>
      </c>
      <c r="O20" s="74">
        <f t="shared" si="38"/>
        <v>1115</v>
      </c>
      <c r="P20" s="74">
        <f t="shared" si="38"/>
        <v>164</v>
      </c>
      <c r="Q20" s="74">
        <f t="shared" si="38"/>
        <v>0</v>
      </c>
      <c r="R20" s="74">
        <f t="shared" si="38"/>
        <v>0</v>
      </c>
      <c r="S20" s="74">
        <f t="shared" si="38"/>
        <v>0</v>
      </c>
      <c r="T20" s="74">
        <f t="shared" si="38"/>
        <v>1279</v>
      </c>
      <c r="U20" s="74">
        <f t="shared" si="38"/>
        <v>8008.3846153846152</v>
      </c>
      <c r="V20" s="74">
        <f t="shared" si="38"/>
        <v>0</v>
      </c>
      <c r="W20" s="74">
        <f t="shared" si="38"/>
        <v>773.94871794871801</v>
      </c>
      <c r="X20" s="74">
        <f t="shared" si="38"/>
        <v>8782.3333333333321</v>
      </c>
      <c r="Y20" s="74">
        <f t="shared" si="38"/>
        <v>0</v>
      </c>
      <c r="Z20" s="74">
        <f t="shared" si="38"/>
        <v>9287</v>
      </c>
      <c r="AA20" s="74">
        <f t="shared" si="38"/>
        <v>1241</v>
      </c>
      <c r="AB20" s="74">
        <f t="shared" si="38"/>
        <v>9287</v>
      </c>
      <c r="AC20" s="74">
        <f t="shared" si="38"/>
        <v>442</v>
      </c>
      <c r="AD20" s="83">
        <f>SUM(AD17:AD19)</f>
        <v>11744.333333333332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G23"/>
  <sheetViews>
    <sheetView zoomScaleSheetLayoutView="100" workbookViewId="0">
      <pane xSplit="9" ySplit="8" topLeftCell="J13" activePane="bottomRight" state="frozen"/>
      <selection activeCell="G10" sqref="G10"/>
      <selection pane="topRight" activeCell="G10" sqref="G10"/>
      <selection pane="bottomLeft" activeCell="G10" sqref="G10"/>
      <selection pane="bottomRight" activeCell="A16" sqref="A16:A18"/>
    </sheetView>
  </sheetViews>
  <sheetFormatPr defaultRowHeight="15"/>
  <cols>
    <col min="1" max="1" width="3.7109375" style="26" customWidth="1"/>
    <col min="2" max="2" width="11.7109375" style="26" bestFit="1" customWidth="1"/>
    <col min="3" max="3" width="13.140625" style="127" customWidth="1"/>
    <col min="4" max="4" width="12.5703125" style="31" bestFit="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7.85546875" style="26" bestFit="1" customWidth="1"/>
    <col min="12" max="12" width="8.42578125" style="26" bestFit="1" customWidth="1"/>
    <col min="13" max="13" width="8.7109375" style="26" bestFit="1" customWidth="1"/>
    <col min="14" max="15" width="7.85546875" style="26" bestFit="1" customWidth="1"/>
    <col min="16" max="16" width="5.85546875" style="26" customWidth="1"/>
    <col min="17" max="17" width="9.7109375" style="26" bestFit="1" customWidth="1"/>
    <col min="18" max="18" width="9.28515625" style="26" bestFit="1" customWidth="1"/>
    <col min="19" max="19" width="11.140625" style="26" bestFit="1" customWidth="1"/>
    <col min="20" max="20" width="8.28515625" style="26" bestFit="1" customWidth="1"/>
    <col min="21" max="21" width="8.5703125" style="26" bestFit="1" customWidth="1"/>
    <col min="22" max="22" width="8.5703125" style="26" customWidth="1"/>
    <col min="23" max="23" width="5.85546875" style="26" customWidth="1"/>
    <col min="24" max="24" width="7.85546875" style="26" bestFit="1" customWidth="1"/>
    <col min="25" max="25" width="22.85546875" style="26" customWidth="1"/>
    <col min="26" max="26" width="8.5703125" style="26" bestFit="1" customWidth="1"/>
    <col min="27" max="27" width="11.140625" style="26" bestFit="1" customWidth="1"/>
    <col min="28" max="28" width="9" style="26" bestFit="1" customWidth="1"/>
    <col min="29" max="29" width="11.42578125" style="26" customWidth="1"/>
    <col min="30" max="30" width="10.5703125" style="26" bestFit="1" customWidth="1"/>
    <col min="31" max="31" width="9.140625" style="26"/>
    <col min="32" max="32" width="9.5703125" style="26" bestFit="1" customWidth="1"/>
    <col min="33" max="33" width="8.7109375" style="26" bestFit="1" customWidth="1"/>
    <col min="34" max="16384" width="9.140625" style="26"/>
  </cols>
  <sheetData>
    <row r="1" spans="1:30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0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0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0">
      <c r="A4" s="77"/>
      <c r="B4" s="77"/>
      <c r="C4" s="123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0" ht="15" customHeight="1">
      <c r="A5" s="201" t="s">
        <v>135</v>
      </c>
      <c r="B5" s="201"/>
      <c r="C5" s="201"/>
      <c r="D5" s="203" t="s">
        <v>102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0" ht="15" customHeight="1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0" ht="15" customHeight="1">
      <c r="A7" s="202" t="s">
        <v>137</v>
      </c>
      <c r="B7" s="202"/>
      <c r="C7" s="202"/>
      <c r="D7" s="203" t="s">
        <v>112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0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0" ht="50.1" customHeight="1">
      <c r="A9" s="1">
        <v>1</v>
      </c>
      <c r="B9" s="70" t="s">
        <v>192</v>
      </c>
      <c r="C9" s="10" t="s">
        <v>147</v>
      </c>
      <c r="D9" s="71" t="s">
        <v>24</v>
      </c>
      <c r="E9" s="3">
        <v>7546</v>
      </c>
      <c r="F9" s="3">
        <f>ROUND((E9*50%)/8*4,0)</f>
        <v>1887</v>
      </c>
      <c r="G9" s="4">
        <f>E9+F9</f>
        <v>9433</v>
      </c>
      <c r="H9" s="5">
        <v>26</v>
      </c>
      <c r="I9" s="11">
        <v>26</v>
      </c>
      <c r="J9" s="11">
        <v>2</v>
      </c>
      <c r="K9" s="3">
        <f>E9/H9*I9</f>
        <v>7546</v>
      </c>
      <c r="L9" s="3">
        <f>F9/H9*I9</f>
        <v>1887</v>
      </c>
      <c r="M9" s="3">
        <f>G9/H9*J9</f>
        <v>725.61538461538464</v>
      </c>
      <c r="N9" s="6">
        <f>SUM(K9:M9)</f>
        <v>10158.615384615385</v>
      </c>
      <c r="O9" s="7">
        <f>ROUND(Z9*12%,0)</f>
        <v>906</v>
      </c>
      <c r="P9" s="7">
        <f>ROUNDUP(AB9*1.75%,0)</f>
        <v>178</v>
      </c>
      <c r="Q9" s="8">
        <f>IF(N9&gt;40000,200,IF(N9&gt;25000,150,IF(N9&gt;15000,130,IF(N9&gt;10000,110,IF(N9&gt;8500,0,)))))</f>
        <v>110</v>
      </c>
      <c r="R9" s="3">
        <v>0</v>
      </c>
      <c r="S9" s="3">
        <v>0</v>
      </c>
      <c r="T9" s="9">
        <f>SUM(O9:S9)</f>
        <v>1194</v>
      </c>
      <c r="U9" s="44">
        <f>N9-T9</f>
        <v>8964.6153846153848</v>
      </c>
      <c r="V9" s="7">
        <f>((E9/H9*J9)*13.36%)</f>
        <v>77.549661538461535</v>
      </c>
      <c r="W9" s="5">
        <f>((E9/12)/H9*(I9))</f>
        <v>628.83333333333337</v>
      </c>
      <c r="X9" s="6">
        <f>U9+W9+V9</f>
        <v>9670.9983794871805</v>
      </c>
      <c r="Y9" s="7"/>
      <c r="Z9" s="7">
        <f>ROUND(IF(($K9)&gt;15000,15000,IF(($K9)&lt;=15000,($K9))),0)</f>
        <v>7546</v>
      </c>
      <c r="AA9" s="7">
        <f>ROUND(Z9*13.36%,0)</f>
        <v>1008</v>
      </c>
      <c r="AB9" s="7">
        <f>ROUND($G9/$H9*($I9+J9),0)</f>
        <v>10159</v>
      </c>
      <c r="AC9" s="7">
        <f>ROUNDUP(AB9*4.75%,0)</f>
        <v>483</v>
      </c>
      <c r="AD9" s="83">
        <f t="shared" ref="AD9:AD14" si="0">N9+V9+W9+AA9+AC9</f>
        <v>12355.998379487181</v>
      </c>
    </row>
    <row r="10" spans="1:30" ht="50.1" customHeight="1">
      <c r="A10" s="1">
        <v>2</v>
      </c>
      <c r="B10" s="70" t="s">
        <v>193</v>
      </c>
      <c r="C10" s="10" t="s">
        <v>148</v>
      </c>
      <c r="D10" s="71" t="s">
        <v>24</v>
      </c>
      <c r="E10" s="3">
        <v>7546</v>
      </c>
      <c r="F10" s="3">
        <f t="shared" ref="F10:F13" si="1">ROUND((E10*50%)/8*4,0)</f>
        <v>1887</v>
      </c>
      <c r="G10" s="4">
        <f t="shared" ref="G10:G13" si="2">E10+F10</f>
        <v>9433</v>
      </c>
      <c r="H10" s="5">
        <v>26</v>
      </c>
      <c r="I10" s="11">
        <v>26</v>
      </c>
      <c r="J10" s="11">
        <v>2</v>
      </c>
      <c r="K10" s="3">
        <f t="shared" ref="K10:K13" si="3">E10/H10*I10</f>
        <v>7546</v>
      </c>
      <c r="L10" s="3">
        <f t="shared" ref="L10:L13" si="4">F10/H10*I10</f>
        <v>1887</v>
      </c>
      <c r="M10" s="3">
        <f t="shared" ref="M10:M13" si="5">G10/H10*J10</f>
        <v>725.61538461538464</v>
      </c>
      <c r="N10" s="6">
        <f t="shared" ref="N10:N14" si="6">SUM(K10:M10)</f>
        <v>10158.615384615385</v>
      </c>
      <c r="O10" s="7">
        <f t="shared" ref="O10:O13" si="7">ROUND(Z10*12%,0)</f>
        <v>906</v>
      </c>
      <c r="P10" s="7">
        <f t="shared" ref="P10:P13" si="8">ROUNDUP(AB10*1.75%,0)</f>
        <v>178</v>
      </c>
      <c r="Q10" s="8">
        <f t="shared" ref="Q10:Q13" si="9">IF(N10&gt;40000,200,IF(N10&gt;25000,150,IF(N10&gt;15000,130,IF(N10&gt;10000,110,IF(N10&gt;8500,0,)))))</f>
        <v>110</v>
      </c>
      <c r="R10" s="3">
        <v>0</v>
      </c>
      <c r="S10" s="3">
        <v>0</v>
      </c>
      <c r="T10" s="9">
        <f t="shared" ref="T10:T13" si="10">SUM(O10:S10)</f>
        <v>1194</v>
      </c>
      <c r="U10" s="44">
        <f t="shared" ref="U10:U13" si="11">N10-T10</f>
        <v>8964.6153846153848</v>
      </c>
      <c r="V10" s="7">
        <f>((E10/H10*J10)*13.36%)</f>
        <v>77.549661538461535</v>
      </c>
      <c r="W10" s="5">
        <f>((E10/12)/H10*(I10))</f>
        <v>628.83333333333337</v>
      </c>
      <c r="X10" s="6">
        <f t="shared" ref="X10:X14" si="12">U10+W10+V10</f>
        <v>9670.9983794871805</v>
      </c>
      <c r="Y10" s="7"/>
      <c r="Z10" s="7">
        <f t="shared" ref="Z10:Z13" si="13">ROUND(IF(($K10)&gt;15000,15000,IF(($K10)&lt;=15000,($K10))),0)</f>
        <v>7546</v>
      </c>
      <c r="AA10" s="7">
        <f t="shared" ref="AA10:AA13" si="14">ROUND(Z10*13.36%,0)</f>
        <v>1008</v>
      </c>
      <c r="AB10" s="7">
        <f>ROUND($G10/$H10*($I10+J10),0)</f>
        <v>10159</v>
      </c>
      <c r="AC10" s="7">
        <f t="shared" ref="AC10:AC13" si="15">ROUNDUP(AB10*4.75%,0)</f>
        <v>483</v>
      </c>
      <c r="AD10" s="83">
        <f t="shared" si="0"/>
        <v>12355.998379487181</v>
      </c>
    </row>
    <row r="11" spans="1:30" ht="50.1" customHeight="1">
      <c r="A11" s="1">
        <v>3</v>
      </c>
      <c r="B11" s="70" t="s">
        <v>194</v>
      </c>
      <c r="C11" s="10" t="s">
        <v>149</v>
      </c>
      <c r="D11" s="71" t="s">
        <v>24</v>
      </c>
      <c r="E11" s="3">
        <v>7546</v>
      </c>
      <c r="F11" s="3">
        <f t="shared" si="1"/>
        <v>1887</v>
      </c>
      <c r="G11" s="4">
        <f t="shared" si="2"/>
        <v>9433</v>
      </c>
      <c r="H11" s="5">
        <v>26</v>
      </c>
      <c r="I11" s="11">
        <v>26</v>
      </c>
      <c r="J11" s="11">
        <v>1</v>
      </c>
      <c r="K11" s="3">
        <f t="shared" si="3"/>
        <v>7546</v>
      </c>
      <c r="L11" s="3">
        <f t="shared" si="4"/>
        <v>1887</v>
      </c>
      <c r="M11" s="3">
        <f t="shared" si="5"/>
        <v>362.80769230769232</v>
      </c>
      <c r="N11" s="6">
        <f t="shared" si="6"/>
        <v>9795.8076923076915</v>
      </c>
      <c r="O11" s="7">
        <f t="shared" si="7"/>
        <v>906</v>
      </c>
      <c r="P11" s="7">
        <f t="shared" si="8"/>
        <v>172</v>
      </c>
      <c r="Q11" s="8">
        <f t="shared" si="9"/>
        <v>0</v>
      </c>
      <c r="R11" s="3">
        <v>0</v>
      </c>
      <c r="S11" s="3">
        <v>0</v>
      </c>
      <c r="T11" s="9">
        <f t="shared" si="10"/>
        <v>1078</v>
      </c>
      <c r="U11" s="44">
        <f t="shared" si="11"/>
        <v>8717.8076923076915</v>
      </c>
      <c r="V11" s="7">
        <f>((E11/H11*J11)*13.36%)</f>
        <v>38.774830769230768</v>
      </c>
      <c r="W11" s="5">
        <f>((E11/12)/H11*(I11))</f>
        <v>628.83333333333337</v>
      </c>
      <c r="X11" s="6">
        <f t="shared" si="12"/>
        <v>9385.4158564102563</v>
      </c>
      <c r="Y11" s="7"/>
      <c r="Z11" s="7">
        <f t="shared" si="13"/>
        <v>7546</v>
      </c>
      <c r="AA11" s="7">
        <f t="shared" si="14"/>
        <v>1008</v>
      </c>
      <c r="AB11" s="7">
        <f>ROUND($G11/$H11*($I11+J11),0)</f>
        <v>9796</v>
      </c>
      <c r="AC11" s="7">
        <f t="shared" si="15"/>
        <v>466</v>
      </c>
      <c r="AD11" s="83">
        <f t="shared" si="0"/>
        <v>11937.415856410256</v>
      </c>
    </row>
    <row r="12" spans="1:30" ht="50.1" customHeight="1">
      <c r="A12" s="1">
        <v>4</v>
      </c>
      <c r="B12" s="70" t="s">
        <v>195</v>
      </c>
      <c r="C12" s="10" t="s">
        <v>150</v>
      </c>
      <c r="D12" s="71" t="s">
        <v>24</v>
      </c>
      <c r="E12" s="3">
        <v>7546</v>
      </c>
      <c r="F12" s="3">
        <f t="shared" si="1"/>
        <v>1887</v>
      </c>
      <c r="G12" s="4">
        <f t="shared" si="2"/>
        <v>9433</v>
      </c>
      <c r="H12" s="5">
        <v>26</v>
      </c>
      <c r="I12" s="11">
        <v>26</v>
      </c>
      <c r="J12" s="11">
        <v>1</v>
      </c>
      <c r="K12" s="3">
        <f t="shared" si="3"/>
        <v>7546</v>
      </c>
      <c r="L12" s="3">
        <f t="shared" si="4"/>
        <v>1887</v>
      </c>
      <c r="M12" s="3">
        <f t="shared" si="5"/>
        <v>362.80769230769232</v>
      </c>
      <c r="N12" s="6">
        <f t="shared" si="6"/>
        <v>9795.8076923076915</v>
      </c>
      <c r="O12" s="7">
        <f t="shared" si="7"/>
        <v>906</v>
      </c>
      <c r="P12" s="7">
        <f t="shared" si="8"/>
        <v>172</v>
      </c>
      <c r="Q12" s="8">
        <f t="shared" si="9"/>
        <v>0</v>
      </c>
      <c r="R12" s="3">
        <v>0</v>
      </c>
      <c r="S12" s="3">
        <v>0</v>
      </c>
      <c r="T12" s="9">
        <f t="shared" si="10"/>
        <v>1078</v>
      </c>
      <c r="U12" s="44">
        <f t="shared" si="11"/>
        <v>8717.8076923076915</v>
      </c>
      <c r="V12" s="7">
        <f>((E12/H12*J12)*13.36%)</f>
        <v>38.774830769230768</v>
      </c>
      <c r="W12" s="5">
        <f>((E12/12)/H12*(I12))</f>
        <v>628.83333333333337</v>
      </c>
      <c r="X12" s="6">
        <f t="shared" si="12"/>
        <v>9385.4158564102563</v>
      </c>
      <c r="Y12" s="7"/>
      <c r="Z12" s="7">
        <f t="shared" si="13"/>
        <v>7546</v>
      </c>
      <c r="AA12" s="7">
        <f t="shared" si="14"/>
        <v>1008</v>
      </c>
      <c r="AB12" s="7">
        <f>ROUND($G12/$H12*($I12+J12),0)</f>
        <v>9796</v>
      </c>
      <c r="AC12" s="7">
        <f t="shared" si="15"/>
        <v>466</v>
      </c>
      <c r="AD12" s="83">
        <f t="shared" si="0"/>
        <v>11937.415856410256</v>
      </c>
    </row>
    <row r="13" spans="1:30" ht="50.1" customHeight="1">
      <c r="A13" s="1">
        <v>5</v>
      </c>
      <c r="B13" s="70" t="s">
        <v>196</v>
      </c>
      <c r="C13" s="10" t="s">
        <v>146</v>
      </c>
      <c r="D13" s="73" t="s">
        <v>229</v>
      </c>
      <c r="E13" s="3">
        <v>7546</v>
      </c>
      <c r="F13" s="3">
        <f t="shared" si="1"/>
        <v>1887</v>
      </c>
      <c r="G13" s="4">
        <f t="shared" si="2"/>
        <v>9433</v>
      </c>
      <c r="H13" s="5">
        <v>26</v>
      </c>
      <c r="I13" s="11">
        <v>18</v>
      </c>
      <c r="J13" s="11"/>
      <c r="K13" s="3">
        <f t="shared" si="3"/>
        <v>5224.1538461538457</v>
      </c>
      <c r="L13" s="3">
        <f t="shared" si="4"/>
        <v>1306.3846153846155</v>
      </c>
      <c r="M13" s="3">
        <f t="shared" si="5"/>
        <v>0</v>
      </c>
      <c r="N13" s="6">
        <f t="shared" si="6"/>
        <v>6530.538461538461</v>
      </c>
      <c r="O13" s="7">
        <f t="shared" si="7"/>
        <v>627</v>
      </c>
      <c r="P13" s="7">
        <f t="shared" si="8"/>
        <v>115</v>
      </c>
      <c r="Q13" s="8">
        <f t="shared" si="9"/>
        <v>0</v>
      </c>
      <c r="R13" s="3">
        <v>0</v>
      </c>
      <c r="S13" s="3">
        <v>0</v>
      </c>
      <c r="T13" s="9">
        <f t="shared" si="10"/>
        <v>742</v>
      </c>
      <c r="U13" s="44">
        <f t="shared" si="11"/>
        <v>5788.538461538461</v>
      </c>
      <c r="V13" s="7">
        <f>((E13/H13*J13)*13.36%)</f>
        <v>0</v>
      </c>
      <c r="W13" s="5">
        <f>((E13/12)/H13*(I13))</f>
        <v>435.34615384615387</v>
      </c>
      <c r="X13" s="6">
        <f t="shared" si="12"/>
        <v>6223.8846153846152</v>
      </c>
      <c r="Y13" s="7"/>
      <c r="Z13" s="7">
        <f t="shared" si="13"/>
        <v>5224</v>
      </c>
      <c r="AA13" s="7">
        <f t="shared" si="14"/>
        <v>698</v>
      </c>
      <c r="AB13" s="7">
        <f>ROUND($G13/$H13*($I13+J13),0)</f>
        <v>6531</v>
      </c>
      <c r="AC13" s="7">
        <f t="shared" si="15"/>
        <v>311</v>
      </c>
      <c r="AD13" s="83">
        <f t="shared" si="0"/>
        <v>7974.8846153846152</v>
      </c>
    </row>
    <row r="14" spans="1:30" ht="15.75">
      <c r="A14" s="1"/>
      <c r="B14" s="70"/>
      <c r="C14" s="10"/>
      <c r="D14" s="73"/>
      <c r="E14" s="3"/>
      <c r="F14" s="3"/>
      <c r="G14" s="4"/>
      <c r="H14" s="5"/>
      <c r="I14" s="11"/>
      <c r="J14" s="11"/>
      <c r="K14" s="3"/>
      <c r="L14" s="3"/>
      <c r="M14" s="3"/>
      <c r="N14" s="6">
        <f t="shared" si="6"/>
        <v>0</v>
      </c>
      <c r="O14" s="7"/>
      <c r="P14" s="7"/>
      <c r="Q14" s="8"/>
      <c r="R14" s="3"/>
      <c r="S14" s="3"/>
      <c r="T14" s="9"/>
      <c r="U14" s="44"/>
      <c r="V14" s="7"/>
      <c r="W14" s="5"/>
      <c r="X14" s="6">
        <f t="shared" si="12"/>
        <v>0</v>
      </c>
      <c r="Y14" s="7"/>
      <c r="Z14" s="7"/>
      <c r="AA14" s="7"/>
      <c r="AB14" s="7"/>
      <c r="AC14" s="7"/>
      <c r="AD14" s="83">
        <f t="shared" si="0"/>
        <v>0</v>
      </c>
    </row>
    <row r="15" spans="1:30">
      <c r="A15" s="54"/>
      <c r="B15" s="54"/>
      <c r="C15" s="12"/>
      <c r="D15" s="12"/>
      <c r="E15" s="13"/>
      <c r="F15" s="13"/>
      <c r="G15" s="13"/>
      <c r="H15" s="13"/>
      <c r="I15" s="11">
        <f>SUM(I9:I14)</f>
        <v>122</v>
      </c>
      <c r="J15" s="11">
        <f>SUM(J9:J14)</f>
        <v>6</v>
      </c>
      <c r="K15" s="13">
        <f>SUM(K9:K14)</f>
        <v>35408.153846153844</v>
      </c>
      <c r="L15" s="13">
        <f t="shared" ref="L15:AC15" si="16">SUM(L9:L14)</f>
        <v>8854.3846153846152</v>
      </c>
      <c r="M15" s="13">
        <f t="shared" si="16"/>
        <v>2176.8461538461538</v>
      </c>
      <c r="N15" s="13">
        <f t="shared" si="16"/>
        <v>46439.384615384617</v>
      </c>
      <c r="O15" s="13">
        <f t="shared" si="16"/>
        <v>4251</v>
      </c>
      <c r="P15" s="13">
        <f t="shared" si="16"/>
        <v>815</v>
      </c>
      <c r="Q15" s="13">
        <f t="shared" si="16"/>
        <v>220</v>
      </c>
      <c r="R15" s="13">
        <f t="shared" si="16"/>
        <v>0</v>
      </c>
      <c r="S15" s="13">
        <f t="shared" si="16"/>
        <v>0</v>
      </c>
      <c r="T15" s="13">
        <f t="shared" si="16"/>
        <v>5286</v>
      </c>
      <c r="U15" s="13">
        <f t="shared" si="16"/>
        <v>41153.384615384617</v>
      </c>
      <c r="V15" s="13">
        <f t="shared" si="16"/>
        <v>232.64898461538459</v>
      </c>
      <c r="W15" s="13">
        <f t="shared" si="16"/>
        <v>2950.6794871794873</v>
      </c>
      <c r="X15" s="13">
        <f t="shared" si="16"/>
        <v>44336.713087179487</v>
      </c>
      <c r="Y15" s="13">
        <f t="shared" si="16"/>
        <v>0</v>
      </c>
      <c r="Z15" s="13">
        <f t="shared" si="16"/>
        <v>35408</v>
      </c>
      <c r="AA15" s="13">
        <f t="shared" si="16"/>
        <v>4730</v>
      </c>
      <c r="AB15" s="13">
        <f t="shared" si="16"/>
        <v>46441</v>
      </c>
      <c r="AC15" s="13">
        <f t="shared" si="16"/>
        <v>2209</v>
      </c>
      <c r="AD15" s="83">
        <f>SUM(AD9:AD14)</f>
        <v>56561.713087179487</v>
      </c>
    </row>
    <row r="16" spans="1:30" ht="50.1" customHeight="1">
      <c r="A16" s="1">
        <v>1</v>
      </c>
      <c r="B16" s="70" t="s">
        <v>197</v>
      </c>
      <c r="C16" s="128" t="s">
        <v>151</v>
      </c>
      <c r="D16" s="90" t="s">
        <v>105</v>
      </c>
      <c r="E16" s="3">
        <v>7546</v>
      </c>
      <c r="F16" s="3">
        <v>0</v>
      </c>
      <c r="G16" s="4">
        <f>E16+F16</f>
        <v>7546</v>
      </c>
      <c r="H16" s="5">
        <v>26</v>
      </c>
      <c r="I16" s="11">
        <v>26</v>
      </c>
      <c r="J16" s="11"/>
      <c r="K16" s="3">
        <f>E16/H16*I16</f>
        <v>7546</v>
      </c>
      <c r="L16" s="3">
        <f>F16/H16*I16</f>
        <v>0</v>
      </c>
      <c r="M16" s="3">
        <f>G16/H16*J16</f>
        <v>0</v>
      </c>
      <c r="N16" s="6">
        <f>SUM(K16:M16)</f>
        <v>7546</v>
      </c>
      <c r="O16" s="7">
        <f>ROUND(Z16*12%,0)</f>
        <v>906</v>
      </c>
      <c r="P16" s="7">
        <f>ROUNDUP(AB16*1.75%,0)</f>
        <v>133</v>
      </c>
      <c r="Q16" s="8">
        <f>IF(N16&gt;40000,200,IF(N16&gt;25000,150,IF(N16&gt;15000,130,IF(N16&gt;10000,110,IF(N16&gt;8500,0,)))))</f>
        <v>0</v>
      </c>
      <c r="R16" s="3">
        <v>0</v>
      </c>
      <c r="S16" s="3">
        <v>0</v>
      </c>
      <c r="T16" s="9">
        <f>SUM(O16:S16)</f>
        <v>1039</v>
      </c>
      <c r="U16" s="44">
        <f>N16-T16</f>
        <v>6507</v>
      </c>
      <c r="V16" s="7">
        <f>((E16/H16*J16)*13.36%)</f>
        <v>0</v>
      </c>
      <c r="W16" s="5">
        <f>((E16/12)/H16*(I16))</f>
        <v>628.83333333333337</v>
      </c>
      <c r="X16" s="6">
        <f>U16+W16+V16</f>
        <v>7135.833333333333</v>
      </c>
      <c r="Y16" s="7"/>
      <c r="Z16" s="7">
        <f>ROUND(IF(($K16)&gt;15000,15000,IF(($K16)&lt;=15000,($K16))),0)</f>
        <v>7546</v>
      </c>
      <c r="AA16" s="7">
        <f>ROUND(Z16*13.36%,0)</f>
        <v>1008</v>
      </c>
      <c r="AB16" s="7">
        <f>ROUND($G16/$H16*($I16+J16),0)</f>
        <v>7546</v>
      </c>
      <c r="AC16" s="7">
        <f>ROUNDUP(AB16*4.75%,0)</f>
        <v>359</v>
      </c>
      <c r="AD16" s="83">
        <f t="shared" ref="AD16:AD19" si="17">N16+V16+W16+AA16+AC16</f>
        <v>9541.8333333333321</v>
      </c>
    </row>
    <row r="17" spans="1:33" ht="50.1" customHeight="1">
      <c r="A17" s="1">
        <v>2</v>
      </c>
      <c r="B17" s="70" t="s">
        <v>198</v>
      </c>
      <c r="C17" s="128" t="s">
        <v>100</v>
      </c>
      <c r="D17" s="90" t="s">
        <v>105</v>
      </c>
      <c r="E17" s="3">
        <v>7546</v>
      </c>
      <c r="F17" s="3">
        <v>0</v>
      </c>
      <c r="G17" s="4">
        <f t="shared" ref="G17:G18" si="18">E17+F17</f>
        <v>7546</v>
      </c>
      <c r="H17" s="5">
        <v>26</v>
      </c>
      <c r="I17" s="11">
        <v>26</v>
      </c>
      <c r="J17" s="11">
        <v>1</v>
      </c>
      <c r="K17" s="3">
        <f t="shared" ref="K17:K18" si="19">E17/H17*I17</f>
        <v>7546</v>
      </c>
      <c r="L17" s="3">
        <f t="shared" ref="L17:L18" si="20">F17/H17*I17</f>
        <v>0</v>
      </c>
      <c r="M17" s="3">
        <f t="shared" ref="M17:M18" si="21">G17/H17*J17</f>
        <v>290.23076923076923</v>
      </c>
      <c r="N17" s="6">
        <f t="shared" ref="N17:N18" si="22">SUM(K17:M17)</f>
        <v>7836.2307692307695</v>
      </c>
      <c r="O17" s="7">
        <f t="shared" ref="O17:O18" si="23">ROUND(Z17*12%,0)</f>
        <v>906</v>
      </c>
      <c r="P17" s="7">
        <f t="shared" ref="P17:P18" si="24">ROUNDUP(AB17*1.75%,0)</f>
        <v>138</v>
      </c>
      <c r="Q17" s="8">
        <f t="shared" ref="Q17:Q18" si="25">IF(N17&gt;40000,200,IF(N17&gt;25000,150,IF(N17&gt;15000,130,IF(N17&gt;10000,110,IF(N17&gt;8500,0,)))))</f>
        <v>0</v>
      </c>
      <c r="R17" s="3">
        <v>0</v>
      </c>
      <c r="S17" s="3">
        <v>0</v>
      </c>
      <c r="T17" s="9">
        <f t="shared" ref="T17:T18" si="26">SUM(O17:S17)</f>
        <v>1044</v>
      </c>
      <c r="U17" s="44">
        <f t="shared" ref="U17:U18" si="27">N17-T17</f>
        <v>6792.2307692307695</v>
      </c>
      <c r="V17" s="7">
        <f>((E17/H17*J17)*13.36%)</f>
        <v>38.774830769230768</v>
      </c>
      <c r="W17" s="5">
        <f>((E17/12)/H17*(I17))</f>
        <v>628.83333333333337</v>
      </c>
      <c r="X17" s="6">
        <f t="shared" ref="X17:X19" si="28">U17+W17+V17</f>
        <v>7459.8389333333334</v>
      </c>
      <c r="Y17" s="7"/>
      <c r="Z17" s="7">
        <f t="shared" ref="Z17:Z18" si="29">ROUND(IF(($K17)&gt;15000,15000,IF(($K17)&lt;=15000,($K17))),0)</f>
        <v>7546</v>
      </c>
      <c r="AA17" s="7">
        <f t="shared" ref="AA17:AA18" si="30">ROUND(Z17*13.36%,0)</f>
        <v>1008</v>
      </c>
      <c r="AB17" s="7">
        <f>ROUND($G17/$H17*($I17+J17),0)</f>
        <v>7836</v>
      </c>
      <c r="AC17" s="7">
        <f t="shared" ref="AC17:AC18" si="31">ROUNDUP(AB17*4.75%,0)</f>
        <v>373</v>
      </c>
      <c r="AD17" s="83">
        <f t="shared" si="17"/>
        <v>9884.8389333333344</v>
      </c>
      <c r="AF17" s="46"/>
      <c r="AG17" s="46"/>
    </row>
    <row r="18" spans="1:33" ht="50.1" customHeight="1">
      <c r="A18" s="1">
        <v>3</v>
      </c>
      <c r="B18" s="70" t="s">
        <v>199</v>
      </c>
      <c r="C18" s="128" t="s">
        <v>152</v>
      </c>
      <c r="D18" s="90" t="s">
        <v>228</v>
      </c>
      <c r="E18" s="3">
        <v>7546</v>
      </c>
      <c r="F18" s="3">
        <v>0</v>
      </c>
      <c r="G18" s="4">
        <f t="shared" si="18"/>
        <v>7546</v>
      </c>
      <c r="H18" s="5">
        <v>26</v>
      </c>
      <c r="I18" s="11">
        <v>5</v>
      </c>
      <c r="J18" s="11"/>
      <c r="K18" s="3">
        <f t="shared" si="19"/>
        <v>1451.1538461538462</v>
      </c>
      <c r="L18" s="3">
        <f t="shared" si="20"/>
        <v>0</v>
      </c>
      <c r="M18" s="3">
        <f t="shared" si="21"/>
        <v>0</v>
      </c>
      <c r="N18" s="6">
        <f t="shared" si="22"/>
        <v>1451.1538461538462</v>
      </c>
      <c r="O18" s="7">
        <f t="shared" si="23"/>
        <v>174</v>
      </c>
      <c r="P18" s="7">
        <f t="shared" si="24"/>
        <v>26</v>
      </c>
      <c r="Q18" s="8">
        <f t="shared" si="25"/>
        <v>0</v>
      </c>
      <c r="R18" s="3">
        <v>0</v>
      </c>
      <c r="S18" s="3">
        <v>0</v>
      </c>
      <c r="T18" s="9">
        <f t="shared" si="26"/>
        <v>200</v>
      </c>
      <c r="U18" s="44">
        <f t="shared" si="27"/>
        <v>1251.1538461538462</v>
      </c>
      <c r="V18" s="7">
        <f>((E18/H18*J18)*13.36%)</f>
        <v>0</v>
      </c>
      <c r="W18" s="5">
        <f>((E18/12)/H18*(I18))</f>
        <v>120.92948717948718</v>
      </c>
      <c r="X18" s="6">
        <f t="shared" si="28"/>
        <v>1372.0833333333335</v>
      </c>
      <c r="Y18" s="7"/>
      <c r="Z18" s="7">
        <f t="shared" si="29"/>
        <v>1451</v>
      </c>
      <c r="AA18" s="7">
        <f t="shared" si="30"/>
        <v>194</v>
      </c>
      <c r="AB18" s="7">
        <f>ROUND($G18/$H18*($I18+J18),0)</f>
        <v>1451</v>
      </c>
      <c r="AC18" s="7">
        <f t="shared" si="31"/>
        <v>69</v>
      </c>
      <c r="AD18" s="83">
        <f t="shared" si="17"/>
        <v>1835.0833333333335</v>
      </c>
    </row>
    <row r="19" spans="1:33" ht="15.75">
      <c r="A19" s="1"/>
      <c r="B19" s="70"/>
      <c r="C19" s="128"/>
      <c r="D19" s="71"/>
      <c r="E19" s="3"/>
      <c r="F19" s="3"/>
      <c r="G19" s="4"/>
      <c r="H19" s="5"/>
      <c r="I19" s="11"/>
      <c r="J19" s="11"/>
      <c r="K19" s="3"/>
      <c r="L19" s="3"/>
      <c r="M19" s="3"/>
      <c r="N19" s="6"/>
      <c r="O19" s="7"/>
      <c r="P19" s="7"/>
      <c r="Q19" s="8"/>
      <c r="R19" s="3"/>
      <c r="S19" s="3"/>
      <c r="T19" s="9"/>
      <c r="U19" s="44"/>
      <c r="V19" s="7"/>
      <c r="W19" s="5"/>
      <c r="X19" s="6">
        <f t="shared" si="28"/>
        <v>0</v>
      </c>
      <c r="Y19" s="7"/>
      <c r="Z19" s="7"/>
      <c r="AA19" s="7"/>
      <c r="AB19" s="7"/>
      <c r="AC19" s="7"/>
      <c r="AD19" s="83">
        <f t="shared" si="17"/>
        <v>0</v>
      </c>
    </row>
    <row r="20" spans="1:33">
      <c r="A20" s="54"/>
      <c r="B20" s="54"/>
      <c r="C20" s="129"/>
      <c r="D20" s="12"/>
      <c r="E20" s="13"/>
      <c r="F20" s="13"/>
      <c r="G20" s="13"/>
      <c r="H20" s="13"/>
      <c r="I20" s="11">
        <f t="shared" ref="I20:AD20" si="32">SUM(I16:I19)</f>
        <v>57</v>
      </c>
      <c r="J20" s="11">
        <f t="shared" si="32"/>
        <v>1</v>
      </c>
      <c r="K20" s="74">
        <f t="shared" si="32"/>
        <v>16543.153846153848</v>
      </c>
      <c r="L20" s="74">
        <f t="shared" si="32"/>
        <v>0</v>
      </c>
      <c r="M20" s="74">
        <f t="shared" si="32"/>
        <v>290.23076923076923</v>
      </c>
      <c r="N20" s="74">
        <f t="shared" si="32"/>
        <v>16833.384615384617</v>
      </c>
      <c r="O20" s="74">
        <f t="shared" si="32"/>
        <v>1986</v>
      </c>
      <c r="P20" s="74">
        <f t="shared" si="32"/>
        <v>297</v>
      </c>
      <c r="Q20" s="74">
        <f t="shared" si="32"/>
        <v>0</v>
      </c>
      <c r="R20" s="74">
        <f t="shared" si="32"/>
        <v>0</v>
      </c>
      <c r="S20" s="74">
        <f t="shared" si="32"/>
        <v>0</v>
      </c>
      <c r="T20" s="74">
        <f t="shared" si="32"/>
        <v>2283</v>
      </c>
      <c r="U20" s="74">
        <f t="shared" si="32"/>
        <v>14550.384615384615</v>
      </c>
      <c r="V20" s="74">
        <f t="shared" si="32"/>
        <v>38.774830769230768</v>
      </c>
      <c r="W20" s="74">
        <f t="shared" si="32"/>
        <v>1378.5961538461538</v>
      </c>
      <c r="X20" s="74">
        <f t="shared" si="32"/>
        <v>15967.7556</v>
      </c>
      <c r="Y20" s="74">
        <f t="shared" si="32"/>
        <v>0</v>
      </c>
      <c r="Z20" s="74">
        <f t="shared" si="32"/>
        <v>16543</v>
      </c>
      <c r="AA20" s="74">
        <f t="shared" si="32"/>
        <v>2210</v>
      </c>
      <c r="AB20" s="74">
        <f t="shared" si="32"/>
        <v>16833</v>
      </c>
      <c r="AC20" s="74">
        <f t="shared" si="32"/>
        <v>801</v>
      </c>
      <c r="AD20" s="83">
        <f t="shared" si="32"/>
        <v>21261.7556</v>
      </c>
      <c r="AE20" s="53"/>
    </row>
    <row r="23" spans="1:33">
      <c r="R23" s="26">
        <f>32+27</f>
        <v>59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AE15"/>
  <sheetViews>
    <sheetView view="pageBreakPreview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K17" sqref="K17"/>
    </sheetView>
  </sheetViews>
  <sheetFormatPr defaultRowHeight="15"/>
  <cols>
    <col min="1" max="1" width="3.7109375" style="26" customWidth="1"/>
    <col min="2" max="2" width="12.85546875" style="26" customWidth="1"/>
    <col min="3" max="3" width="13.140625" style="31" customWidth="1"/>
    <col min="4" max="4" width="12.5703125" style="31" bestFit="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6.5703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10.5703125" style="26" bestFit="1" customWidth="1"/>
    <col min="31" max="31" width="9.140625" style="26"/>
    <col min="32" max="32" width="9.5703125" style="26" bestFit="1" customWidth="1"/>
    <col min="33" max="33" width="8.7109375" style="26" bestFit="1" customWidth="1"/>
    <col min="34" max="16384" width="9.140625" style="26"/>
  </cols>
  <sheetData>
    <row r="1" spans="1:31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1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1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1">
      <c r="A4" s="77"/>
      <c r="B4" s="77"/>
      <c r="C4" s="123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1" ht="15" customHeight="1">
      <c r="A5" s="201" t="s">
        <v>135</v>
      </c>
      <c r="B5" s="201"/>
      <c r="C5" s="201"/>
      <c r="D5" s="203" t="s">
        <v>87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1" ht="15" customHeight="1">
      <c r="A6" s="201" t="s">
        <v>136</v>
      </c>
      <c r="B6" s="201"/>
      <c r="C6" s="201"/>
      <c r="D6" s="203" t="s">
        <v>133</v>
      </c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1" ht="15" customHeight="1">
      <c r="A7" s="202" t="s">
        <v>137</v>
      </c>
      <c r="B7" s="202"/>
      <c r="C7" s="202"/>
      <c r="D7" s="203" t="s">
        <v>113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1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1" ht="15.75">
      <c r="A9" s="1">
        <v>1</v>
      </c>
      <c r="B9" s="70" t="s">
        <v>200</v>
      </c>
      <c r="C9" s="10" t="s">
        <v>91</v>
      </c>
      <c r="D9" s="71" t="s">
        <v>24</v>
      </c>
      <c r="E9" s="3">
        <v>7546</v>
      </c>
      <c r="F9" s="3">
        <f>ROUND((E9*50%)/8*4,0)</f>
        <v>1887</v>
      </c>
      <c r="G9" s="4">
        <f>E9+F9</f>
        <v>9433</v>
      </c>
      <c r="H9" s="5">
        <v>26</v>
      </c>
      <c r="I9" s="11"/>
      <c r="J9" s="11"/>
      <c r="K9" s="3">
        <f>E9/H9*I9</f>
        <v>0</v>
      </c>
      <c r="L9" s="3">
        <f>F9/H9*I9</f>
        <v>0</v>
      </c>
      <c r="M9" s="3">
        <f>G9/H9*J9</f>
        <v>0</v>
      </c>
      <c r="N9" s="6">
        <f>SUM(K9:M9)</f>
        <v>0</v>
      </c>
      <c r="O9" s="7">
        <f>ROUND(Z9*12%,0)</f>
        <v>0</v>
      </c>
      <c r="P9" s="7">
        <f>ROUNDUP(AB9*1.75%,0)</f>
        <v>0</v>
      </c>
      <c r="Q9" s="8">
        <f>IF(N9&gt;40000,200,IF(N9&gt;25000,150,IF(N9&gt;15000,130,IF(N9&gt;10000,110,IF(N9&gt;8500,0,)))))</f>
        <v>0</v>
      </c>
      <c r="R9" s="3">
        <v>0</v>
      </c>
      <c r="S9" s="3">
        <v>0</v>
      </c>
      <c r="T9" s="9">
        <f>SUM(O9:S9)</f>
        <v>0</v>
      </c>
      <c r="U9" s="44">
        <f>N9-T9</f>
        <v>0</v>
      </c>
      <c r="V9" s="7">
        <f>((E9/H9*J9)*13.36%)</f>
        <v>0</v>
      </c>
      <c r="W9" s="5">
        <f>((E9/12)/H9*(I9))</f>
        <v>0</v>
      </c>
      <c r="X9" s="6">
        <f>U9+W9+V9</f>
        <v>0</v>
      </c>
      <c r="Y9" s="7"/>
      <c r="Z9" s="7">
        <f>ROUND(IF(($K9)&gt;15000,15000,IF(($K9)&lt;=15000,($K9))),0)</f>
        <v>0</v>
      </c>
      <c r="AA9" s="7">
        <f>ROUND(Z9*13.36%,0)</f>
        <v>0</v>
      </c>
      <c r="AB9" s="7">
        <f>ROUND($G9/$H9*($I9+J9),0)</f>
        <v>0</v>
      </c>
      <c r="AC9" s="7">
        <f>ROUNDUP(AB9*4.75%,0)</f>
        <v>0</v>
      </c>
      <c r="AD9" s="83">
        <f t="shared" ref="AD9:AD13" si="0">N9+V9+W9+AA9+AC9</f>
        <v>0</v>
      </c>
    </row>
    <row r="10" spans="1:31" ht="15.75">
      <c r="A10" s="1">
        <v>2</v>
      </c>
      <c r="B10" s="70" t="s">
        <v>201</v>
      </c>
      <c r="C10" s="10" t="s">
        <v>92</v>
      </c>
      <c r="D10" s="71" t="s">
        <v>24</v>
      </c>
      <c r="E10" s="3">
        <v>7546</v>
      </c>
      <c r="F10" s="3">
        <f t="shared" ref="F10:F12" si="1">ROUND((E10*50%)/8*4,0)</f>
        <v>1887</v>
      </c>
      <c r="G10" s="4">
        <f t="shared" ref="G10:G12" si="2">E10+F10</f>
        <v>9433</v>
      </c>
      <c r="H10" s="5">
        <v>26</v>
      </c>
      <c r="I10" s="11"/>
      <c r="J10" s="11"/>
      <c r="K10" s="3">
        <f t="shared" ref="K10:K12" si="3">E10/H10*I10</f>
        <v>0</v>
      </c>
      <c r="L10" s="3">
        <f t="shared" ref="L10:L12" si="4">F10/H10*I10</f>
        <v>0</v>
      </c>
      <c r="M10" s="3">
        <f t="shared" ref="M10:M12" si="5">G10/H10*J10</f>
        <v>0</v>
      </c>
      <c r="N10" s="6">
        <f t="shared" ref="N10:N13" si="6">SUM(K10:M10)</f>
        <v>0</v>
      </c>
      <c r="O10" s="7">
        <f t="shared" ref="O10:O12" si="7">ROUND(Z10*12%,0)</f>
        <v>0</v>
      </c>
      <c r="P10" s="7">
        <f t="shared" ref="P10:P12" si="8">ROUNDUP(AB10*1.75%,0)</f>
        <v>0</v>
      </c>
      <c r="Q10" s="8">
        <f t="shared" ref="Q10:Q12" si="9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:T12" si="10">SUM(O10:S10)</f>
        <v>0</v>
      </c>
      <c r="U10" s="44">
        <f t="shared" ref="U10:U12" si="11">N10-T10</f>
        <v>0</v>
      </c>
      <c r="V10" s="7">
        <f>((E10/H10*J10)*13.36%)</f>
        <v>0</v>
      </c>
      <c r="W10" s="5">
        <f>((E10/12)/H10*(I10))</f>
        <v>0</v>
      </c>
      <c r="X10" s="6">
        <f t="shared" ref="X10:X13" si="12">U10+W10+V10</f>
        <v>0</v>
      </c>
      <c r="Y10" s="7"/>
      <c r="Z10" s="7">
        <f t="shared" ref="Z10:Z12" si="13">ROUND(IF(($K10)&gt;15000,15000,IF(($K10)&lt;=15000,($K10))),0)</f>
        <v>0</v>
      </c>
      <c r="AA10" s="7">
        <f t="shared" ref="AA10:AA12" si="14">ROUND(Z10*13.36%,0)</f>
        <v>0</v>
      </c>
      <c r="AB10" s="7">
        <f>ROUND($G10/$H10*($I10+J10),0)</f>
        <v>0</v>
      </c>
      <c r="AC10" s="7">
        <f t="shared" ref="AC10:AC12" si="15">ROUNDUP(AB10*4.75%,0)</f>
        <v>0</v>
      </c>
      <c r="AD10" s="83">
        <f t="shared" si="0"/>
        <v>0</v>
      </c>
    </row>
    <row r="11" spans="1:31" ht="24">
      <c r="A11" s="1">
        <v>3</v>
      </c>
      <c r="B11" s="70" t="s">
        <v>202</v>
      </c>
      <c r="C11" s="10" t="s">
        <v>89</v>
      </c>
      <c r="D11" s="71" t="s">
        <v>24</v>
      </c>
      <c r="E11" s="3">
        <v>7546</v>
      </c>
      <c r="F11" s="3">
        <f t="shared" si="1"/>
        <v>1887</v>
      </c>
      <c r="G11" s="4">
        <f t="shared" si="2"/>
        <v>9433</v>
      </c>
      <c r="H11" s="5">
        <v>26</v>
      </c>
      <c r="I11" s="11"/>
      <c r="J11" s="11"/>
      <c r="K11" s="3">
        <f t="shared" si="3"/>
        <v>0</v>
      </c>
      <c r="L11" s="3">
        <f t="shared" si="4"/>
        <v>0</v>
      </c>
      <c r="M11" s="3">
        <f t="shared" si="5"/>
        <v>0</v>
      </c>
      <c r="N11" s="6">
        <f t="shared" si="6"/>
        <v>0</v>
      </c>
      <c r="O11" s="7">
        <f t="shared" si="7"/>
        <v>0</v>
      </c>
      <c r="P11" s="7">
        <f t="shared" si="8"/>
        <v>0</v>
      </c>
      <c r="Q11" s="8">
        <f t="shared" si="9"/>
        <v>0</v>
      </c>
      <c r="R11" s="3">
        <v>0</v>
      </c>
      <c r="S11" s="3">
        <v>0</v>
      </c>
      <c r="T11" s="9">
        <f t="shared" si="10"/>
        <v>0</v>
      </c>
      <c r="U11" s="44">
        <f t="shared" si="11"/>
        <v>0</v>
      </c>
      <c r="V11" s="7">
        <f>((E11/H11*J11)*13.36%)</f>
        <v>0</v>
      </c>
      <c r="W11" s="5">
        <f>((E11/12)/H11*(I11))</f>
        <v>0</v>
      </c>
      <c r="X11" s="6">
        <f t="shared" si="12"/>
        <v>0</v>
      </c>
      <c r="Y11" s="7"/>
      <c r="Z11" s="7">
        <f t="shared" si="13"/>
        <v>0</v>
      </c>
      <c r="AA11" s="7">
        <f t="shared" si="14"/>
        <v>0</v>
      </c>
      <c r="AB11" s="7">
        <f>ROUND($G11/$H11*($I11+J11),0)</f>
        <v>0</v>
      </c>
      <c r="AC11" s="7">
        <f t="shared" si="15"/>
        <v>0</v>
      </c>
      <c r="AD11" s="83">
        <f t="shared" si="0"/>
        <v>0</v>
      </c>
    </row>
    <row r="12" spans="1:31" ht="15.75">
      <c r="A12" s="1">
        <v>4</v>
      </c>
      <c r="B12" s="70" t="s">
        <v>203</v>
      </c>
      <c r="C12" s="10" t="s">
        <v>93</v>
      </c>
      <c r="D12" s="71" t="s">
        <v>24</v>
      </c>
      <c r="E12" s="3">
        <v>7546</v>
      </c>
      <c r="F12" s="3">
        <f t="shared" si="1"/>
        <v>1887</v>
      </c>
      <c r="G12" s="4">
        <f t="shared" si="2"/>
        <v>9433</v>
      </c>
      <c r="H12" s="5">
        <v>26</v>
      </c>
      <c r="I12" s="11"/>
      <c r="J12" s="11"/>
      <c r="K12" s="3">
        <f t="shared" si="3"/>
        <v>0</v>
      </c>
      <c r="L12" s="3">
        <f t="shared" si="4"/>
        <v>0</v>
      </c>
      <c r="M12" s="3">
        <f t="shared" si="5"/>
        <v>0</v>
      </c>
      <c r="N12" s="6">
        <f t="shared" si="6"/>
        <v>0</v>
      </c>
      <c r="O12" s="7">
        <f t="shared" si="7"/>
        <v>0</v>
      </c>
      <c r="P12" s="7">
        <f t="shared" si="8"/>
        <v>0</v>
      </c>
      <c r="Q12" s="8">
        <f t="shared" si="9"/>
        <v>0</v>
      </c>
      <c r="R12" s="3">
        <v>0</v>
      </c>
      <c r="S12" s="3">
        <v>0</v>
      </c>
      <c r="T12" s="9">
        <f t="shared" si="10"/>
        <v>0</v>
      </c>
      <c r="U12" s="44">
        <f t="shared" si="11"/>
        <v>0</v>
      </c>
      <c r="V12" s="7">
        <f>((E12/H12*J12)*13.36%)</f>
        <v>0</v>
      </c>
      <c r="W12" s="5">
        <f>((E12/12)/H12*(I12))</f>
        <v>0</v>
      </c>
      <c r="X12" s="6">
        <f t="shared" si="12"/>
        <v>0</v>
      </c>
      <c r="Y12" s="7"/>
      <c r="Z12" s="7">
        <f t="shared" si="13"/>
        <v>0</v>
      </c>
      <c r="AA12" s="7">
        <f t="shared" si="14"/>
        <v>0</v>
      </c>
      <c r="AB12" s="7">
        <f>ROUND($G12/$H12*($I12+J12),0)</f>
        <v>0</v>
      </c>
      <c r="AC12" s="7">
        <f t="shared" si="15"/>
        <v>0</v>
      </c>
      <c r="AD12" s="83">
        <f t="shared" si="0"/>
        <v>0</v>
      </c>
    </row>
    <row r="13" spans="1:31" ht="15.75">
      <c r="A13" s="1"/>
      <c r="B13" s="70"/>
      <c r="C13" s="10"/>
      <c r="D13" s="73"/>
      <c r="E13" s="3"/>
      <c r="F13" s="3"/>
      <c r="G13" s="4"/>
      <c r="H13" s="5"/>
      <c r="I13" s="11"/>
      <c r="J13" s="11"/>
      <c r="K13" s="3"/>
      <c r="L13" s="3"/>
      <c r="M13" s="3"/>
      <c r="N13" s="6">
        <f t="shared" si="6"/>
        <v>0</v>
      </c>
      <c r="O13" s="7"/>
      <c r="P13" s="7"/>
      <c r="Q13" s="8"/>
      <c r="R13" s="3"/>
      <c r="S13" s="3"/>
      <c r="T13" s="9"/>
      <c r="U13" s="44"/>
      <c r="V13" s="7"/>
      <c r="W13" s="5"/>
      <c r="X13" s="6">
        <f t="shared" si="12"/>
        <v>0</v>
      </c>
      <c r="Y13" s="7"/>
      <c r="Z13" s="7"/>
      <c r="AA13" s="7"/>
      <c r="AB13" s="7"/>
      <c r="AC13" s="7"/>
      <c r="AD13" s="83">
        <f t="shared" si="0"/>
        <v>0</v>
      </c>
    </row>
    <row r="14" spans="1:31">
      <c r="A14" s="54"/>
      <c r="B14" s="54"/>
      <c r="C14" s="72"/>
      <c r="D14" s="12"/>
      <c r="E14" s="13"/>
      <c r="F14" s="13"/>
      <c r="G14" s="13"/>
      <c r="H14" s="13"/>
      <c r="I14" s="11">
        <f>SUM(I9:I13)</f>
        <v>0</v>
      </c>
      <c r="J14" s="11">
        <f>SUM(J9:J13)</f>
        <v>0</v>
      </c>
      <c r="K14" s="13">
        <f>SUM(K9:K13)</f>
        <v>0</v>
      </c>
      <c r="L14" s="13">
        <f t="shared" ref="L14:AC14" si="16">SUM(L9:L13)</f>
        <v>0</v>
      </c>
      <c r="M14" s="13">
        <f t="shared" si="16"/>
        <v>0</v>
      </c>
      <c r="N14" s="13">
        <f t="shared" si="16"/>
        <v>0</v>
      </c>
      <c r="O14" s="13">
        <f t="shared" si="16"/>
        <v>0</v>
      </c>
      <c r="P14" s="13">
        <f t="shared" si="16"/>
        <v>0</v>
      </c>
      <c r="Q14" s="13">
        <f t="shared" si="16"/>
        <v>0</v>
      </c>
      <c r="R14" s="13">
        <f t="shared" si="16"/>
        <v>0</v>
      </c>
      <c r="S14" s="13">
        <f t="shared" si="16"/>
        <v>0</v>
      </c>
      <c r="T14" s="13">
        <f t="shared" si="16"/>
        <v>0</v>
      </c>
      <c r="U14" s="13">
        <f t="shared" si="16"/>
        <v>0</v>
      </c>
      <c r="V14" s="13">
        <f t="shared" si="16"/>
        <v>0</v>
      </c>
      <c r="W14" s="13">
        <f t="shared" si="16"/>
        <v>0</v>
      </c>
      <c r="X14" s="13">
        <f t="shared" si="16"/>
        <v>0</v>
      </c>
      <c r="Y14" s="13">
        <f t="shared" si="16"/>
        <v>0</v>
      </c>
      <c r="Z14" s="13">
        <f t="shared" si="16"/>
        <v>0</v>
      </c>
      <c r="AA14" s="13">
        <f t="shared" si="16"/>
        <v>0</v>
      </c>
      <c r="AB14" s="13">
        <f t="shared" si="16"/>
        <v>0</v>
      </c>
      <c r="AC14" s="13">
        <f t="shared" si="16"/>
        <v>0</v>
      </c>
      <c r="AD14" s="83">
        <f>SUM(AD9:AD13)</f>
        <v>0</v>
      </c>
    </row>
    <row r="15" spans="1:31">
      <c r="AD15" s="46"/>
      <c r="AE15" s="53"/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AD19"/>
  <sheetViews>
    <sheetView view="pageBreakPreview" zoomScaleSheetLayoutView="100" workbookViewId="0">
      <pane xSplit="9" ySplit="8" topLeftCell="J12" activePane="bottomRight" state="frozen"/>
      <selection activeCell="J19" sqref="J19"/>
      <selection pane="topRight" activeCell="J19" sqref="J19"/>
      <selection pane="bottomLeft" activeCell="J19" sqref="J19"/>
      <selection pane="bottomRight" activeCell="A16" sqref="A16"/>
    </sheetView>
  </sheetViews>
  <sheetFormatPr defaultRowHeight="15"/>
  <cols>
    <col min="1" max="1" width="3.7109375" style="26" customWidth="1"/>
    <col min="2" max="2" width="12.7109375" style="26" customWidth="1"/>
    <col min="3" max="3" width="15" style="34" bestFit="1" customWidth="1"/>
    <col min="4" max="4" width="12.5703125" style="31" bestFit="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6.5703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10.5703125" style="26" bestFit="1" customWidth="1"/>
    <col min="31" max="31" width="9.140625" style="26"/>
    <col min="32" max="32" width="9.5703125" style="26" bestFit="1" customWidth="1"/>
    <col min="33" max="33" width="8.7109375" style="26" bestFit="1" customWidth="1"/>
    <col min="34" max="16384" width="9.140625" style="26"/>
  </cols>
  <sheetData>
    <row r="1" spans="1:30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30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1:30" ht="18.75">
      <c r="A3" s="204" t="str">
        <f>"Wage Sheet for the month of"&amp;" "&amp;TEXT(Payslip!J1,"mmmm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</row>
    <row r="4" spans="1:30">
      <c r="A4" s="77"/>
      <c r="B4" s="77"/>
      <c r="C4" s="12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95"/>
      <c r="V4" s="77"/>
      <c r="W4" s="77"/>
      <c r="X4" s="95"/>
      <c r="Y4" s="77"/>
    </row>
    <row r="5" spans="1:30" ht="15" customHeight="1">
      <c r="A5" s="201" t="s">
        <v>135</v>
      </c>
      <c r="B5" s="201"/>
      <c r="C5" s="201"/>
      <c r="D5" s="203" t="s">
        <v>103</v>
      </c>
      <c r="E5" s="203"/>
      <c r="F5" s="203"/>
      <c r="G5" s="203"/>
      <c r="H5" s="203"/>
      <c r="I5" s="203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95"/>
      <c r="V5" s="77"/>
      <c r="W5" s="77"/>
      <c r="X5" s="95"/>
      <c r="Y5" s="77"/>
    </row>
    <row r="6" spans="1:30" ht="15" customHeight="1">
      <c r="A6" s="201" t="s">
        <v>136</v>
      </c>
      <c r="B6" s="201"/>
      <c r="C6" s="201"/>
      <c r="D6" s="203"/>
      <c r="E6" s="203"/>
      <c r="F6" s="203"/>
      <c r="G6" s="203"/>
      <c r="H6" s="203"/>
      <c r="I6" s="203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95"/>
      <c r="V6" s="77"/>
      <c r="W6" s="77"/>
      <c r="X6" s="95"/>
      <c r="Y6" s="77"/>
    </row>
    <row r="7" spans="1:30" ht="15" customHeight="1">
      <c r="A7" s="202" t="s">
        <v>137</v>
      </c>
      <c r="B7" s="202"/>
      <c r="C7" s="202"/>
      <c r="D7" s="203" t="s">
        <v>219</v>
      </c>
      <c r="E7" s="203"/>
      <c r="F7" s="203"/>
      <c r="G7" s="203"/>
      <c r="H7" s="203"/>
      <c r="I7" s="203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5"/>
      <c r="V7" s="77"/>
      <c r="W7" s="77"/>
      <c r="X7" s="95"/>
      <c r="Y7" s="77"/>
    </row>
    <row r="8" spans="1:30" ht="36">
      <c r="A8" s="78" t="s">
        <v>0</v>
      </c>
      <c r="B8" s="78" t="s">
        <v>41</v>
      </c>
      <c r="C8" s="78" t="s">
        <v>1</v>
      </c>
      <c r="D8" s="79" t="s">
        <v>2</v>
      </c>
      <c r="E8" s="80" t="s">
        <v>3</v>
      </c>
      <c r="F8" s="80" t="s">
        <v>4</v>
      </c>
      <c r="G8" s="80" t="s">
        <v>5</v>
      </c>
      <c r="H8" s="81" t="s">
        <v>6</v>
      </c>
      <c r="I8" s="81" t="s">
        <v>7</v>
      </c>
      <c r="J8" s="81" t="s">
        <v>47</v>
      </c>
      <c r="K8" s="81" t="s">
        <v>8</v>
      </c>
      <c r="L8" s="81" t="s">
        <v>25</v>
      </c>
      <c r="M8" s="81" t="s">
        <v>80</v>
      </c>
      <c r="N8" s="80" t="s">
        <v>9</v>
      </c>
      <c r="O8" s="80" t="s">
        <v>14</v>
      </c>
      <c r="P8" s="80" t="s">
        <v>15</v>
      </c>
      <c r="Q8" s="80" t="s">
        <v>16</v>
      </c>
      <c r="R8" s="80" t="s">
        <v>17</v>
      </c>
      <c r="S8" s="80" t="s">
        <v>18</v>
      </c>
      <c r="T8" s="80" t="s">
        <v>19</v>
      </c>
      <c r="U8" s="80" t="s">
        <v>20</v>
      </c>
      <c r="V8" s="80" t="s">
        <v>48</v>
      </c>
      <c r="W8" s="80" t="s">
        <v>21</v>
      </c>
      <c r="X8" s="80" t="s">
        <v>22</v>
      </c>
      <c r="Y8" s="80" t="s">
        <v>23</v>
      </c>
      <c r="Z8" s="82" t="s">
        <v>10</v>
      </c>
      <c r="AA8" s="80" t="s">
        <v>11</v>
      </c>
      <c r="AB8" s="82" t="s">
        <v>12</v>
      </c>
      <c r="AC8" s="80" t="s">
        <v>13</v>
      </c>
      <c r="AD8" s="80" t="s">
        <v>124</v>
      </c>
    </row>
    <row r="9" spans="1:30" ht="39.950000000000003" customHeight="1">
      <c r="A9" s="1">
        <v>1</v>
      </c>
      <c r="B9" s="70" t="s">
        <v>208</v>
      </c>
      <c r="C9" s="10" t="s">
        <v>91</v>
      </c>
      <c r="D9" s="71" t="s">
        <v>24</v>
      </c>
      <c r="E9" s="3">
        <v>7546</v>
      </c>
      <c r="F9" s="3">
        <f>ROUND((E9*50%)/8*4,0)</f>
        <v>1887</v>
      </c>
      <c r="G9" s="4">
        <f>E9+F9</f>
        <v>9433</v>
      </c>
      <c r="H9" s="5">
        <v>26</v>
      </c>
      <c r="I9" s="11">
        <v>2</v>
      </c>
      <c r="J9" s="11"/>
      <c r="K9" s="3">
        <f>E9/H9*I9</f>
        <v>580.46153846153845</v>
      </c>
      <c r="L9" s="3">
        <f>F9/H9*I9</f>
        <v>145.15384615384616</v>
      </c>
      <c r="M9" s="3">
        <f>G9/H9*J9</f>
        <v>0</v>
      </c>
      <c r="N9" s="6">
        <f>SUM(K9:M9)</f>
        <v>725.61538461538464</v>
      </c>
      <c r="O9" s="7">
        <f>ROUND(Z9*12%,0)</f>
        <v>70</v>
      </c>
      <c r="P9" s="7">
        <f>ROUNDUP(AB9*1.75%,0)</f>
        <v>13</v>
      </c>
      <c r="Q9" s="8">
        <f>IF(N9&gt;40000,200,IF(N9&gt;25000,150,IF(N9&gt;15000,130,IF(N9&gt;10000,110,IF(N9&gt;8500,0,)))))</f>
        <v>0</v>
      </c>
      <c r="R9" s="3">
        <v>0</v>
      </c>
      <c r="S9" s="3">
        <v>0</v>
      </c>
      <c r="T9" s="9">
        <f>SUM(O9:S9)</f>
        <v>83</v>
      </c>
      <c r="U9" s="44">
        <f>N9-T9</f>
        <v>642.61538461538464</v>
      </c>
      <c r="V9" s="7">
        <f>((E9/H9*J9)*13.36%)</f>
        <v>0</v>
      </c>
      <c r="W9" s="5">
        <f>((E9/12)/H9*(I9))</f>
        <v>48.371794871794876</v>
      </c>
      <c r="X9" s="6">
        <f>U9+W9+V9</f>
        <v>690.98717948717956</v>
      </c>
      <c r="Y9" s="7"/>
      <c r="Z9" s="7">
        <f>ROUND(IF(($K9)&gt;15000,15000,IF(($K9)&lt;=15000,($K9))),0)</f>
        <v>580</v>
      </c>
      <c r="AA9" s="7">
        <f>ROUND(Z9*13.36%,0)</f>
        <v>77</v>
      </c>
      <c r="AB9" s="7">
        <f>ROUND($G9/$H9*($I9+J9),0)</f>
        <v>726</v>
      </c>
      <c r="AC9" s="7">
        <f>ROUNDUP(AB9*4.75%,0)</f>
        <v>35</v>
      </c>
      <c r="AD9" s="83">
        <f t="shared" ref="AD9:AD11" si="0">N9+V9+W9+AA9+AC9</f>
        <v>885.98717948717956</v>
      </c>
    </row>
    <row r="10" spans="1:30" ht="39.950000000000003" customHeight="1">
      <c r="A10" s="1">
        <v>2</v>
      </c>
      <c r="B10" s="70" t="s">
        <v>209</v>
      </c>
      <c r="C10" s="10" t="s">
        <v>89</v>
      </c>
      <c r="D10" s="71" t="s">
        <v>24</v>
      </c>
      <c r="E10" s="3">
        <v>7546</v>
      </c>
      <c r="F10" s="3">
        <f t="shared" ref="F10" si="1">ROUND((E10*50%)/8*4,0)</f>
        <v>1887</v>
      </c>
      <c r="G10" s="4">
        <f t="shared" ref="G10" si="2">E10+F10</f>
        <v>9433</v>
      </c>
      <c r="H10" s="5">
        <v>26</v>
      </c>
      <c r="I10" s="11">
        <v>26</v>
      </c>
      <c r="J10" s="11"/>
      <c r="K10" s="3">
        <f t="shared" ref="K10" si="3">E10/H10*I10</f>
        <v>7546</v>
      </c>
      <c r="L10" s="3">
        <f t="shared" ref="L10" si="4">F10/H10*I10</f>
        <v>1887</v>
      </c>
      <c r="M10" s="3">
        <f t="shared" ref="M10" si="5">G10/H10*J10</f>
        <v>0</v>
      </c>
      <c r="N10" s="6">
        <f>SUM(K10:M10)</f>
        <v>9433</v>
      </c>
      <c r="O10" s="7">
        <f t="shared" ref="O10" si="6">ROUND(Z10*12%,0)</f>
        <v>906</v>
      </c>
      <c r="P10" s="7">
        <f t="shared" ref="P10" si="7">ROUNDUP(AB10*1.75%,0)</f>
        <v>166</v>
      </c>
      <c r="Q10" s="8">
        <f t="shared" ref="Q10" si="8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" si="9">SUM(O10:S10)</f>
        <v>1072</v>
      </c>
      <c r="U10" s="44">
        <f t="shared" ref="U10" si="10">N10-T10</f>
        <v>8361</v>
      </c>
      <c r="V10" s="7">
        <f>((E10/H10*J10)*13.36%)</f>
        <v>0</v>
      </c>
      <c r="W10" s="5">
        <f>((E10/12)/H10*(I10))</f>
        <v>628.83333333333337</v>
      </c>
      <c r="X10" s="6">
        <f t="shared" ref="X10:X11" si="11">U10+W10+V10</f>
        <v>8989.8333333333339</v>
      </c>
      <c r="Y10" s="7"/>
      <c r="Z10" s="7">
        <f t="shared" ref="Z10" si="12">ROUND(IF(($K10)&gt;15000,15000,IF(($K10)&lt;=15000,($K10))),0)</f>
        <v>7546</v>
      </c>
      <c r="AA10" s="7">
        <f t="shared" ref="AA10" si="13">ROUND(Z10*13.36%,0)</f>
        <v>1008</v>
      </c>
      <c r="AB10" s="7">
        <f>ROUND($G10/$H10*($I10+J10),0)</f>
        <v>9433</v>
      </c>
      <c r="AC10" s="7">
        <f t="shared" ref="AC10" si="14">ROUNDUP(AB10*4.75%,0)</f>
        <v>449</v>
      </c>
      <c r="AD10" s="83">
        <f t="shared" si="0"/>
        <v>11518.833333333334</v>
      </c>
    </row>
    <row r="11" spans="1:30" ht="15.75">
      <c r="A11" s="1"/>
      <c r="B11" s="70"/>
      <c r="C11" s="10"/>
      <c r="D11" s="73"/>
      <c r="E11" s="3"/>
      <c r="F11" s="3"/>
      <c r="G11" s="4"/>
      <c r="H11" s="5"/>
      <c r="I11" s="11"/>
      <c r="J11" s="11"/>
      <c r="K11" s="3"/>
      <c r="L11" s="3"/>
      <c r="M11" s="3"/>
      <c r="N11" s="6"/>
      <c r="O11" s="7"/>
      <c r="P11" s="7"/>
      <c r="Q11" s="8"/>
      <c r="R11" s="3"/>
      <c r="S11" s="3"/>
      <c r="T11" s="9"/>
      <c r="U11" s="44"/>
      <c r="V11" s="7"/>
      <c r="W11" s="5"/>
      <c r="X11" s="6">
        <f t="shared" si="11"/>
        <v>0</v>
      </c>
      <c r="Y11" s="7"/>
      <c r="Z11" s="7"/>
      <c r="AA11" s="7"/>
      <c r="AB11" s="7"/>
      <c r="AC11" s="7"/>
      <c r="AD11" s="83">
        <f t="shared" si="0"/>
        <v>0</v>
      </c>
    </row>
    <row r="12" spans="1:30">
      <c r="A12" s="54"/>
      <c r="B12" s="54"/>
      <c r="C12" s="12"/>
      <c r="D12" s="12"/>
      <c r="E12" s="13"/>
      <c r="F12" s="13"/>
      <c r="G12" s="13"/>
      <c r="H12" s="13"/>
      <c r="I12" s="11">
        <f t="shared" ref="I12:AC12" si="15">SUM(I9:I10)</f>
        <v>28</v>
      </c>
      <c r="J12" s="11">
        <f t="shared" si="15"/>
        <v>0</v>
      </c>
      <c r="K12" s="13">
        <f t="shared" si="15"/>
        <v>8126.4615384615381</v>
      </c>
      <c r="L12" s="13">
        <f t="shared" si="15"/>
        <v>2032.1538461538462</v>
      </c>
      <c r="M12" s="13">
        <f t="shared" si="15"/>
        <v>0</v>
      </c>
      <c r="N12" s="13">
        <f t="shared" si="15"/>
        <v>10158.615384615385</v>
      </c>
      <c r="O12" s="13">
        <f t="shared" si="15"/>
        <v>976</v>
      </c>
      <c r="P12" s="13">
        <f t="shared" si="15"/>
        <v>179</v>
      </c>
      <c r="Q12" s="13">
        <f t="shared" si="15"/>
        <v>0</v>
      </c>
      <c r="R12" s="13">
        <f t="shared" si="15"/>
        <v>0</v>
      </c>
      <c r="S12" s="13">
        <f t="shared" si="15"/>
        <v>0</v>
      </c>
      <c r="T12" s="13">
        <f t="shared" si="15"/>
        <v>1155</v>
      </c>
      <c r="U12" s="13">
        <f t="shared" si="15"/>
        <v>9003.6153846153848</v>
      </c>
      <c r="V12" s="13">
        <f>SUM(V9:V10)</f>
        <v>0</v>
      </c>
      <c r="W12" s="13">
        <f t="shared" si="15"/>
        <v>677.20512820512829</v>
      </c>
      <c r="X12" s="13">
        <f t="shared" si="15"/>
        <v>9680.8205128205136</v>
      </c>
      <c r="Y12" s="13">
        <f t="shared" si="15"/>
        <v>0</v>
      </c>
      <c r="Z12" s="13">
        <f t="shared" si="15"/>
        <v>8126</v>
      </c>
      <c r="AA12" s="13">
        <f t="shared" si="15"/>
        <v>1085</v>
      </c>
      <c r="AB12" s="13">
        <f t="shared" si="15"/>
        <v>10159</v>
      </c>
      <c r="AC12" s="13">
        <f t="shared" si="15"/>
        <v>484</v>
      </c>
      <c r="AD12" s="83">
        <f>SUM(AD9:AD11)</f>
        <v>12404.820512820514</v>
      </c>
    </row>
    <row r="13" spans="1:30" ht="39.950000000000003" customHeight="1">
      <c r="A13" s="1">
        <v>1</v>
      </c>
      <c r="B13" s="70" t="s">
        <v>204</v>
      </c>
      <c r="C13" s="128" t="s">
        <v>94</v>
      </c>
      <c r="D13" s="90" t="s">
        <v>105</v>
      </c>
      <c r="E13" s="3">
        <v>7546</v>
      </c>
      <c r="F13" s="3">
        <v>0</v>
      </c>
      <c r="G13" s="4">
        <f>E13+F13</f>
        <v>7546</v>
      </c>
      <c r="H13" s="5">
        <v>26</v>
      </c>
      <c r="I13" s="11">
        <v>25</v>
      </c>
      <c r="J13" s="11"/>
      <c r="K13" s="3">
        <f>E13/H13*I13</f>
        <v>7255.7692307692305</v>
      </c>
      <c r="L13" s="3">
        <f>F13/H13*I13</f>
        <v>0</v>
      </c>
      <c r="M13" s="3">
        <f>G13/H13*J13</f>
        <v>0</v>
      </c>
      <c r="N13" s="6">
        <f>SUM(K13:M13)</f>
        <v>7255.7692307692305</v>
      </c>
      <c r="O13" s="7">
        <f>ROUND(Z13*12%,0)</f>
        <v>871</v>
      </c>
      <c r="P13" s="7">
        <f>ROUNDUP(AB13*1.75%,0)</f>
        <v>127</v>
      </c>
      <c r="Q13" s="8">
        <f>IF(N13&gt;40000,200,IF(N13&gt;25000,150,IF(N13&gt;15000,130,IF(N13&gt;10000,110,IF(N13&gt;8500,0,)))))</f>
        <v>0</v>
      </c>
      <c r="R13" s="3">
        <v>0</v>
      </c>
      <c r="S13" s="3">
        <v>0</v>
      </c>
      <c r="T13" s="9">
        <f>SUM(O13:S13)</f>
        <v>998</v>
      </c>
      <c r="U13" s="44">
        <f>N13-T13</f>
        <v>6257.7692307692305</v>
      </c>
      <c r="V13" s="7">
        <f>((E13/H13*J13)*13.36%)</f>
        <v>0</v>
      </c>
      <c r="W13" s="5">
        <f>((E13/12)/H13*(I13))</f>
        <v>604.64743589743591</v>
      </c>
      <c r="X13" s="6">
        <f>U13+W13+V13</f>
        <v>6862.4166666666661</v>
      </c>
      <c r="Y13" s="7"/>
      <c r="Z13" s="7">
        <f>ROUND(IF(($K13)&gt;15000,15000,IF(($K13)&lt;=15000,($K13))),0)</f>
        <v>7256</v>
      </c>
      <c r="AA13" s="7">
        <f>ROUND(Z13*13.36%,0)</f>
        <v>969</v>
      </c>
      <c r="AB13" s="7">
        <f>ROUND($G13/$H13*($I13+J13),0)</f>
        <v>7256</v>
      </c>
      <c r="AC13" s="7">
        <f>ROUNDUP(AB13*4.75%,0)</f>
        <v>345</v>
      </c>
      <c r="AD13" s="83">
        <f t="shared" ref="AD13:AD18" si="16">N13+V13+W13+AA13+AC13</f>
        <v>9174.4166666666661</v>
      </c>
    </row>
    <row r="14" spans="1:30" ht="39.950000000000003" customHeight="1">
      <c r="A14" s="1">
        <v>2</v>
      </c>
      <c r="B14" s="70" t="s">
        <v>205</v>
      </c>
      <c r="C14" s="128" t="s">
        <v>95</v>
      </c>
      <c r="D14" s="90" t="s">
        <v>105</v>
      </c>
      <c r="E14" s="3">
        <v>7546</v>
      </c>
      <c r="F14" s="3">
        <v>0</v>
      </c>
      <c r="G14" s="4">
        <f t="shared" ref="G14:G16" si="17">E14+F14</f>
        <v>7546</v>
      </c>
      <c r="H14" s="5">
        <v>26</v>
      </c>
      <c r="I14" s="11">
        <v>26</v>
      </c>
      <c r="J14" s="11"/>
      <c r="K14" s="3">
        <f t="shared" ref="K14:K16" si="18">E14/H14*I14</f>
        <v>7546</v>
      </c>
      <c r="L14" s="3">
        <f t="shared" ref="L14:L16" si="19">F14/H14*I14</f>
        <v>0</v>
      </c>
      <c r="M14" s="3">
        <f t="shared" ref="M14:M16" si="20">G14/H14*J14</f>
        <v>0</v>
      </c>
      <c r="N14" s="6">
        <f t="shared" ref="N14:N18" si="21">SUM(K14:M14)</f>
        <v>7546</v>
      </c>
      <c r="O14" s="7">
        <f t="shared" ref="O14:O16" si="22">ROUND(Z14*12%,0)</f>
        <v>906</v>
      </c>
      <c r="P14" s="7">
        <f t="shared" ref="P14:P16" si="23">ROUNDUP(AB14*1.75%,0)</f>
        <v>133</v>
      </c>
      <c r="Q14" s="8">
        <f t="shared" ref="Q14:Q16" si="24">IF(N14&gt;40000,200,IF(N14&gt;25000,150,IF(N14&gt;15000,130,IF(N14&gt;10000,110,IF(N14&gt;8500,0,)))))</f>
        <v>0</v>
      </c>
      <c r="R14" s="3">
        <v>0</v>
      </c>
      <c r="S14" s="3">
        <v>0</v>
      </c>
      <c r="T14" s="9">
        <f t="shared" ref="T14:T16" si="25">SUM(O14:S14)</f>
        <v>1039</v>
      </c>
      <c r="U14" s="44">
        <f t="shared" ref="U14:U16" si="26">N14-T14</f>
        <v>6507</v>
      </c>
      <c r="V14" s="7">
        <f>((E14/H14*J14)*13.36%)</f>
        <v>0</v>
      </c>
      <c r="W14" s="5">
        <f>((E14/12)/H14*(I14))</f>
        <v>628.83333333333337</v>
      </c>
      <c r="X14" s="6">
        <f t="shared" ref="X14:X18" si="27">U14+W14+V14</f>
        <v>7135.833333333333</v>
      </c>
      <c r="Y14" s="7"/>
      <c r="Z14" s="7">
        <f t="shared" ref="Z14:Z16" si="28">ROUND(IF(($K14)&gt;15000,15000,IF(($K14)&lt;=15000,($K14))),0)</f>
        <v>7546</v>
      </c>
      <c r="AA14" s="7">
        <f t="shared" ref="AA14:AA16" si="29">ROUND(Z14*13.36%,0)</f>
        <v>1008</v>
      </c>
      <c r="AB14" s="7">
        <f>ROUND($G14/$H14*($I14+J14),0)</f>
        <v>7546</v>
      </c>
      <c r="AC14" s="7">
        <f t="shared" ref="AC14:AC16" si="30">ROUNDUP(AB14*4.75%,0)</f>
        <v>359</v>
      </c>
      <c r="AD14" s="83">
        <f t="shared" si="16"/>
        <v>9541.8333333333321</v>
      </c>
    </row>
    <row r="15" spans="1:30" ht="39.950000000000003" customHeight="1">
      <c r="A15" s="1">
        <v>3</v>
      </c>
      <c r="B15" s="70" t="s">
        <v>206</v>
      </c>
      <c r="C15" s="128" t="s">
        <v>96</v>
      </c>
      <c r="D15" s="90" t="s">
        <v>105</v>
      </c>
      <c r="E15" s="3">
        <v>7546</v>
      </c>
      <c r="F15" s="3">
        <v>0</v>
      </c>
      <c r="G15" s="4">
        <f t="shared" si="17"/>
        <v>7546</v>
      </c>
      <c r="H15" s="5">
        <v>26</v>
      </c>
      <c r="I15" s="11">
        <v>26</v>
      </c>
      <c r="J15" s="11">
        <v>2</v>
      </c>
      <c r="K15" s="3">
        <f t="shared" si="18"/>
        <v>7546</v>
      </c>
      <c r="L15" s="3">
        <f t="shared" si="19"/>
        <v>0</v>
      </c>
      <c r="M15" s="3">
        <f t="shared" si="20"/>
        <v>580.46153846153845</v>
      </c>
      <c r="N15" s="6">
        <f t="shared" si="21"/>
        <v>8126.4615384615381</v>
      </c>
      <c r="O15" s="7">
        <f t="shared" si="22"/>
        <v>906</v>
      </c>
      <c r="P15" s="7">
        <f t="shared" si="23"/>
        <v>143</v>
      </c>
      <c r="Q15" s="8">
        <f t="shared" si="24"/>
        <v>0</v>
      </c>
      <c r="R15" s="3">
        <v>0</v>
      </c>
      <c r="S15" s="3">
        <v>0</v>
      </c>
      <c r="T15" s="9">
        <f t="shared" si="25"/>
        <v>1049</v>
      </c>
      <c r="U15" s="44">
        <f t="shared" si="26"/>
        <v>7077.4615384615381</v>
      </c>
      <c r="V15" s="7">
        <f>((E15/H15*J15)*13.36%)</f>
        <v>77.549661538461535</v>
      </c>
      <c r="W15" s="5">
        <f>((E15/12)/H15*(I15))</f>
        <v>628.83333333333337</v>
      </c>
      <c r="X15" s="6">
        <f t="shared" si="27"/>
        <v>7783.8445333333329</v>
      </c>
      <c r="Y15" s="7"/>
      <c r="Z15" s="7">
        <f t="shared" si="28"/>
        <v>7546</v>
      </c>
      <c r="AA15" s="7">
        <f t="shared" si="29"/>
        <v>1008</v>
      </c>
      <c r="AB15" s="7">
        <f>ROUND($G15/$H15*($I15+J15),0)</f>
        <v>8126</v>
      </c>
      <c r="AC15" s="7">
        <f t="shared" si="30"/>
        <v>386</v>
      </c>
      <c r="AD15" s="83">
        <f t="shared" si="16"/>
        <v>10226.844533333333</v>
      </c>
    </row>
    <row r="16" spans="1:30" ht="39.950000000000003" customHeight="1">
      <c r="A16" s="1">
        <v>4</v>
      </c>
      <c r="B16" s="70" t="s">
        <v>207</v>
      </c>
      <c r="C16" s="128" t="s">
        <v>97</v>
      </c>
      <c r="D16" s="90" t="s">
        <v>105</v>
      </c>
      <c r="E16" s="3">
        <v>7546</v>
      </c>
      <c r="F16" s="3">
        <v>0</v>
      </c>
      <c r="G16" s="4">
        <f t="shared" si="17"/>
        <v>7546</v>
      </c>
      <c r="H16" s="5">
        <v>26</v>
      </c>
      <c r="I16" s="11">
        <v>26</v>
      </c>
      <c r="J16" s="11">
        <v>2</v>
      </c>
      <c r="K16" s="3">
        <f t="shared" si="18"/>
        <v>7546</v>
      </c>
      <c r="L16" s="3">
        <f t="shared" si="19"/>
        <v>0</v>
      </c>
      <c r="M16" s="3">
        <f t="shared" si="20"/>
        <v>580.46153846153845</v>
      </c>
      <c r="N16" s="6">
        <f t="shared" si="21"/>
        <v>8126.4615384615381</v>
      </c>
      <c r="O16" s="7">
        <f t="shared" si="22"/>
        <v>906</v>
      </c>
      <c r="P16" s="7">
        <f t="shared" si="23"/>
        <v>143</v>
      </c>
      <c r="Q16" s="8">
        <f t="shared" si="24"/>
        <v>0</v>
      </c>
      <c r="R16" s="3">
        <v>0</v>
      </c>
      <c r="S16" s="3">
        <v>0</v>
      </c>
      <c r="T16" s="9">
        <f t="shared" si="25"/>
        <v>1049</v>
      </c>
      <c r="U16" s="44">
        <f t="shared" si="26"/>
        <v>7077.4615384615381</v>
      </c>
      <c r="V16" s="7">
        <f>((E16/H16*J16)*13.36%)</f>
        <v>77.549661538461535</v>
      </c>
      <c r="W16" s="5">
        <f>((E16/12)/H16*(I16))</f>
        <v>628.83333333333337</v>
      </c>
      <c r="X16" s="6">
        <f t="shared" si="27"/>
        <v>7783.8445333333329</v>
      </c>
      <c r="Y16" s="7"/>
      <c r="Z16" s="7">
        <f t="shared" si="28"/>
        <v>7546</v>
      </c>
      <c r="AA16" s="7">
        <f t="shared" si="29"/>
        <v>1008</v>
      </c>
      <c r="AB16" s="7">
        <f>ROUND($G16/$H16*($I16+J16),0)</f>
        <v>8126</v>
      </c>
      <c r="AC16" s="7">
        <f t="shared" si="30"/>
        <v>386</v>
      </c>
      <c r="AD16" s="83">
        <f t="shared" si="16"/>
        <v>10226.844533333333</v>
      </c>
    </row>
    <row r="17" spans="1:30" ht="15.75">
      <c r="A17" s="1"/>
      <c r="B17" s="70"/>
      <c r="C17" s="128"/>
      <c r="D17" s="71"/>
      <c r="E17" s="3"/>
      <c r="F17" s="3"/>
      <c r="G17" s="4"/>
      <c r="H17" s="5"/>
      <c r="I17" s="11"/>
      <c r="J17" s="11"/>
      <c r="K17" s="3"/>
      <c r="L17" s="3"/>
      <c r="M17" s="3"/>
      <c r="N17" s="6"/>
      <c r="O17" s="7"/>
      <c r="P17" s="7"/>
      <c r="Q17" s="8"/>
      <c r="R17" s="3"/>
      <c r="S17" s="3"/>
      <c r="T17" s="9"/>
      <c r="U17" s="44"/>
      <c r="V17" s="7"/>
      <c r="W17" s="5"/>
      <c r="X17" s="6"/>
      <c r="Y17" s="7"/>
      <c r="Z17" s="7"/>
      <c r="AA17" s="7"/>
      <c r="AB17" s="7"/>
      <c r="AC17" s="7"/>
      <c r="AD17" s="83"/>
    </row>
    <row r="18" spans="1:30" ht="15.75">
      <c r="A18" s="1"/>
      <c r="B18" s="70"/>
      <c r="C18" s="128"/>
      <c r="D18" s="71"/>
      <c r="E18" s="3"/>
      <c r="F18" s="3"/>
      <c r="G18" s="4"/>
      <c r="H18" s="5"/>
      <c r="I18" s="11"/>
      <c r="J18" s="11"/>
      <c r="K18" s="3"/>
      <c r="L18" s="3"/>
      <c r="M18" s="3"/>
      <c r="N18" s="6">
        <f t="shared" si="21"/>
        <v>0</v>
      </c>
      <c r="O18" s="7"/>
      <c r="P18" s="7"/>
      <c r="Q18" s="8"/>
      <c r="R18" s="3"/>
      <c r="S18" s="3"/>
      <c r="T18" s="9"/>
      <c r="U18" s="44"/>
      <c r="V18" s="7"/>
      <c r="W18" s="5"/>
      <c r="X18" s="6">
        <f t="shared" si="27"/>
        <v>0</v>
      </c>
      <c r="Y18" s="7"/>
      <c r="Z18" s="7"/>
      <c r="AA18" s="7"/>
      <c r="AB18" s="7"/>
      <c r="AC18" s="7"/>
      <c r="AD18" s="83">
        <f t="shared" si="16"/>
        <v>0</v>
      </c>
    </row>
    <row r="19" spans="1:30">
      <c r="A19" s="54"/>
      <c r="B19" s="54"/>
      <c r="C19" s="129"/>
      <c r="D19" s="12"/>
      <c r="E19" s="13"/>
      <c r="F19" s="13"/>
      <c r="G19" s="13"/>
      <c r="H19" s="13"/>
      <c r="I19" s="74">
        <f>SUM(I13:I18)</f>
        <v>103</v>
      </c>
      <c r="J19" s="74">
        <f t="shared" ref="J19:AC19" si="31">SUM(J13:J18)</f>
        <v>4</v>
      </c>
      <c r="K19" s="74">
        <f t="shared" si="31"/>
        <v>29893.76923076923</v>
      </c>
      <c r="L19" s="74">
        <f t="shared" si="31"/>
        <v>0</v>
      </c>
      <c r="M19" s="74">
        <f t="shared" si="31"/>
        <v>1160.9230769230769</v>
      </c>
      <c r="N19" s="74">
        <f t="shared" si="31"/>
        <v>31054.692307692309</v>
      </c>
      <c r="O19" s="74">
        <f t="shared" si="31"/>
        <v>3589</v>
      </c>
      <c r="P19" s="74">
        <f t="shared" si="31"/>
        <v>546</v>
      </c>
      <c r="Q19" s="74">
        <f t="shared" si="31"/>
        <v>0</v>
      </c>
      <c r="R19" s="74">
        <f t="shared" si="31"/>
        <v>0</v>
      </c>
      <c r="S19" s="74">
        <f t="shared" si="31"/>
        <v>0</v>
      </c>
      <c r="T19" s="74">
        <f t="shared" si="31"/>
        <v>4135</v>
      </c>
      <c r="U19" s="74">
        <f t="shared" si="31"/>
        <v>26919.692307692309</v>
      </c>
      <c r="V19" s="74">
        <f>SUM(V13:V18)</f>
        <v>155.09932307692307</v>
      </c>
      <c r="W19" s="74">
        <f t="shared" si="31"/>
        <v>2491.147435897436</v>
      </c>
      <c r="X19" s="74">
        <f t="shared" si="31"/>
        <v>29565.939066666666</v>
      </c>
      <c r="Y19" s="74">
        <f t="shared" si="31"/>
        <v>0</v>
      </c>
      <c r="Z19" s="74">
        <f t="shared" si="31"/>
        <v>29894</v>
      </c>
      <c r="AA19" s="74">
        <f t="shared" si="31"/>
        <v>3993</v>
      </c>
      <c r="AB19" s="74">
        <f t="shared" si="31"/>
        <v>31054</v>
      </c>
      <c r="AC19" s="74">
        <f t="shared" si="31"/>
        <v>1476</v>
      </c>
      <c r="AD19" s="83">
        <f>SUM(AD13:AD18)</f>
        <v>39169.939066666666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.12" right="0" top="0.23" bottom="0" header="0" footer="0"/>
  <pageSetup paperSize="9" scale="64" orientation="landscape" copies="2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AE52"/>
  <sheetViews>
    <sheetView zoomScaleSheetLayoutView="100" workbookViewId="0">
      <pane xSplit="3" ySplit="5" topLeftCell="S10" activePane="bottomRight" state="frozen"/>
      <selection pane="topRight" activeCell="D1" sqref="D1"/>
      <selection pane="bottomLeft" activeCell="A6" sqref="A6"/>
      <selection pane="bottomRight" activeCell="AF20" sqref="AF20"/>
    </sheetView>
  </sheetViews>
  <sheetFormatPr defaultRowHeight="15"/>
  <cols>
    <col min="1" max="1" width="3.7109375" style="77" customWidth="1"/>
    <col min="2" max="2" width="20.85546875" style="77" customWidth="1"/>
    <col min="3" max="3" width="17.42578125" style="77" bestFit="1" customWidth="1"/>
    <col min="4" max="4" width="14.28515625" style="77" bestFit="1" customWidth="1"/>
    <col min="5" max="5" width="10.42578125" style="77" bestFit="1" customWidth="1"/>
    <col min="6" max="6" width="9.7109375" style="77" customWidth="1"/>
    <col min="7" max="7" width="9" style="77" customWidth="1"/>
    <col min="8" max="8" width="7.28515625" style="77" bestFit="1" customWidth="1"/>
    <col min="9" max="9" width="6.42578125" style="77" bestFit="1" customWidth="1"/>
    <col min="10" max="10" width="7.28515625" style="77" bestFit="1" customWidth="1"/>
    <col min="11" max="11" width="5.7109375" style="77" bestFit="1" customWidth="1"/>
    <col min="12" max="12" width="7.28515625" style="77" bestFit="1" customWidth="1"/>
    <col min="13" max="13" width="8.42578125" style="77" bestFit="1" customWidth="1"/>
    <col min="14" max="14" width="8" style="77" customWidth="1"/>
    <col min="15" max="15" width="7.28515625" style="77" bestFit="1" customWidth="1"/>
    <col min="16" max="16" width="7.85546875" style="77" bestFit="1" customWidth="1"/>
    <col min="17" max="17" width="6.28515625" style="77" bestFit="1" customWidth="1"/>
    <col min="18" max="18" width="9.7109375" style="77" bestFit="1" customWidth="1"/>
    <col min="19" max="19" width="9.28515625" style="77" bestFit="1" customWidth="1"/>
    <col min="20" max="20" width="11.140625" style="77" bestFit="1" customWidth="1"/>
    <col min="21" max="21" width="8.28515625" style="77" bestFit="1" customWidth="1"/>
    <col min="22" max="22" width="8.5703125" style="95" bestFit="1" customWidth="1"/>
    <col min="23" max="23" width="8.5703125" style="77" customWidth="1"/>
    <col min="24" max="24" width="6.28515625" style="77" bestFit="1" customWidth="1"/>
    <col min="25" max="25" width="7.28515625" style="95" bestFit="1" customWidth="1"/>
    <col min="26" max="26" width="22.85546875" style="77" customWidth="1"/>
    <col min="27" max="27" width="8.5703125" style="77" bestFit="1" customWidth="1"/>
    <col min="28" max="28" width="11.140625" style="77" bestFit="1" customWidth="1"/>
    <col min="29" max="29" width="9" style="77" bestFit="1" customWidth="1"/>
    <col min="30" max="30" width="11.42578125" style="77" customWidth="1"/>
    <col min="31" max="31" width="10.7109375" style="77" bestFit="1" customWidth="1"/>
    <col min="32" max="16384" width="9.140625" style="77"/>
  </cols>
  <sheetData>
    <row r="1" spans="1:31" ht="28.5">
      <c r="A1" s="188" t="s">
        <v>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</row>
    <row r="2" spans="1:31" ht="18">
      <c r="A2" s="200" t="s">
        <v>134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31" ht="18.75">
      <c r="A3" s="204" t="str">
        <f>"Wage Sheet for the month of"&amp;" "&amp;TEXT(Payslip!$J$1,"mmmm yyyyy")&amp;""</f>
        <v>Wage Sheet for the month of March 2017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</row>
    <row r="5" spans="1:31" ht="48">
      <c r="A5" s="78" t="s">
        <v>0</v>
      </c>
      <c r="B5" s="78" t="s">
        <v>41</v>
      </c>
      <c r="C5" s="78" t="s">
        <v>1</v>
      </c>
      <c r="D5" s="79" t="s">
        <v>2</v>
      </c>
      <c r="E5" s="79" t="s">
        <v>132</v>
      </c>
      <c r="F5" s="80" t="s">
        <v>3</v>
      </c>
      <c r="G5" s="80" t="s">
        <v>4</v>
      </c>
      <c r="H5" s="80" t="s">
        <v>5</v>
      </c>
      <c r="I5" s="81" t="s">
        <v>6</v>
      </c>
      <c r="J5" s="81" t="s">
        <v>7</v>
      </c>
      <c r="K5" s="81" t="s">
        <v>47</v>
      </c>
      <c r="L5" s="81" t="s">
        <v>8</v>
      </c>
      <c r="M5" s="81" t="s">
        <v>25</v>
      </c>
      <c r="N5" s="81" t="s">
        <v>80</v>
      </c>
      <c r="O5" s="80" t="s">
        <v>9</v>
      </c>
      <c r="P5" s="80" t="s">
        <v>14</v>
      </c>
      <c r="Q5" s="80" t="s">
        <v>15</v>
      </c>
      <c r="R5" s="80" t="s">
        <v>16</v>
      </c>
      <c r="S5" s="80" t="s">
        <v>17</v>
      </c>
      <c r="T5" s="80" t="s">
        <v>18</v>
      </c>
      <c r="U5" s="80" t="s">
        <v>19</v>
      </c>
      <c r="V5" s="80" t="s">
        <v>20</v>
      </c>
      <c r="W5" s="80" t="s">
        <v>48</v>
      </c>
      <c r="X5" s="80" t="s">
        <v>21</v>
      </c>
      <c r="Y5" s="80" t="s">
        <v>22</v>
      </c>
      <c r="Z5" s="80" t="s">
        <v>23</v>
      </c>
      <c r="AA5" s="82" t="s">
        <v>10</v>
      </c>
      <c r="AB5" s="80" t="s">
        <v>11</v>
      </c>
      <c r="AC5" s="82" t="s">
        <v>12</v>
      </c>
      <c r="AD5" s="80" t="s">
        <v>13</v>
      </c>
      <c r="AE5" s="80" t="s">
        <v>124</v>
      </c>
    </row>
    <row r="6" spans="1:31" ht="15.75">
      <c r="A6" s="89">
        <v>1</v>
      </c>
      <c r="B6" s="134" t="s">
        <v>164</v>
      </c>
      <c r="C6" s="125" t="str">
        <f>VLOOKUP($B6,'HO '!$B$8:$AD$29,MATCH('Master Sheet'!C$5,'HO '!$B$8:$AD$8,0),0)</f>
        <v>Bablu Mitra</v>
      </c>
      <c r="D6" s="125" t="str">
        <f>VLOOKUP($B6,'HO '!$B$8:$AD$29,MATCH('Master Sheet'!D$5,'HO '!$B$8:$AD$8,0),0)</f>
        <v>Housekeeping</v>
      </c>
      <c r="E6" s="125" t="s">
        <v>104</v>
      </c>
      <c r="F6" s="125">
        <f>VLOOKUP($B6,'HO '!$B$8:$AD$29,MATCH('Master Sheet'!F$5,'HO '!$B$8:$AD$8,0),0)</f>
        <v>7546</v>
      </c>
      <c r="G6" s="125">
        <f>VLOOKUP($B6,'HO '!$B$8:$AD$29,MATCH('Master Sheet'!G$5,'HO '!$B$8:$AD$8,0),0)</f>
        <v>0</v>
      </c>
      <c r="H6" s="4">
        <f t="shared" ref="H6:H36" si="0">F6+G6</f>
        <v>7546</v>
      </c>
      <c r="I6" s="5">
        <v>26</v>
      </c>
      <c r="J6" s="11">
        <f>VLOOKUP($B6,'HO '!$B$8:$AD$29,MATCH('Master Sheet'!J$5,'HO '!$B$8:$AD$8,0),0)</f>
        <v>23</v>
      </c>
      <c r="K6" s="11">
        <f>VLOOKUP($B6,'HO '!$B$8:$AD$29,MATCH('Master Sheet'!K$5,'HO '!$B$8:$AD$8,0),0)</f>
        <v>0</v>
      </c>
      <c r="L6" s="3">
        <f t="shared" ref="L6:L36" si="1">F6/I6*J6</f>
        <v>6675.3076923076924</v>
      </c>
      <c r="M6" s="3">
        <f t="shared" ref="M6:M36" si="2">G6/I6*J6</f>
        <v>0</v>
      </c>
      <c r="N6" s="3">
        <f t="shared" ref="N6:N36" si="3">H6/I6*K6</f>
        <v>0</v>
      </c>
      <c r="O6" s="6">
        <f t="shared" ref="O6:O39" si="4">SUM(L6:N6)</f>
        <v>6675.3076923076924</v>
      </c>
      <c r="P6" s="7">
        <f t="shared" ref="P6:P36" si="5">ROUND(AA6*12%,0)</f>
        <v>801</v>
      </c>
      <c r="Q6" s="7">
        <f t="shared" ref="Q6:Q36" si="6">ROUNDUP(AC6*1.75%,0)</f>
        <v>117</v>
      </c>
      <c r="R6" s="8">
        <f t="shared" ref="R6:R36" si="7">IF(O6&gt;40000,200,IF(O6&gt;25000,150,IF(O6&gt;15000,130,IF(O6&gt;10000,110,IF(O6&gt;8500,0,)))))</f>
        <v>0</v>
      </c>
      <c r="S6" s="125">
        <f>VLOOKUP($B6,'HO '!$B$8:$AD$29,MATCH('Master Sheet'!S$5,'HO '!$B$8:$AD$8,0),0)</f>
        <v>500</v>
      </c>
      <c r="T6" s="125">
        <f>VLOOKUP($B6,'HO '!$B$8:$AD$29,MATCH('Master Sheet'!T$5,'HO '!$B$8:$AD$8,0),0)</f>
        <v>0</v>
      </c>
      <c r="U6" s="9">
        <f t="shared" ref="U6:U36" si="8">SUM(P6:T6)</f>
        <v>1418</v>
      </c>
      <c r="V6" s="44">
        <f t="shared" ref="V6:V36" si="9">O6-U6</f>
        <v>5257.3076923076924</v>
      </c>
      <c r="W6" s="7">
        <f t="shared" ref="W6:W39" si="10">((F6/I6*K6)*13.36%)</f>
        <v>0</v>
      </c>
      <c r="X6" s="5">
        <f t="shared" ref="X6:X39" si="11">((F6/12)/I6*(J6))</f>
        <v>556.27564102564111</v>
      </c>
      <c r="Y6" s="6">
        <f t="shared" ref="Y6:Y36" si="12">V6+X6+W6</f>
        <v>5813.5833333333339</v>
      </c>
      <c r="Z6" s="7"/>
      <c r="AA6" s="7">
        <f t="shared" ref="AA6:AA36" si="13">ROUND(IF(($L6)&gt;15000,15000,IF(($L6)&lt;=15000,($L6))),0)</f>
        <v>6675</v>
      </c>
      <c r="AB6" s="7">
        <f t="shared" ref="AB6:AB36" si="14">ROUND(AA6*13.36%,0)</f>
        <v>892</v>
      </c>
      <c r="AC6" s="7">
        <f t="shared" ref="AC6:AC36" si="15">ROUND($H6/$I6*($J6+K6),0)</f>
        <v>6675</v>
      </c>
      <c r="AD6" s="7">
        <f t="shared" ref="AD6:AD36" si="16">ROUNDUP(AC6*4.75%,0)</f>
        <v>318</v>
      </c>
      <c r="AE6" s="83">
        <f t="shared" ref="AE6:AE36" si="17">O6+W6+X6+AB6+AD6</f>
        <v>8441.5833333333339</v>
      </c>
    </row>
    <row r="7" spans="1:31" ht="15.75">
      <c r="A7" s="89">
        <v>2</v>
      </c>
      <c r="B7" s="134" t="s">
        <v>165</v>
      </c>
      <c r="C7" s="125" t="str">
        <f>VLOOKUP($B7,'HO '!$B$8:$AD$29,MATCH('Master Sheet'!C$5,'HO '!$B$8:$AD$8,0),0)</f>
        <v>Ranjit Mondal</v>
      </c>
      <c r="D7" s="125" t="str">
        <f>VLOOKUP($B7,'HO '!$B$8:$AD$29,MATCH('Master Sheet'!D$5,'HO '!$B$8:$AD$8,0),0)</f>
        <v>Housekeeping</v>
      </c>
      <c r="E7" s="125" t="s">
        <v>104</v>
      </c>
      <c r="F7" s="125">
        <f>VLOOKUP($B7,'HO '!$B$8:$AD$29,MATCH('Master Sheet'!F$5,'HO '!$B$8:$AD$8,0),0)</f>
        <v>7546</v>
      </c>
      <c r="G7" s="125">
        <f>VLOOKUP($B7,'HO '!$B$8:$AD$29,MATCH('Master Sheet'!G$5,'HO '!$B$8:$AD$8,0),0)</f>
        <v>0</v>
      </c>
      <c r="H7" s="4">
        <f t="shared" si="0"/>
        <v>7546</v>
      </c>
      <c r="I7" s="5">
        <v>26</v>
      </c>
      <c r="J7" s="11">
        <f>VLOOKUP($B7,'HO '!$B$8:$AD$29,MATCH('Master Sheet'!J$5,'HO '!$B$8:$AD$8,0),0)</f>
        <v>23</v>
      </c>
      <c r="K7" s="11">
        <f>VLOOKUP($B7,'HO '!$B$8:$AD$29,MATCH('Master Sheet'!K$5,'HO '!$B$8:$AD$8,0),0)</f>
        <v>0</v>
      </c>
      <c r="L7" s="3">
        <f t="shared" si="1"/>
        <v>6675.3076923076924</v>
      </c>
      <c r="M7" s="3">
        <f t="shared" si="2"/>
        <v>0</v>
      </c>
      <c r="N7" s="3">
        <f t="shared" si="3"/>
        <v>0</v>
      </c>
      <c r="O7" s="6">
        <f t="shared" si="4"/>
        <v>6675.3076923076924</v>
      </c>
      <c r="P7" s="7">
        <f t="shared" si="5"/>
        <v>801</v>
      </c>
      <c r="Q7" s="7">
        <f t="shared" si="6"/>
        <v>117</v>
      </c>
      <c r="R7" s="8">
        <f t="shared" si="7"/>
        <v>0</v>
      </c>
      <c r="S7" s="125">
        <f>VLOOKUP($B7,'HO '!$B$8:$AD$29,MATCH('Master Sheet'!S$5,'HO '!$B$8:$AD$8,0),0)</f>
        <v>500</v>
      </c>
      <c r="T7" s="125">
        <f>VLOOKUP($B7,'HO '!$B$8:$AD$29,MATCH('Master Sheet'!T$5,'HO '!$B$8:$AD$8,0),0)</f>
        <v>0</v>
      </c>
      <c r="U7" s="9">
        <f t="shared" si="8"/>
        <v>1418</v>
      </c>
      <c r="V7" s="44">
        <f t="shared" si="9"/>
        <v>5257.3076923076924</v>
      </c>
      <c r="W7" s="7">
        <f t="shared" si="10"/>
        <v>0</v>
      </c>
      <c r="X7" s="5">
        <f t="shared" si="11"/>
        <v>556.27564102564111</v>
      </c>
      <c r="Y7" s="6">
        <f t="shared" si="12"/>
        <v>5813.5833333333339</v>
      </c>
      <c r="Z7" s="7"/>
      <c r="AA7" s="7">
        <f t="shared" si="13"/>
        <v>6675</v>
      </c>
      <c r="AB7" s="7">
        <f t="shared" si="14"/>
        <v>892</v>
      </c>
      <c r="AC7" s="7">
        <f t="shared" si="15"/>
        <v>6675</v>
      </c>
      <c r="AD7" s="7">
        <f t="shared" si="16"/>
        <v>318</v>
      </c>
      <c r="AE7" s="83">
        <f t="shared" si="17"/>
        <v>8441.5833333333339</v>
      </c>
    </row>
    <row r="8" spans="1:31" ht="15.75">
      <c r="A8" s="89">
        <v>3</v>
      </c>
      <c r="B8" s="134" t="s">
        <v>166</v>
      </c>
      <c r="C8" s="125" t="str">
        <f>VLOOKUP($B8,'HO '!$B$8:$AD$29,MATCH('Master Sheet'!C$5,'HO '!$B$8:$AD$8,0),0)</f>
        <v>Pulak Guha</v>
      </c>
      <c r="D8" s="125" t="str">
        <f>VLOOKUP($B8,'HO '!$B$8:$AD$29,MATCH('Master Sheet'!D$5,'HO '!$B$8:$AD$8,0),0)</f>
        <v>Housekeeping</v>
      </c>
      <c r="E8" s="125" t="s">
        <v>104</v>
      </c>
      <c r="F8" s="125">
        <f>VLOOKUP($B8,'HO '!$B$8:$AD$29,MATCH('Master Sheet'!F$5,'HO '!$B$8:$AD$8,0),0)</f>
        <v>7546</v>
      </c>
      <c r="G8" s="125">
        <f>VLOOKUP($B8,'HO '!$B$8:$AD$29,MATCH('Master Sheet'!G$5,'HO '!$B$8:$AD$8,0),0)</f>
        <v>0</v>
      </c>
      <c r="H8" s="4">
        <f t="shared" si="0"/>
        <v>7546</v>
      </c>
      <c r="I8" s="5">
        <v>26</v>
      </c>
      <c r="J8" s="11">
        <f>VLOOKUP($B8,'HO '!$B$8:$AD$29,MATCH('Master Sheet'!J$5,'HO '!$B$8:$AD$8,0),0)</f>
        <v>26</v>
      </c>
      <c r="K8" s="11">
        <f>VLOOKUP($B8,'HO '!$B$8:$AD$29,MATCH('Master Sheet'!K$5,'HO '!$B$8:$AD$8,0),0)</f>
        <v>2</v>
      </c>
      <c r="L8" s="3">
        <f t="shared" si="1"/>
        <v>7546</v>
      </c>
      <c r="M8" s="3">
        <f t="shared" si="2"/>
        <v>0</v>
      </c>
      <c r="N8" s="3">
        <f t="shared" si="3"/>
        <v>580.46153846153845</v>
      </c>
      <c r="O8" s="6">
        <f t="shared" si="4"/>
        <v>8126.4615384615381</v>
      </c>
      <c r="P8" s="7">
        <f t="shared" si="5"/>
        <v>906</v>
      </c>
      <c r="Q8" s="7">
        <f t="shared" si="6"/>
        <v>143</v>
      </c>
      <c r="R8" s="8">
        <f t="shared" si="7"/>
        <v>0</v>
      </c>
      <c r="S8" s="125">
        <f>VLOOKUP($B8,'HO '!$B$8:$AD$29,MATCH('Master Sheet'!S$5,'HO '!$B$8:$AD$8,0),0)</f>
        <v>1000</v>
      </c>
      <c r="T8" s="125">
        <f>VLOOKUP($B8,'HO '!$B$8:$AD$29,MATCH('Master Sheet'!T$5,'HO '!$B$8:$AD$8,0),0)</f>
        <v>0</v>
      </c>
      <c r="U8" s="9">
        <f t="shared" si="8"/>
        <v>2049</v>
      </c>
      <c r="V8" s="44">
        <f t="shared" si="9"/>
        <v>6077.4615384615381</v>
      </c>
      <c r="W8" s="7">
        <f t="shared" si="10"/>
        <v>77.549661538461535</v>
      </c>
      <c r="X8" s="5">
        <f t="shared" si="11"/>
        <v>628.83333333333337</v>
      </c>
      <c r="Y8" s="6">
        <f t="shared" si="12"/>
        <v>6783.8445333333329</v>
      </c>
      <c r="Z8" s="7"/>
      <c r="AA8" s="7">
        <f t="shared" si="13"/>
        <v>7546</v>
      </c>
      <c r="AB8" s="7">
        <f t="shared" si="14"/>
        <v>1008</v>
      </c>
      <c r="AC8" s="7">
        <f t="shared" si="15"/>
        <v>8126</v>
      </c>
      <c r="AD8" s="7">
        <f t="shared" si="16"/>
        <v>386</v>
      </c>
      <c r="AE8" s="83">
        <f t="shared" si="17"/>
        <v>10226.844533333333</v>
      </c>
    </row>
    <row r="9" spans="1:31" ht="15.75">
      <c r="A9" s="89">
        <v>4</v>
      </c>
      <c r="B9" s="134" t="s">
        <v>167</v>
      </c>
      <c r="C9" s="125" t="str">
        <f>VLOOKUP($B9,'HO '!$B$8:$AD$29,MATCH('Master Sheet'!C$5,'HO '!$B$8:$AD$8,0),0)</f>
        <v>Debashis Ghosh</v>
      </c>
      <c r="D9" s="125" t="str">
        <f>VLOOKUP($B9,'HO '!$B$8:$AD$29,MATCH('Master Sheet'!D$5,'HO '!$B$8:$AD$8,0),0)</f>
        <v>Housekeeping</v>
      </c>
      <c r="E9" s="125" t="s">
        <v>104</v>
      </c>
      <c r="F9" s="125">
        <f>VLOOKUP($B9,'HO '!$B$8:$AD$29,MATCH('Master Sheet'!F$5,'HO '!$B$8:$AD$8,0),0)</f>
        <v>7546</v>
      </c>
      <c r="G9" s="125">
        <f>VLOOKUP($B9,'HO '!$B$8:$AD$29,MATCH('Master Sheet'!G$5,'HO '!$B$8:$AD$8,0),0)</f>
        <v>0</v>
      </c>
      <c r="H9" s="4">
        <f t="shared" si="0"/>
        <v>7546</v>
      </c>
      <c r="I9" s="5">
        <v>26</v>
      </c>
      <c r="J9" s="11">
        <f>VLOOKUP($B9,'HO '!$B$8:$AD$29,MATCH('Master Sheet'!J$5,'HO '!$B$8:$AD$8,0),0)</f>
        <v>26</v>
      </c>
      <c r="K9" s="11">
        <f>VLOOKUP($B9,'HO '!$B$8:$AD$29,MATCH('Master Sheet'!K$5,'HO '!$B$8:$AD$8,0),0)</f>
        <v>6</v>
      </c>
      <c r="L9" s="3">
        <f t="shared" si="1"/>
        <v>7546</v>
      </c>
      <c r="M9" s="3">
        <f t="shared" si="2"/>
        <v>0</v>
      </c>
      <c r="N9" s="3">
        <f t="shared" si="3"/>
        <v>1741.3846153846152</v>
      </c>
      <c r="O9" s="6">
        <f t="shared" si="4"/>
        <v>9287.3846153846152</v>
      </c>
      <c r="P9" s="7">
        <f t="shared" si="5"/>
        <v>906</v>
      </c>
      <c r="Q9" s="7">
        <f t="shared" si="6"/>
        <v>163</v>
      </c>
      <c r="R9" s="8">
        <f t="shared" si="7"/>
        <v>0</v>
      </c>
      <c r="S9" s="125">
        <f>VLOOKUP($B9,'HO '!$B$8:$AD$29,MATCH('Master Sheet'!S$5,'HO '!$B$8:$AD$8,0),0)</f>
        <v>0</v>
      </c>
      <c r="T9" s="125">
        <f>VLOOKUP($B9,'HO '!$B$8:$AD$29,MATCH('Master Sheet'!T$5,'HO '!$B$8:$AD$8,0),0)</f>
        <v>0</v>
      </c>
      <c r="U9" s="9">
        <f t="shared" si="8"/>
        <v>1069</v>
      </c>
      <c r="V9" s="44">
        <f t="shared" si="9"/>
        <v>8218.3846153846152</v>
      </c>
      <c r="W9" s="7">
        <f t="shared" si="10"/>
        <v>232.64898461538459</v>
      </c>
      <c r="X9" s="5">
        <f t="shared" si="11"/>
        <v>628.83333333333337</v>
      </c>
      <c r="Y9" s="6">
        <f t="shared" si="12"/>
        <v>9079.8669333333346</v>
      </c>
      <c r="Z9" s="7"/>
      <c r="AA9" s="7">
        <f t="shared" si="13"/>
        <v>7546</v>
      </c>
      <c r="AB9" s="7">
        <f t="shared" si="14"/>
        <v>1008</v>
      </c>
      <c r="AC9" s="7">
        <f t="shared" si="15"/>
        <v>9287</v>
      </c>
      <c r="AD9" s="7">
        <f t="shared" si="16"/>
        <v>442</v>
      </c>
      <c r="AE9" s="83">
        <f t="shared" si="17"/>
        <v>11598.866933333335</v>
      </c>
    </row>
    <row r="10" spans="1:31" ht="15.75">
      <c r="A10" s="89">
        <v>5</v>
      </c>
      <c r="B10" s="134" t="s">
        <v>168</v>
      </c>
      <c r="C10" s="125" t="str">
        <f>VLOOKUP($B10,'HO '!$B$8:$AD$29,MATCH('Master Sheet'!C$5,'HO '!$B$8:$AD$8,0),0)</f>
        <v>Amit Mallik</v>
      </c>
      <c r="D10" s="125" t="str">
        <f>VLOOKUP($B10,'HO '!$B$8:$AD$29,MATCH('Master Sheet'!D$5,'HO '!$B$8:$AD$8,0),0)</f>
        <v>Housekeeping</v>
      </c>
      <c r="E10" s="125" t="s">
        <v>104</v>
      </c>
      <c r="F10" s="125">
        <f>VLOOKUP($B10,'HO '!$B$8:$AD$29,MATCH('Master Sheet'!F$5,'HO '!$B$8:$AD$8,0),0)</f>
        <v>7546</v>
      </c>
      <c r="G10" s="125">
        <f>VLOOKUP($B10,'HO '!$B$8:$AD$29,MATCH('Master Sheet'!G$5,'HO '!$B$8:$AD$8,0),0)</f>
        <v>0</v>
      </c>
      <c r="H10" s="4">
        <f t="shared" si="0"/>
        <v>7546</v>
      </c>
      <c r="I10" s="5">
        <v>26</v>
      </c>
      <c r="J10" s="11">
        <f>VLOOKUP($B10,'HO '!$B$8:$AD$29,MATCH('Master Sheet'!J$5,'HO '!$B$8:$AD$8,0),0)</f>
        <v>24</v>
      </c>
      <c r="K10" s="11">
        <f>VLOOKUP($B10,'HO '!$B$8:$AD$29,MATCH('Master Sheet'!K$5,'HO '!$B$8:$AD$8,0),0)</f>
        <v>0</v>
      </c>
      <c r="L10" s="3">
        <f t="shared" si="1"/>
        <v>6965.538461538461</v>
      </c>
      <c r="M10" s="3">
        <f t="shared" si="2"/>
        <v>0</v>
      </c>
      <c r="N10" s="3">
        <f t="shared" si="3"/>
        <v>0</v>
      </c>
      <c r="O10" s="6">
        <f t="shared" si="4"/>
        <v>6965.538461538461</v>
      </c>
      <c r="P10" s="7">
        <f t="shared" si="5"/>
        <v>836</v>
      </c>
      <c r="Q10" s="7">
        <f t="shared" si="6"/>
        <v>122</v>
      </c>
      <c r="R10" s="8">
        <f t="shared" si="7"/>
        <v>0</v>
      </c>
      <c r="S10" s="125">
        <f>VLOOKUP($B10,'HO '!$B$8:$AD$29,MATCH('Master Sheet'!S$5,'HO '!$B$8:$AD$8,0),0)</f>
        <v>0</v>
      </c>
      <c r="T10" s="125">
        <f>VLOOKUP($B10,'HO '!$B$8:$AD$29,MATCH('Master Sheet'!T$5,'HO '!$B$8:$AD$8,0),0)</f>
        <v>0</v>
      </c>
      <c r="U10" s="9">
        <f t="shared" si="8"/>
        <v>958</v>
      </c>
      <c r="V10" s="44">
        <f t="shared" si="9"/>
        <v>6007.538461538461</v>
      </c>
      <c r="W10" s="7">
        <f t="shared" si="10"/>
        <v>0</v>
      </c>
      <c r="X10" s="5">
        <f t="shared" si="11"/>
        <v>580.46153846153857</v>
      </c>
      <c r="Y10" s="6">
        <f t="shared" si="12"/>
        <v>6588</v>
      </c>
      <c r="Z10" s="7"/>
      <c r="AA10" s="7">
        <f t="shared" si="13"/>
        <v>6966</v>
      </c>
      <c r="AB10" s="7">
        <f t="shared" si="14"/>
        <v>931</v>
      </c>
      <c r="AC10" s="7">
        <f t="shared" si="15"/>
        <v>6966</v>
      </c>
      <c r="AD10" s="7">
        <f t="shared" si="16"/>
        <v>331</v>
      </c>
      <c r="AE10" s="83">
        <f t="shared" si="17"/>
        <v>8808</v>
      </c>
    </row>
    <row r="11" spans="1:31" ht="15.75">
      <c r="A11" s="89">
        <v>6</v>
      </c>
      <c r="B11" s="134" t="s">
        <v>169</v>
      </c>
      <c r="C11" s="125" t="str">
        <f>VLOOKUP($B11,'HO '!$B$8:$AD$29,MATCH('Master Sheet'!C$5,'HO '!$B$8:$AD$8,0),0)</f>
        <v>Sanjit Mondal</v>
      </c>
      <c r="D11" s="125" t="str">
        <f>VLOOKUP($B11,'HO '!$B$8:$AD$29,MATCH('Master Sheet'!D$5,'HO '!$B$8:$AD$8,0),0)</f>
        <v>Housekeeping</v>
      </c>
      <c r="E11" s="125" t="s">
        <v>104</v>
      </c>
      <c r="F11" s="125">
        <f>VLOOKUP($B11,'HO '!$B$8:$AD$29,MATCH('Master Sheet'!F$5,'HO '!$B$8:$AD$8,0),0)</f>
        <v>7546</v>
      </c>
      <c r="G11" s="125">
        <f>VLOOKUP($B11,'HO '!$B$8:$AD$29,MATCH('Master Sheet'!G$5,'HO '!$B$8:$AD$8,0),0)</f>
        <v>0</v>
      </c>
      <c r="H11" s="4">
        <f t="shared" si="0"/>
        <v>7546</v>
      </c>
      <c r="I11" s="5">
        <v>26</v>
      </c>
      <c r="J11" s="11">
        <f>VLOOKUP($B11,'HO '!$B$8:$AD$29,MATCH('Master Sheet'!J$5,'HO '!$B$8:$AD$8,0),0)</f>
        <v>26</v>
      </c>
      <c r="K11" s="11">
        <f>VLOOKUP($B11,'HO '!$B$8:$AD$29,MATCH('Master Sheet'!K$5,'HO '!$B$8:$AD$8,0),0)</f>
        <v>0</v>
      </c>
      <c r="L11" s="3">
        <f t="shared" si="1"/>
        <v>7546</v>
      </c>
      <c r="M11" s="3">
        <f t="shared" si="2"/>
        <v>0</v>
      </c>
      <c r="N11" s="3">
        <f t="shared" si="3"/>
        <v>0</v>
      </c>
      <c r="O11" s="6">
        <f t="shared" si="4"/>
        <v>7546</v>
      </c>
      <c r="P11" s="7">
        <f t="shared" si="5"/>
        <v>906</v>
      </c>
      <c r="Q11" s="7">
        <f t="shared" si="6"/>
        <v>133</v>
      </c>
      <c r="R11" s="8">
        <f t="shared" si="7"/>
        <v>0</v>
      </c>
      <c r="S11" s="125">
        <f>VLOOKUP($B11,'HO '!$B$8:$AD$29,MATCH('Master Sheet'!S$5,'HO '!$B$8:$AD$8,0),0)</f>
        <v>0</v>
      </c>
      <c r="T11" s="125">
        <f>VLOOKUP($B11,'HO '!$B$8:$AD$29,MATCH('Master Sheet'!T$5,'HO '!$B$8:$AD$8,0),0)</f>
        <v>0</v>
      </c>
      <c r="U11" s="9">
        <f t="shared" si="8"/>
        <v>1039</v>
      </c>
      <c r="V11" s="44">
        <f t="shared" si="9"/>
        <v>6507</v>
      </c>
      <c r="W11" s="7">
        <f t="shared" si="10"/>
        <v>0</v>
      </c>
      <c r="X11" s="5">
        <f t="shared" si="11"/>
        <v>628.83333333333337</v>
      </c>
      <c r="Y11" s="6">
        <f t="shared" si="12"/>
        <v>7135.833333333333</v>
      </c>
      <c r="Z11" s="7"/>
      <c r="AA11" s="7">
        <f t="shared" si="13"/>
        <v>7546</v>
      </c>
      <c r="AB11" s="7">
        <f t="shared" si="14"/>
        <v>1008</v>
      </c>
      <c r="AC11" s="7">
        <f t="shared" si="15"/>
        <v>7546</v>
      </c>
      <c r="AD11" s="7">
        <f t="shared" si="16"/>
        <v>359</v>
      </c>
      <c r="AE11" s="83">
        <f t="shared" si="17"/>
        <v>9541.8333333333321</v>
      </c>
    </row>
    <row r="12" spans="1:31" ht="15.75">
      <c r="A12" s="89">
        <v>7</v>
      </c>
      <c r="B12" s="134" t="s">
        <v>170</v>
      </c>
      <c r="C12" s="125" t="str">
        <f>VLOOKUP($B12,'HO '!$B$8:$AD$29,MATCH('Master Sheet'!C$5,'HO '!$B$8:$AD$8,0),0)</f>
        <v>Haru Das</v>
      </c>
      <c r="D12" s="125" t="str">
        <f>VLOOKUP($B12,'HO '!$B$8:$AD$29,MATCH('Master Sheet'!D$5,'HO '!$B$8:$AD$8,0),0)</f>
        <v>Housekeeping</v>
      </c>
      <c r="E12" s="125" t="s">
        <v>104</v>
      </c>
      <c r="F12" s="125">
        <f>VLOOKUP($B12,'HO '!$B$8:$AD$29,MATCH('Master Sheet'!F$5,'HO '!$B$8:$AD$8,0),0)</f>
        <v>7546</v>
      </c>
      <c r="G12" s="125">
        <f>VLOOKUP($B12,'HO '!$B$8:$AD$29,MATCH('Master Sheet'!G$5,'HO '!$B$8:$AD$8,0),0)</f>
        <v>0</v>
      </c>
      <c r="H12" s="4">
        <f t="shared" si="0"/>
        <v>7546</v>
      </c>
      <c r="I12" s="5">
        <v>26</v>
      </c>
      <c r="J12" s="11">
        <f>VLOOKUP($B12,'HO '!$B$8:$AD$29,MATCH('Master Sheet'!J$5,'HO '!$B$8:$AD$8,0),0)</f>
        <v>26</v>
      </c>
      <c r="K12" s="11">
        <f>VLOOKUP($B12,'HO '!$B$8:$AD$29,MATCH('Master Sheet'!K$5,'HO '!$B$8:$AD$8,0),0)</f>
        <v>2</v>
      </c>
      <c r="L12" s="3">
        <f t="shared" si="1"/>
        <v>7546</v>
      </c>
      <c r="M12" s="3">
        <f t="shared" si="2"/>
        <v>0</v>
      </c>
      <c r="N12" s="3">
        <f t="shared" si="3"/>
        <v>580.46153846153845</v>
      </c>
      <c r="O12" s="6">
        <f t="shared" si="4"/>
        <v>8126.4615384615381</v>
      </c>
      <c r="P12" s="7">
        <f t="shared" si="5"/>
        <v>906</v>
      </c>
      <c r="Q12" s="7">
        <f t="shared" si="6"/>
        <v>143</v>
      </c>
      <c r="R12" s="8">
        <f t="shared" si="7"/>
        <v>0</v>
      </c>
      <c r="S12" s="125">
        <f>VLOOKUP($B12,'HO '!$B$8:$AD$29,MATCH('Master Sheet'!S$5,'HO '!$B$8:$AD$8,0),0)</f>
        <v>0</v>
      </c>
      <c r="T12" s="125">
        <f>VLOOKUP($B12,'HO '!$B$8:$AD$29,MATCH('Master Sheet'!T$5,'HO '!$B$8:$AD$8,0),0)</f>
        <v>0</v>
      </c>
      <c r="U12" s="9">
        <f t="shared" si="8"/>
        <v>1049</v>
      </c>
      <c r="V12" s="44">
        <f t="shared" si="9"/>
        <v>7077.4615384615381</v>
      </c>
      <c r="W12" s="7">
        <f t="shared" si="10"/>
        <v>77.549661538461535</v>
      </c>
      <c r="X12" s="5">
        <f t="shared" si="11"/>
        <v>628.83333333333337</v>
      </c>
      <c r="Y12" s="6">
        <f t="shared" si="12"/>
        <v>7783.8445333333329</v>
      </c>
      <c r="Z12" s="7"/>
      <c r="AA12" s="7">
        <f t="shared" si="13"/>
        <v>7546</v>
      </c>
      <c r="AB12" s="7">
        <f t="shared" si="14"/>
        <v>1008</v>
      </c>
      <c r="AC12" s="7">
        <f t="shared" si="15"/>
        <v>8126</v>
      </c>
      <c r="AD12" s="7">
        <f t="shared" si="16"/>
        <v>386</v>
      </c>
      <c r="AE12" s="83">
        <f t="shared" si="17"/>
        <v>10226.844533333333</v>
      </c>
    </row>
    <row r="13" spans="1:31" ht="15.75">
      <c r="A13" s="89">
        <v>8</v>
      </c>
      <c r="B13" s="134" t="s">
        <v>171</v>
      </c>
      <c r="C13" s="125" t="str">
        <f>VLOOKUP($B13,'HO '!$B$8:$AD$29,MATCH('Master Sheet'!C$5,'HO '!$B$8:$AD$8,0),0)</f>
        <v>Lalu Oran</v>
      </c>
      <c r="D13" s="125" t="str">
        <f>VLOOKUP($B13,'HO '!$B$8:$AD$29,MATCH('Master Sheet'!D$5,'HO '!$B$8:$AD$8,0),0)</f>
        <v>Housekeeping</v>
      </c>
      <c r="E13" s="125" t="s">
        <v>104</v>
      </c>
      <c r="F13" s="125">
        <f>VLOOKUP($B13,'HO '!$B$8:$AD$29,MATCH('Master Sheet'!F$5,'HO '!$B$8:$AD$8,0),0)</f>
        <v>7546</v>
      </c>
      <c r="G13" s="125">
        <f>VLOOKUP($B13,'HO '!$B$8:$AD$29,MATCH('Master Sheet'!G$5,'HO '!$B$8:$AD$8,0),0)</f>
        <v>0</v>
      </c>
      <c r="H13" s="4">
        <f t="shared" si="0"/>
        <v>7546</v>
      </c>
      <c r="I13" s="5">
        <v>26</v>
      </c>
      <c r="J13" s="11">
        <f>VLOOKUP($B13,'HO '!$B$8:$AD$29,MATCH('Master Sheet'!J$5,'HO '!$B$8:$AD$8,0),0)</f>
        <v>26</v>
      </c>
      <c r="K13" s="11">
        <f>VLOOKUP($B13,'HO '!$B$8:$AD$29,MATCH('Master Sheet'!K$5,'HO '!$B$8:$AD$8,0),0)</f>
        <v>1</v>
      </c>
      <c r="L13" s="3">
        <f t="shared" si="1"/>
        <v>7546</v>
      </c>
      <c r="M13" s="3">
        <f t="shared" si="2"/>
        <v>0</v>
      </c>
      <c r="N13" s="3">
        <f t="shared" si="3"/>
        <v>290.23076923076923</v>
      </c>
      <c r="O13" s="6">
        <f t="shared" si="4"/>
        <v>7836.2307692307695</v>
      </c>
      <c r="P13" s="7">
        <f t="shared" si="5"/>
        <v>906</v>
      </c>
      <c r="Q13" s="7">
        <f t="shared" si="6"/>
        <v>138</v>
      </c>
      <c r="R13" s="8">
        <f t="shared" si="7"/>
        <v>0</v>
      </c>
      <c r="S13" s="125">
        <f>VLOOKUP($B13,'HO '!$B$8:$AD$29,MATCH('Master Sheet'!S$5,'HO '!$B$8:$AD$8,0),0)</f>
        <v>0</v>
      </c>
      <c r="T13" s="125">
        <f>VLOOKUP($B13,'HO '!$B$8:$AD$29,MATCH('Master Sheet'!T$5,'HO '!$B$8:$AD$8,0),0)</f>
        <v>0</v>
      </c>
      <c r="U13" s="9">
        <f t="shared" si="8"/>
        <v>1044</v>
      </c>
      <c r="V13" s="44">
        <f t="shared" si="9"/>
        <v>6792.2307692307695</v>
      </c>
      <c r="W13" s="7">
        <f t="shared" si="10"/>
        <v>38.774830769230768</v>
      </c>
      <c r="X13" s="5">
        <f t="shared" si="11"/>
        <v>628.83333333333337</v>
      </c>
      <c r="Y13" s="6">
        <f t="shared" si="12"/>
        <v>7459.8389333333334</v>
      </c>
      <c r="Z13" s="7"/>
      <c r="AA13" s="7">
        <f t="shared" si="13"/>
        <v>7546</v>
      </c>
      <c r="AB13" s="7">
        <f t="shared" si="14"/>
        <v>1008</v>
      </c>
      <c r="AC13" s="7">
        <f t="shared" si="15"/>
        <v>7836</v>
      </c>
      <c r="AD13" s="7">
        <f t="shared" si="16"/>
        <v>373</v>
      </c>
      <c r="AE13" s="83">
        <f t="shared" si="17"/>
        <v>9884.8389333333344</v>
      </c>
    </row>
    <row r="14" spans="1:31" ht="15.75">
      <c r="A14" s="89">
        <v>9</v>
      </c>
      <c r="B14" s="134" t="s">
        <v>172</v>
      </c>
      <c r="C14" s="125" t="str">
        <f>VLOOKUP($B14,'HO '!$B$8:$AD$29,MATCH('Master Sheet'!C$5,'HO '!$B$8:$AD$8,0),0)</f>
        <v>Amit Gayan</v>
      </c>
      <c r="D14" s="125" t="str">
        <f>VLOOKUP($B14,'HO '!$B$8:$AD$29,MATCH('Master Sheet'!D$5,'HO '!$B$8:$AD$8,0),0)</f>
        <v>Housekeeping</v>
      </c>
      <c r="E14" s="125" t="s">
        <v>104</v>
      </c>
      <c r="F14" s="125">
        <f>VLOOKUP($B14,'HO '!$B$8:$AD$29,MATCH('Master Sheet'!F$5,'HO '!$B$8:$AD$8,0),0)</f>
        <v>7546</v>
      </c>
      <c r="G14" s="125">
        <f>VLOOKUP($B14,'HO '!$B$8:$AD$29,MATCH('Master Sheet'!G$5,'HO '!$B$8:$AD$8,0),0)</f>
        <v>0</v>
      </c>
      <c r="H14" s="4">
        <f t="shared" si="0"/>
        <v>7546</v>
      </c>
      <c r="I14" s="5">
        <v>26</v>
      </c>
      <c r="J14" s="11">
        <f>VLOOKUP($B14,'HO '!$B$8:$AD$29,MATCH('Master Sheet'!J$5,'HO '!$B$8:$AD$8,0),0)</f>
        <v>26</v>
      </c>
      <c r="K14" s="11">
        <f>VLOOKUP($B14,'HO '!$B$8:$AD$29,MATCH('Master Sheet'!K$5,'HO '!$B$8:$AD$8,0),0)</f>
        <v>2</v>
      </c>
      <c r="L14" s="3">
        <f t="shared" si="1"/>
        <v>7546</v>
      </c>
      <c r="M14" s="3">
        <f t="shared" si="2"/>
        <v>0</v>
      </c>
      <c r="N14" s="3">
        <f t="shared" si="3"/>
        <v>580.46153846153845</v>
      </c>
      <c r="O14" s="6">
        <f t="shared" si="4"/>
        <v>8126.4615384615381</v>
      </c>
      <c r="P14" s="7">
        <f t="shared" si="5"/>
        <v>906</v>
      </c>
      <c r="Q14" s="7">
        <f t="shared" si="6"/>
        <v>143</v>
      </c>
      <c r="R14" s="8">
        <f t="shared" si="7"/>
        <v>0</v>
      </c>
      <c r="S14" s="125">
        <f>VLOOKUP($B14,'HO '!$B$8:$AD$29,MATCH('Master Sheet'!S$5,'HO '!$B$8:$AD$8,0),0)</f>
        <v>0</v>
      </c>
      <c r="T14" s="125">
        <f>VLOOKUP($B14,'HO '!$B$8:$AD$29,MATCH('Master Sheet'!T$5,'HO '!$B$8:$AD$8,0),0)</f>
        <v>0</v>
      </c>
      <c r="U14" s="9">
        <f t="shared" si="8"/>
        <v>1049</v>
      </c>
      <c r="V14" s="44">
        <f t="shared" si="9"/>
        <v>7077.4615384615381</v>
      </c>
      <c r="W14" s="7">
        <f t="shared" si="10"/>
        <v>77.549661538461535</v>
      </c>
      <c r="X14" s="5">
        <f t="shared" si="11"/>
        <v>628.83333333333337</v>
      </c>
      <c r="Y14" s="6">
        <f t="shared" si="12"/>
        <v>7783.8445333333329</v>
      </c>
      <c r="Z14" s="7"/>
      <c r="AA14" s="7">
        <f t="shared" si="13"/>
        <v>7546</v>
      </c>
      <c r="AB14" s="7">
        <f t="shared" si="14"/>
        <v>1008</v>
      </c>
      <c r="AC14" s="7">
        <f t="shared" si="15"/>
        <v>8126</v>
      </c>
      <c r="AD14" s="7">
        <f t="shared" si="16"/>
        <v>386</v>
      </c>
      <c r="AE14" s="83">
        <f t="shared" si="17"/>
        <v>10226.844533333333</v>
      </c>
    </row>
    <row r="15" spans="1:31" ht="24">
      <c r="A15" s="89">
        <v>10</v>
      </c>
      <c r="B15" s="134" t="s">
        <v>173</v>
      </c>
      <c r="C15" s="125" t="str">
        <f>VLOOKUP($B15,'HO '!$B$8:$AD$29,MATCH('Master Sheet'!C$5,'HO '!$B$8:$AD$8,0),0)</f>
        <v>Prosanto Choudhury</v>
      </c>
      <c r="D15" s="125" t="str">
        <f>VLOOKUP($B15,'HO '!$B$8:$AD$29,MATCH('Master Sheet'!D$5,'HO '!$B$8:$AD$8,0),0)</f>
        <v>Housekeeping - Reliver</v>
      </c>
      <c r="E15" s="125" t="s">
        <v>104</v>
      </c>
      <c r="F15" s="125">
        <f>VLOOKUP($B15,'HO '!$B$8:$AD$29,MATCH('Master Sheet'!F$5,'HO '!$B$8:$AD$8,0),0)</f>
        <v>7546</v>
      </c>
      <c r="G15" s="125">
        <f>VLOOKUP($B15,'HO '!$B$8:$AD$29,MATCH('Master Sheet'!G$5,'HO '!$B$8:$AD$8,0),0)</f>
        <v>0</v>
      </c>
      <c r="H15" s="4">
        <f t="shared" si="0"/>
        <v>7546</v>
      </c>
      <c r="I15" s="5">
        <v>26</v>
      </c>
      <c r="J15" s="11">
        <f>VLOOKUP($B15,'HO '!$B$8:$AD$29,MATCH('Master Sheet'!J$5,'HO '!$B$8:$AD$8,0),0)</f>
        <v>8</v>
      </c>
      <c r="K15" s="11">
        <f>VLOOKUP($B15,'HO '!$B$8:$AD$29,MATCH('Master Sheet'!K$5,'HO '!$B$8:$AD$8,0),0)</f>
        <v>0</v>
      </c>
      <c r="L15" s="3">
        <f t="shared" si="1"/>
        <v>2321.8461538461538</v>
      </c>
      <c r="M15" s="3">
        <f t="shared" si="2"/>
        <v>0</v>
      </c>
      <c r="N15" s="3">
        <f t="shared" si="3"/>
        <v>0</v>
      </c>
      <c r="O15" s="6">
        <f t="shared" si="4"/>
        <v>2321.8461538461538</v>
      </c>
      <c r="P15" s="7">
        <f t="shared" si="5"/>
        <v>279</v>
      </c>
      <c r="Q15" s="7">
        <f t="shared" si="6"/>
        <v>41</v>
      </c>
      <c r="R15" s="8">
        <f t="shared" si="7"/>
        <v>0</v>
      </c>
      <c r="S15" s="125">
        <f>VLOOKUP($B15,'HO '!$B$8:$AD$29,MATCH('Master Sheet'!S$5,'HO '!$B$8:$AD$8,0),0)</f>
        <v>0</v>
      </c>
      <c r="T15" s="125">
        <f>VLOOKUP($B15,'HO '!$B$8:$AD$29,MATCH('Master Sheet'!T$5,'HO '!$B$8:$AD$8,0),0)</f>
        <v>0</v>
      </c>
      <c r="U15" s="9">
        <f t="shared" si="8"/>
        <v>320</v>
      </c>
      <c r="V15" s="44">
        <f t="shared" si="9"/>
        <v>2001.8461538461538</v>
      </c>
      <c r="W15" s="7">
        <f t="shared" si="10"/>
        <v>0</v>
      </c>
      <c r="X15" s="5">
        <f t="shared" si="11"/>
        <v>193.4871794871795</v>
      </c>
      <c r="Y15" s="6">
        <f t="shared" si="12"/>
        <v>2195.3333333333335</v>
      </c>
      <c r="Z15" s="7"/>
      <c r="AA15" s="7">
        <f t="shared" si="13"/>
        <v>2322</v>
      </c>
      <c r="AB15" s="7">
        <f t="shared" si="14"/>
        <v>310</v>
      </c>
      <c r="AC15" s="7">
        <f t="shared" si="15"/>
        <v>2322</v>
      </c>
      <c r="AD15" s="7">
        <f t="shared" si="16"/>
        <v>111</v>
      </c>
      <c r="AE15" s="83">
        <f t="shared" si="17"/>
        <v>2936.3333333333335</v>
      </c>
    </row>
    <row r="16" spans="1:31" ht="24">
      <c r="A16" s="89">
        <v>11</v>
      </c>
      <c r="B16" s="134" t="s">
        <v>174</v>
      </c>
      <c r="C16" s="125" t="str">
        <f>VLOOKUP($B16,'HO '!$B$8:$AD$29,MATCH('Master Sheet'!C$5,'HO '!$B$8:$AD$8,0),0)</f>
        <v>Ajay Sadhukhan</v>
      </c>
      <c r="D16" s="125" t="str">
        <f>VLOOKUP($B16,'HO '!$B$8:$AD$29,MATCH('Master Sheet'!D$5,'HO '!$B$8:$AD$8,0),0)</f>
        <v>Housekeeping - Reliver</v>
      </c>
      <c r="E16" s="125" t="s">
        <v>104</v>
      </c>
      <c r="F16" s="125">
        <f>VLOOKUP($B16,'HO '!$B$8:$AD$29,MATCH('Master Sheet'!F$5,'HO '!$B$8:$AD$8,0),0)</f>
        <v>7546</v>
      </c>
      <c r="G16" s="125">
        <f>VLOOKUP($B16,'HO '!$B$8:$AD$29,MATCH('Master Sheet'!G$5,'HO '!$B$8:$AD$8,0),0)</f>
        <v>0</v>
      </c>
      <c r="H16" s="4">
        <f t="shared" si="0"/>
        <v>7546</v>
      </c>
      <c r="I16" s="5">
        <v>26</v>
      </c>
      <c r="J16" s="11">
        <f>VLOOKUP($B16,'HO '!$B$8:$AD$29,MATCH('Master Sheet'!J$5,'HO '!$B$8:$AD$8,0),0)</f>
        <v>7</v>
      </c>
      <c r="K16" s="11">
        <f>VLOOKUP($B16,'HO '!$B$8:$AD$29,MATCH('Master Sheet'!K$5,'HO '!$B$8:$AD$8,0),0)</f>
        <v>0</v>
      </c>
      <c r="L16" s="3">
        <f t="shared" si="1"/>
        <v>2031.6153846153845</v>
      </c>
      <c r="M16" s="3">
        <f t="shared" si="2"/>
        <v>0</v>
      </c>
      <c r="N16" s="3">
        <f t="shared" si="3"/>
        <v>0</v>
      </c>
      <c r="O16" s="6">
        <f t="shared" si="4"/>
        <v>2031.6153846153845</v>
      </c>
      <c r="P16" s="7">
        <f t="shared" si="5"/>
        <v>244</v>
      </c>
      <c r="Q16" s="7">
        <f t="shared" si="6"/>
        <v>36</v>
      </c>
      <c r="R16" s="8">
        <f t="shared" si="7"/>
        <v>0</v>
      </c>
      <c r="S16" s="125">
        <f>VLOOKUP($B16,'HO '!$B$8:$AD$29,MATCH('Master Sheet'!S$5,'HO '!$B$8:$AD$8,0),0)</f>
        <v>0</v>
      </c>
      <c r="T16" s="125">
        <f>VLOOKUP($B16,'HO '!$B$8:$AD$29,MATCH('Master Sheet'!T$5,'HO '!$B$8:$AD$8,0),0)</f>
        <v>0</v>
      </c>
      <c r="U16" s="9">
        <f t="shared" si="8"/>
        <v>280</v>
      </c>
      <c r="V16" s="44">
        <f t="shared" si="9"/>
        <v>1751.6153846153845</v>
      </c>
      <c r="W16" s="7">
        <f t="shared" si="10"/>
        <v>0</v>
      </c>
      <c r="X16" s="5">
        <f t="shared" si="11"/>
        <v>169.30128205128207</v>
      </c>
      <c r="Y16" s="6">
        <f t="shared" si="12"/>
        <v>1920.9166666666665</v>
      </c>
      <c r="Z16" s="7"/>
      <c r="AA16" s="7">
        <f t="shared" si="13"/>
        <v>2032</v>
      </c>
      <c r="AB16" s="7">
        <f t="shared" si="14"/>
        <v>271</v>
      </c>
      <c r="AC16" s="7">
        <f t="shared" si="15"/>
        <v>2032</v>
      </c>
      <c r="AD16" s="7">
        <f t="shared" si="16"/>
        <v>97</v>
      </c>
      <c r="AE16" s="83">
        <f t="shared" si="17"/>
        <v>2568.9166666666665</v>
      </c>
    </row>
    <row r="17" spans="1:31" ht="24">
      <c r="A17" s="89">
        <v>12</v>
      </c>
      <c r="B17" s="134" t="s">
        <v>175</v>
      </c>
      <c r="C17" s="125" t="str">
        <f>VLOOKUP($B17,'HO '!$B$8:$AD$29,MATCH('Master Sheet'!C$5,'HO '!$B$8:$AD$8,0),0)</f>
        <v>Sumanta Dutta</v>
      </c>
      <c r="D17" s="125" t="str">
        <f>VLOOKUP($B17,'HO '!$B$8:$AD$29,MATCH('Master Sheet'!D$5,'HO '!$B$8:$AD$8,0),0)</f>
        <v>Housekeeping - Reliver</v>
      </c>
      <c r="E17" s="125" t="s">
        <v>104</v>
      </c>
      <c r="F17" s="125">
        <f>VLOOKUP($B17,'HO '!$B$8:$AD$29,MATCH('Master Sheet'!F$5,'HO '!$B$8:$AD$8,0),0)</f>
        <v>7546</v>
      </c>
      <c r="G17" s="125">
        <f>VLOOKUP($B17,'HO '!$B$8:$AD$29,MATCH('Master Sheet'!G$5,'HO '!$B$8:$AD$8,0),0)</f>
        <v>0</v>
      </c>
      <c r="H17" s="4">
        <f t="shared" si="0"/>
        <v>7546</v>
      </c>
      <c r="I17" s="5">
        <v>26</v>
      </c>
      <c r="J17" s="11">
        <f>VLOOKUP($B17,'HO '!$B$8:$AD$29,MATCH('Master Sheet'!J$5,'HO '!$B$8:$AD$8,0),0)</f>
        <v>1</v>
      </c>
      <c r="K17" s="11">
        <f>VLOOKUP($B17,'HO '!$B$8:$AD$29,MATCH('Master Sheet'!K$5,'HO '!$B$8:$AD$8,0),0)</f>
        <v>0</v>
      </c>
      <c r="L17" s="3">
        <f t="shared" si="1"/>
        <v>290.23076923076923</v>
      </c>
      <c r="M17" s="3">
        <f t="shared" si="2"/>
        <v>0</v>
      </c>
      <c r="N17" s="3">
        <f t="shared" si="3"/>
        <v>0</v>
      </c>
      <c r="O17" s="6">
        <f t="shared" si="4"/>
        <v>290.23076923076923</v>
      </c>
      <c r="P17" s="7">
        <f t="shared" si="5"/>
        <v>35</v>
      </c>
      <c r="Q17" s="7">
        <f t="shared" si="6"/>
        <v>6</v>
      </c>
      <c r="R17" s="8">
        <f t="shared" si="7"/>
        <v>0</v>
      </c>
      <c r="S17" s="125">
        <f>VLOOKUP($B17,'HO '!$B$8:$AD$29,MATCH('Master Sheet'!S$5,'HO '!$B$8:$AD$8,0),0)</f>
        <v>0</v>
      </c>
      <c r="T17" s="125">
        <f>VLOOKUP($B17,'HO '!$B$8:$AD$29,MATCH('Master Sheet'!T$5,'HO '!$B$8:$AD$8,0),0)</f>
        <v>0</v>
      </c>
      <c r="U17" s="9">
        <f t="shared" si="8"/>
        <v>41</v>
      </c>
      <c r="V17" s="44">
        <f t="shared" si="9"/>
        <v>249.23076923076923</v>
      </c>
      <c r="W17" s="7">
        <f t="shared" si="10"/>
        <v>0</v>
      </c>
      <c r="X17" s="5">
        <f t="shared" si="11"/>
        <v>24.185897435897438</v>
      </c>
      <c r="Y17" s="6">
        <f t="shared" si="12"/>
        <v>273.41666666666669</v>
      </c>
      <c r="Z17" s="7"/>
      <c r="AA17" s="7">
        <f t="shared" si="13"/>
        <v>290</v>
      </c>
      <c r="AB17" s="7">
        <f t="shared" si="14"/>
        <v>39</v>
      </c>
      <c r="AC17" s="7">
        <f t="shared" si="15"/>
        <v>290</v>
      </c>
      <c r="AD17" s="7">
        <f t="shared" si="16"/>
        <v>14</v>
      </c>
      <c r="AE17" s="83">
        <f t="shared" si="17"/>
        <v>367.41666666666669</v>
      </c>
    </row>
    <row r="18" spans="1:31" ht="24">
      <c r="A18" s="89">
        <v>13</v>
      </c>
      <c r="B18" s="134" t="s">
        <v>176</v>
      </c>
      <c r="C18" s="125" t="str">
        <f>VLOOKUP($B18,'HO '!$B$8:$AD$29,MATCH('Master Sheet'!C$5,'HO '!$B$8:$AD$8,0),0)</f>
        <v>Khokan Mal</v>
      </c>
      <c r="D18" s="125" t="str">
        <f>VLOOKUP($B18,'HO '!$B$8:$AD$29,MATCH('Master Sheet'!D$5,'HO '!$B$8:$AD$8,0),0)</f>
        <v>Housekeeping - Reliver</v>
      </c>
      <c r="E18" s="125" t="s">
        <v>104</v>
      </c>
      <c r="F18" s="125">
        <f>VLOOKUP($B18,'HO '!$B$8:$AD$29,MATCH('Master Sheet'!F$5,'HO '!$B$8:$AD$8,0),0)</f>
        <v>7546</v>
      </c>
      <c r="G18" s="125">
        <f>VLOOKUP($B18,'HO '!$B$8:$AD$29,MATCH('Master Sheet'!G$5,'HO '!$B$8:$AD$8,0),0)</f>
        <v>0</v>
      </c>
      <c r="H18" s="4">
        <f t="shared" si="0"/>
        <v>7546</v>
      </c>
      <c r="I18" s="5">
        <v>26</v>
      </c>
      <c r="J18" s="11">
        <f>VLOOKUP($B18,'HO '!$B$8:$AD$29,MATCH('Master Sheet'!J$5,'HO '!$B$8:$AD$8,0),0)</f>
        <v>1</v>
      </c>
      <c r="K18" s="11">
        <f>VLOOKUP($B18,'HO '!$B$8:$AD$29,MATCH('Master Sheet'!K$5,'HO '!$B$8:$AD$8,0),0)</f>
        <v>0</v>
      </c>
      <c r="L18" s="3">
        <f t="shared" si="1"/>
        <v>290.23076923076923</v>
      </c>
      <c r="M18" s="3">
        <f t="shared" si="2"/>
        <v>0</v>
      </c>
      <c r="N18" s="3">
        <f t="shared" si="3"/>
        <v>0</v>
      </c>
      <c r="O18" s="6">
        <f t="shared" si="4"/>
        <v>290.23076923076923</v>
      </c>
      <c r="P18" s="7">
        <f t="shared" si="5"/>
        <v>35</v>
      </c>
      <c r="Q18" s="7">
        <f t="shared" si="6"/>
        <v>6</v>
      </c>
      <c r="R18" s="8">
        <f t="shared" si="7"/>
        <v>0</v>
      </c>
      <c r="S18" s="125">
        <f>VLOOKUP($B18,'HO '!$B$8:$AD$29,MATCH('Master Sheet'!S$5,'HO '!$B$8:$AD$8,0),0)</f>
        <v>0</v>
      </c>
      <c r="T18" s="125">
        <f>VLOOKUP($B18,'HO '!$B$8:$AD$29,MATCH('Master Sheet'!T$5,'HO '!$B$8:$AD$8,0),0)</f>
        <v>0</v>
      </c>
      <c r="U18" s="9">
        <f t="shared" si="8"/>
        <v>41</v>
      </c>
      <c r="V18" s="44">
        <f t="shared" si="9"/>
        <v>249.23076923076923</v>
      </c>
      <c r="W18" s="7">
        <f t="shared" si="10"/>
        <v>0</v>
      </c>
      <c r="X18" s="5">
        <f t="shared" si="11"/>
        <v>24.185897435897438</v>
      </c>
      <c r="Y18" s="6">
        <f t="shared" si="12"/>
        <v>273.41666666666669</v>
      </c>
      <c r="Z18" s="7"/>
      <c r="AA18" s="7">
        <f t="shared" si="13"/>
        <v>290</v>
      </c>
      <c r="AB18" s="7">
        <f t="shared" si="14"/>
        <v>39</v>
      </c>
      <c r="AC18" s="7">
        <f t="shared" si="15"/>
        <v>290</v>
      </c>
      <c r="AD18" s="7">
        <f t="shared" si="16"/>
        <v>14</v>
      </c>
      <c r="AE18" s="83">
        <f t="shared" si="17"/>
        <v>367.41666666666669</v>
      </c>
    </row>
    <row r="19" spans="1:31" ht="24">
      <c r="A19" s="89">
        <v>14</v>
      </c>
      <c r="B19" s="134" t="s">
        <v>177</v>
      </c>
      <c r="C19" s="125" t="str">
        <f>VLOOKUP($B19,'HO '!$B$8:$AD$29,MATCH('Master Sheet'!C$5,'HO '!$B$8:$AD$8,0),0)</f>
        <v>Arpan Basu</v>
      </c>
      <c r="D19" s="125" t="str">
        <f>VLOOKUP($B19,'HO '!$B$8:$AD$29,MATCH('Master Sheet'!D$5,'HO '!$B$8:$AD$8,0),0)</f>
        <v>Housekeeping - Semi Skilled</v>
      </c>
      <c r="E19" s="125" t="s">
        <v>104</v>
      </c>
      <c r="F19" s="125">
        <f>VLOOKUP($B19,'HO '!$B$8:$AD$29,MATCH('Master Sheet'!F$5,'HO '!$B$8:$AD$8,0),0)</f>
        <v>8301</v>
      </c>
      <c r="G19" s="125">
        <f>VLOOKUP($B19,'HO '!$B$8:$AD$29,MATCH('Master Sheet'!G$5,'HO '!$B$8:$AD$8,0),0)</f>
        <v>0</v>
      </c>
      <c r="H19" s="4">
        <f t="shared" si="0"/>
        <v>8301</v>
      </c>
      <c r="I19" s="5">
        <v>26</v>
      </c>
      <c r="J19" s="11">
        <f>VLOOKUP($B19,'HO '!$B$8:$AD$29,MATCH('Master Sheet'!J$5,'HO '!$B$8:$AD$8,0),0)</f>
        <v>26</v>
      </c>
      <c r="K19" s="11">
        <f>VLOOKUP($B19,'HO '!$B$8:$AD$29,MATCH('Master Sheet'!K$5,'HO '!$B$8:$AD$8,0),0)</f>
        <v>1</v>
      </c>
      <c r="L19" s="3">
        <f t="shared" si="1"/>
        <v>8301</v>
      </c>
      <c r="M19" s="3">
        <f t="shared" si="2"/>
        <v>0</v>
      </c>
      <c r="N19" s="3">
        <f t="shared" si="3"/>
        <v>319.26923076923077</v>
      </c>
      <c r="O19" s="6">
        <f t="shared" si="4"/>
        <v>8620.2692307692305</v>
      </c>
      <c r="P19" s="7">
        <f t="shared" si="5"/>
        <v>996</v>
      </c>
      <c r="Q19" s="7">
        <f t="shared" si="6"/>
        <v>151</v>
      </c>
      <c r="R19" s="8">
        <f t="shared" si="7"/>
        <v>0</v>
      </c>
      <c r="S19" s="125">
        <f>VLOOKUP($B19,'HO '!$B$8:$AD$29,MATCH('Master Sheet'!S$5,'HO '!$B$8:$AD$8,0),0)</f>
        <v>0</v>
      </c>
      <c r="T19" s="125">
        <f>VLOOKUP($B19,'HO '!$B$8:$AD$29,MATCH('Master Sheet'!T$5,'HO '!$B$8:$AD$8,0),0)</f>
        <v>0</v>
      </c>
      <c r="U19" s="9">
        <f t="shared" si="8"/>
        <v>1147</v>
      </c>
      <c r="V19" s="44">
        <f t="shared" si="9"/>
        <v>7473.2692307692305</v>
      </c>
      <c r="W19" s="7">
        <f t="shared" si="10"/>
        <v>42.654369230769227</v>
      </c>
      <c r="X19" s="5">
        <f t="shared" si="11"/>
        <v>691.75</v>
      </c>
      <c r="Y19" s="6">
        <f t="shared" si="12"/>
        <v>8207.6736000000001</v>
      </c>
      <c r="Z19" s="7"/>
      <c r="AA19" s="7">
        <f t="shared" si="13"/>
        <v>8301</v>
      </c>
      <c r="AB19" s="7">
        <f t="shared" si="14"/>
        <v>1109</v>
      </c>
      <c r="AC19" s="7">
        <f t="shared" si="15"/>
        <v>8620</v>
      </c>
      <c r="AD19" s="7">
        <f t="shared" si="16"/>
        <v>410</v>
      </c>
      <c r="AE19" s="83">
        <f t="shared" si="17"/>
        <v>10873.6736</v>
      </c>
    </row>
    <row r="20" spans="1:31" ht="15.75">
      <c r="A20" s="89">
        <v>15</v>
      </c>
      <c r="B20" s="70" t="s">
        <v>183</v>
      </c>
      <c r="C20" s="125" t="str">
        <f>VLOOKUP($B20,'HO '!$B$8:$AD$29,MATCH('Master Sheet'!C$5,'HO '!$B$8:$AD$8,0),0)</f>
        <v>Josephine Paul</v>
      </c>
      <c r="D20" s="125" t="str">
        <f>VLOOKUP($B20,'HO '!$B$8:$AD$29,MATCH('Master Sheet'!D$5,'HO '!$B$8:$AD$8,0),0)</f>
        <v>Receptionist</v>
      </c>
      <c r="E20" s="125" t="s">
        <v>104</v>
      </c>
      <c r="F20" s="125">
        <f>VLOOKUP($B20,'HO '!$B$8:$AD$29,MATCH('Master Sheet'!F$5,'HO '!$B$8:$AD$8,0),0)</f>
        <v>9132</v>
      </c>
      <c r="G20" s="125">
        <f>VLOOKUP($B20,'HO '!$B$8:$AD$29,MATCH('Master Sheet'!G$5,'HO '!$B$8:$AD$8,0),0)</f>
        <v>550</v>
      </c>
      <c r="H20" s="4">
        <f t="shared" si="0"/>
        <v>9682</v>
      </c>
      <c r="I20" s="5">
        <v>26</v>
      </c>
      <c r="J20" s="11">
        <f>VLOOKUP($B20,'HO '!$B$8:$AD$29,MATCH('Master Sheet'!J$5,'HO '!$B$8:$AD$8,0),0)</f>
        <v>26</v>
      </c>
      <c r="K20" s="11">
        <f>VLOOKUP($B20,'HO '!$B$8:$AD$29,MATCH('Master Sheet'!K$5,'HO '!$B$8:$AD$8,0),0)</f>
        <v>0</v>
      </c>
      <c r="L20" s="3">
        <f t="shared" si="1"/>
        <v>9132</v>
      </c>
      <c r="M20" s="3">
        <f t="shared" si="2"/>
        <v>550</v>
      </c>
      <c r="N20" s="3">
        <f t="shared" si="3"/>
        <v>0</v>
      </c>
      <c r="O20" s="6">
        <f t="shared" si="4"/>
        <v>9682</v>
      </c>
      <c r="P20" s="7">
        <f t="shared" si="5"/>
        <v>1096</v>
      </c>
      <c r="Q20" s="7">
        <f t="shared" si="6"/>
        <v>170</v>
      </c>
      <c r="R20" s="8">
        <f t="shared" si="7"/>
        <v>0</v>
      </c>
      <c r="S20" s="125">
        <f>VLOOKUP($B20,'HO '!$B$8:$AD$29,MATCH('Master Sheet'!S$5,'HO '!$B$8:$AD$8,0),0)</f>
        <v>0</v>
      </c>
      <c r="T20" s="125">
        <f>VLOOKUP($B20,'HO '!$B$8:$AD$29,MATCH('Master Sheet'!T$5,'HO '!$B$8:$AD$8,0),0)</f>
        <v>0</v>
      </c>
      <c r="U20" s="9">
        <f t="shared" si="8"/>
        <v>1266</v>
      </c>
      <c r="V20" s="44">
        <f t="shared" si="9"/>
        <v>8416</v>
      </c>
      <c r="W20" s="7">
        <f t="shared" si="10"/>
        <v>0</v>
      </c>
      <c r="X20" s="5">
        <f t="shared" si="11"/>
        <v>761</v>
      </c>
      <c r="Y20" s="6">
        <f t="shared" si="12"/>
        <v>9177</v>
      </c>
      <c r="Z20" s="7"/>
      <c r="AA20" s="7">
        <f t="shared" si="13"/>
        <v>9132</v>
      </c>
      <c r="AB20" s="7">
        <f t="shared" si="14"/>
        <v>1220</v>
      </c>
      <c r="AC20" s="7">
        <f t="shared" si="15"/>
        <v>9682</v>
      </c>
      <c r="AD20" s="7">
        <f t="shared" si="16"/>
        <v>460</v>
      </c>
      <c r="AE20" s="83">
        <f t="shared" si="17"/>
        <v>12123</v>
      </c>
    </row>
    <row r="21" spans="1:31" ht="15.75">
      <c r="A21" s="89">
        <v>16</v>
      </c>
      <c r="B21" s="69" t="s">
        <v>178</v>
      </c>
      <c r="C21" s="125" t="str">
        <f>VLOOKUP($B21,[1]Electrician!$B$8:$AD$29,MATCH('Master Sheet'!C$5,'HO '!$B$8:$AD$8,0),0)</f>
        <v>Kamaluddin Khan</v>
      </c>
      <c r="D21" s="125" t="str">
        <f>VLOOKUP($B21,[1]Electrician!$B$8:$AD$29,MATCH('Master Sheet'!D$5,'HO '!$B$8:$AD$8,0),0)</f>
        <v>Electrician</v>
      </c>
      <c r="E21" s="125" t="s">
        <v>220</v>
      </c>
      <c r="F21" s="125">
        <f>VLOOKUP($B21,[1]Electrician!$B$8:$AD$29,MATCH('Master Sheet'!F$5,'HO '!$B$8:$AD$8,0),0)</f>
        <v>7546</v>
      </c>
      <c r="G21" s="125">
        <f>VLOOKUP($B21,[1]Electrician!$B$8:$AD$29,MATCH('Master Sheet'!G$5,'HO '!$B$8:$AD$8,0),0)</f>
        <v>7080</v>
      </c>
      <c r="H21" s="4">
        <f t="shared" si="0"/>
        <v>14626</v>
      </c>
      <c r="I21" s="5">
        <v>26</v>
      </c>
      <c r="J21" s="11">
        <f>VLOOKUP($B21,[1]Electrician!$B$8:$AD$29,MATCH('Master Sheet'!J$5,'HO '!$B$8:$AD$8,0),0)</f>
        <v>0</v>
      </c>
      <c r="K21" s="11">
        <f>VLOOKUP($B21,[1]Electrician!$B$8:$AD$29,MATCH('Master Sheet'!K$5,'HO '!$B$8:$AD$8,0),0)</f>
        <v>0</v>
      </c>
      <c r="L21" s="3">
        <f t="shared" si="1"/>
        <v>0</v>
      </c>
      <c r="M21" s="3">
        <f t="shared" si="2"/>
        <v>0</v>
      </c>
      <c r="N21" s="3">
        <f t="shared" si="3"/>
        <v>0</v>
      </c>
      <c r="O21" s="6">
        <f t="shared" si="4"/>
        <v>0</v>
      </c>
      <c r="P21" s="7">
        <f t="shared" si="5"/>
        <v>0</v>
      </c>
      <c r="Q21" s="7">
        <f t="shared" si="6"/>
        <v>0</v>
      </c>
      <c r="R21" s="8">
        <f t="shared" si="7"/>
        <v>0</v>
      </c>
      <c r="S21" s="125">
        <f>VLOOKUP($B21,[1]Electrician!$B$8:$AD$29,MATCH('Master Sheet'!S$5,'HO '!$B$8:$AD$8,0),0)</f>
        <v>0</v>
      </c>
      <c r="T21" s="125">
        <f>VLOOKUP($B21,[1]Electrician!$B$8:$AD$29,MATCH('Master Sheet'!T$5,'HO '!$B$8:$AD$8,0),0)</f>
        <v>0</v>
      </c>
      <c r="U21" s="9">
        <f t="shared" si="8"/>
        <v>0</v>
      </c>
      <c r="V21" s="44">
        <f t="shared" si="9"/>
        <v>0</v>
      </c>
      <c r="W21" s="7">
        <f t="shared" si="10"/>
        <v>0</v>
      </c>
      <c r="X21" s="5">
        <f t="shared" si="11"/>
        <v>0</v>
      </c>
      <c r="Y21" s="6">
        <f t="shared" si="12"/>
        <v>0</v>
      </c>
      <c r="Z21" s="7"/>
      <c r="AA21" s="7">
        <f t="shared" si="13"/>
        <v>0</v>
      </c>
      <c r="AB21" s="7">
        <f t="shared" si="14"/>
        <v>0</v>
      </c>
      <c r="AC21" s="7">
        <f t="shared" si="15"/>
        <v>0</v>
      </c>
      <c r="AD21" s="7">
        <f t="shared" si="16"/>
        <v>0</v>
      </c>
      <c r="AE21" s="83">
        <f t="shared" si="17"/>
        <v>0</v>
      </c>
    </row>
    <row r="22" spans="1:31" ht="15.75">
      <c r="A22" s="89">
        <v>17</v>
      </c>
      <c r="B22" s="70" t="s">
        <v>179</v>
      </c>
      <c r="C22" s="125" t="str">
        <f>VLOOKUP($B22,Lovelock!$B$8:$AD$28,MATCH('Master Sheet'!C$5,'HO '!$B$8:$AD$8,0),0)</f>
        <v>Anwar Hossain</v>
      </c>
      <c r="D22" s="125" t="str">
        <f>VLOOKUP($B22,Lovelock!$B$8:$AD$28,MATCH('Master Sheet'!D$5,'HO '!$B$8:$AD$8,0),0)</f>
        <v>Security Officer</v>
      </c>
      <c r="E22" s="125" t="s">
        <v>220</v>
      </c>
      <c r="F22" s="125">
        <f>VLOOKUP($B22,Lovelock!$B$8:$AD$28,MATCH('Master Sheet'!F$5,'HO '!$B$8:$AD$8,0),0)</f>
        <v>9132</v>
      </c>
      <c r="G22" s="125">
        <f>VLOOKUP($B22,Lovelock!$B$8:$AD$28,MATCH('Master Sheet'!G$5,'HO '!$B$8:$AD$8,0),0)</f>
        <v>2283</v>
      </c>
      <c r="H22" s="4">
        <f t="shared" si="0"/>
        <v>11415</v>
      </c>
      <c r="I22" s="5">
        <v>26</v>
      </c>
      <c r="J22" s="11">
        <f>VLOOKUP($B22,Lovelock!$B$8:$AD$28,MATCH('Master Sheet'!J$5,'HO '!$B$8:$AD$8,0),0)</f>
        <v>6</v>
      </c>
      <c r="K22" s="11">
        <f>VLOOKUP($B22,Lovelock!$B$8:$AD$28,MATCH('Master Sheet'!K$5,'HO '!$B$8:$AD$8,0),0)</f>
        <v>0</v>
      </c>
      <c r="L22" s="3">
        <f t="shared" si="1"/>
        <v>2107.3846153846152</v>
      </c>
      <c r="M22" s="3">
        <f t="shared" si="2"/>
        <v>526.84615384615381</v>
      </c>
      <c r="N22" s="3">
        <f t="shared" si="3"/>
        <v>0</v>
      </c>
      <c r="O22" s="6">
        <f t="shared" si="4"/>
        <v>2634.2307692307691</v>
      </c>
      <c r="P22" s="7">
        <f t="shared" si="5"/>
        <v>253</v>
      </c>
      <c r="Q22" s="7">
        <f t="shared" si="6"/>
        <v>47</v>
      </c>
      <c r="R22" s="8">
        <f t="shared" si="7"/>
        <v>0</v>
      </c>
      <c r="S22" s="125">
        <f>VLOOKUP($B22,Lovelock!$B$8:$AD$28,MATCH('Master Sheet'!S$5,'HO '!$B$8:$AD$8,0),0)</f>
        <v>0</v>
      </c>
      <c r="T22" s="125">
        <f>VLOOKUP($B22,Lovelock!$B$8:$AD$28,MATCH('Master Sheet'!T$5,'HO '!$B$8:$AD$8,0),0)</f>
        <v>0</v>
      </c>
      <c r="U22" s="9">
        <f t="shared" si="8"/>
        <v>300</v>
      </c>
      <c r="V22" s="44">
        <f t="shared" si="9"/>
        <v>2334.2307692307691</v>
      </c>
      <c r="W22" s="7">
        <f t="shared" si="10"/>
        <v>0</v>
      </c>
      <c r="X22" s="5">
        <f t="shared" si="11"/>
        <v>175.61538461538461</v>
      </c>
      <c r="Y22" s="6">
        <f t="shared" si="12"/>
        <v>2509.8461538461538</v>
      </c>
      <c r="Z22" s="7"/>
      <c r="AA22" s="7">
        <f t="shared" si="13"/>
        <v>2107</v>
      </c>
      <c r="AB22" s="7">
        <f t="shared" si="14"/>
        <v>281</v>
      </c>
      <c r="AC22" s="7">
        <f t="shared" si="15"/>
        <v>2634</v>
      </c>
      <c r="AD22" s="7">
        <f t="shared" si="16"/>
        <v>126</v>
      </c>
      <c r="AE22" s="83">
        <f t="shared" si="17"/>
        <v>3216.8461538461538</v>
      </c>
    </row>
    <row r="23" spans="1:31" ht="15.75">
      <c r="A23" s="89">
        <v>18</v>
      </c>
      <c r="B23" s="70" t="s">
        <v>180</v>
      </c>
      <c r="C23" s="125" t="str">
        <f>VLOOKUP($B23,Lovelock!$B$8:$AD$28,MATCH('Master Sheet'!C$5,'HO '!$B$8:$AD$8,0),0)</f>
        <v>Pijush Bala</v>
      </c>
      <c r="D23" s="125" t="str">
        <f>VLOOKUP($B23,Lovelock!$B$8:$AD$28,MATCH('Master Sheet'!D$5,'HO '!$B$8:$AD$8,0),0)</f>
        <v>Security Officer</v>
      </c>
      <c r="E23" s="125" t="s">
        <v>220</v>
      </c>
      <c r="F23" s="125">
        <f>VLOOKUP($B23,Lovelock!$B$8:$AD$28,MATCH('Master Sheet'!F$5,'HO '!$B$8:$AD$8,0),0)</f>
        <v>9132</v>
      </c>
      <c r="G23" s="125">
        <f>VLOOKUP($B23,Lovelock!$B$8:$AD$28,MATCH('Master Sheet'!G$5,'HO '!$B$8:$AD$8,0),0)</f>
        <v>2283</v>
      </c>
      <c r="H23" s="4">
        <f t="shared" si="0"/>
        <v>11415</v>
      </c>
      <c r="I23" s="5">
        <v>26</v>
      </c>
      <c r="J23" s="11">
        <f>VLOOKUP($B23,Lovelock!$B$8:$AD$28,MATCH('Master Sheet'!J$5,'HO '!$B$8:$AD$8,0),0)</f>
        <v>6</v>
      </c>
      <c r="K23" s="11">
        <f>VLOOKUP($B23,Lovelock!$B$8:$AD$28,MATCH('Master Sheet'!K$5,'HO '!$B$8:$AD$8,0),0)</f>
        <v>0</v>
      </c>
      <c r="L23" s="3">
        <f t="shared" si="1"/>
        <v>2107.3846153846152</v>
      </c>
      <c r="M23" s="3">
        <f t="shared" si="2"/>
        <v>526.84615384615381</v>
      </c>
      <c r="N23" s="3">
        <f t="shared" si="3"/>
        <v>0</v>
      </c>
      <c r="O23" s="6">
        <f t="shared" si="4"/>
        <v>2634.2307692307691</v>
      </c>
      <c r="P23" s="7">
        <f t="shared" si="5"/>
        <v>253</v>
      </c>
      <c r="Q23" s="7">
        <f t="shared" si="6"/>
        <v>47</v>
      </c>
      <c r="R23" s="8">
        <f t="shared" si="7"/>
        <v>0</v>
      </c>
      <c r="S23" s="125">
        <f>VLOOKUP($B23,Lovelock!$B$8:$AD$28,MATCH('Master Sheet'!S$5,'HO '!$B$8:$AD$8,0),0)</f>
        <v>0</v>
      </c>
      <c r="T23" s="125">
        <f>VLOOKUP($B23,Lovelock!$B$8:$AD$28,MATCH('Master Sheet'!T$5,'HO '!$B$8:$AD$8,0),0)</f>
        <v>0</v>
      </c>
      <c r="U23" s="9">
        <f t="shared" si="8"/>
        <v>300</v>
      </c>
      <c r="V23" s="44">
        <f t="shared" si="9"/>
        <v>2334.2307692307691</v>
      </c>
      <c r="W23" s="7">
        <f t="shared" si="10"/>
        <v>0</v>
      </c>
      <c r="X23" s="5">
        <f t="shared" si="11"/>
        <v>175.61538461538461</v>
      </c>
      <c r="Y23" s="6">
        <f t="shared" si="12"/>
        <v>2509.8461538461538</v>
      </c>
      <c r="Z23" s="7"/>
      <c r="AA23" s="7">
        <f t="shared" si="13"/>
        <v>2107</v>
      </c>
      <c r="AB23" s="7">
        <f t="shared" si="14"/>
        <v>281</v>
      </c>
      <c r="AC23" s="7">
        <f t="shared" si="15"/>
        <v>2634</v>
      </c>
      <c r="AD23" s="7">
        <f t="shared" si="16"/>
        <v>126</v>
      </c>
      <c r="AE23" s="83">
        <f t="shared" si="17"/>
        <v>3216.8461538461538</v>
      </c>
    </row>
    <row r="24" spans="1:31" ht="15.75">
      <c r="A24" s="89">
        <v>19</v>
      </c>
      <c r="B24" s="70" t="s">
        <v>181</v>
      </c>
      <c r="C24" s="125" t="str">
        <f>VLOOKUP($B24,Lovelock!$B$8:$AD$28,MATCH('Master Sheet'!C$5,'HO '!$B$8:$AD$8,0),0)</f>
        <v>Amul Paul</v>
      </c>
      <c r="D24" s="125" t="str">
        <f>VLOOKUP($B24,Lovelock!$B$8:$AD$28,MATCH('Master Sheet'!D$5,'HO '!$B$8:$AD$8,0),0)</f>
        <v>Security Officer</v>
      </c>
      <c r="E24" s="125" t="s">
        <v>220</v>
      </c>
      <c r="F24" s="125">
        <f>VLOOKUP($B24,Lovelock!$B$8:$AD$28,MATCH('Master Sheet'!F$5,'HO '!$B$8:$AD$8,0),0)</f>
        <v>9132</v>
      </c>
      <c r="G24" s="125">
        <f>VLOOKUP($B24,Lovelock!$B$8:$AD$28,MATCH('Master Sheet'!G$5,'HO '!$B$8:$AD$8,0),0)</f>
        <v>2283</v>
      </c>
      <c r="H24" s="4">
        <f t="shared" si="0"/>
        <v>11415</v>
      </c>
      <c r="I24" s="5">
        <v>26</v>
      </c>
      <c r="J24" s="11">
        <f>VLOOKUP($B24,Lovelock!$B$8:$AD$28,MATCH('Master Sheet'!J$5,'HO '!$B$8:$AD$8,0),0)</f>
        <v>8</v>
      </c>
      <c r="K24" s="11">
        <f>VLOOKUP($B24,Lovelock!$B$8:$AD$28,MATCH('Master Sheet'!K$5,'HO '!$B$8:$AD$8,0),0)</f>
        <v>0</v>
      </c>
      <c r="L24" s="3">
        <f t="shared" si="1"/>
        <v>2809.8461538461538</v>
      </c>
      <c r="M24" s="3">
        <f t="shared" si="2"/>
        <v>702.46153846153845</v>
      </c>
      <c r="N24" s="3">
        <f t="shared" si="3"/>
        <v>0</v>
      </c>
      <c r="O24" s="6">
        <f t="shared" si="4"/>
        <v>3512.3076923076924</v>
      </c>
      <c r="P24" s="7">
        <f t="shared" si="5"/>
        <v>337</v>
      </c>
      <c r="Q24" s="7">
        <f t="shared" si="6"/>
        <v>62</v>
      </c>
      <c r="R24" s="8">
        <f t="shared" si="7"/>
        <v>0</v>
      </c>
      <c r="S24" s="125">
        <f>VLOOKUP($B24,Lovelock!$B$8:$AD$28,MATCH('Master Sheet'!S$5,'HO '!$B$8:$AD$8,0),0)</f>
        <v>0</v>
      </c>
      <c r="T24" s="125">
        <f>VLOOKUP($B24,Lovelock!$B$8:$AD$28,MATCH('Master Sheet'!T$5,'HO '!$B$8:$AD$8,0),0)</f>
        <v>0</v>
      </c>
      <c r="U24" s="9">
        <f t="shared" si="8"/>
        <v>399</v>
      </c>
      <c r="V24" s="44">
        <f t="shared" si="9"/>
        <v>3113.3076923076924</v>
      </c>
      <c r="W24" s="7">
        <f t="shared" si="10"/>
        <v>0</v>
      </c>
      <c r="X24" s="5">
        <f t="shared" si="11"/>
        <v>234.15384615384616</v>
      </c>
      <c r="Y24" s="6">
        <f t="shared" si="12"/>
        <v>3347.4615384615386</v>
      </c>
      <c r="Z24" s="7"/>
      <c r="AA24" s="7">
        <f t="shared" si="13"/>
        <v>2810</v>
      </c>
      <c r="AB24" s="7">
        <f t="shared" si="14"/>
        <v>375</v>
      </c>
      <c r="AC24" s="7">
        <f t="shared" si="15"/>
        <v>3512</v>
      </c>
      <c r="AD24" s="7">
        <f t="shared" si="16"/>
        <v>167</v>
      </c>
      <c r="AE24" s="83">
        <f t="shared" si="17"/>
        <v>4288.461538461539</v>
      </c>
    </row>
    <row r="25" spans="1:31" ht="15.75">
      <c r="A25" s="89">
        <v>20</v>
      </c>
      <c r="B25" s="70" t="s">
        <v>182</v>
      </c>
      <c r="C25" s="125" t="str">
        <f>VLOOKUP($B25,Lovelock!$B$8:$AD$28,MATCH('Master Sheet'!C$5,'HO '!$B$8:$AD$8,0),0)</f>
        <v>Subhas Ch. Sardar</v>
      </c>
      <c r="D25" s="125" t="str">
        <f>VLOOKUP($B25,Lovelock!$B$8:$AD$28,MATCH('Master Sheet'!D$5,'HO '!$B$8:$AD$8,0),0)</f>
        <v>Security Officer</v>
      </c>
      <c r="E25" s="125" t="s">
        <v>220</v>
      </c>
      <c r="F25" s="125">
        <f>VLOOKUP($B25,Lovelock!$B$8:$AD$28,MATCH('Master Sheet'!F$5,'HO '!$B$8:$AD$8,0),0)</f>
        <v>9132</v>
      </c>
      <c r="G25" s="125">
        <f>VLOOKUP($B25,Lovelock!$B$8:$AD$28,MATCH('Master Sheet'!G$5,'HO '!$B$8:$AD$8,0),0)</f>
        <v>2283</v>
      </c>
      <c r="H25" s="4">
        <f t="shared" si="0"/>
        <v>11415</v>
      </c>
      <c r="I25" s="5">
        <v>26</v>
      </c>
      <c r="J25" s="11">
        <f>VLOOKUP($B25,Lovelock!$B$8:$AD$28,MATCH('Master Sheet'!J$5,'HO '!$B$8:$AD$8,0),0)</f>
        <v>1</v>
      </c>
      <c r="K25" s="11">
        <f>VLOOKUP($B25,Lovelock!$B$8:$AD$28,MATCH('Master Sheet'!K$5,'HO '!$B$8:$AD$8,0),0)</f>
        <v>0</v>
      </c>
      <c r="L25" s="3">
        <f t="shared" si="1"/>
        <v>351.23076923076923</v>
      </c>
      <c r="M25" s="3">
        <f t="shared" si="2"/>
        <v>87.807692307692307</v>
      </c>
      <c r="N25" s="3">
        <f t="shared" si="3"/>
        <v>0</v>
      </c>
      <c r="O25" s="6">
        <f t="shared" si="4"/>
        <v>439.03846153846155</v>
      </c>
      <c r="P25" s="7">
        <f t="shared" si="5"/>
        <v>42</v>
      </c>
      <c r="Q25" s="7">
        <f t="shared" si="6"/>
        <v>8</v>
      </c>
      <c r="R25" s="8">
        <f t="shared" si="7"/>
        <v>0</v>
      </c>
      <c r="S25" s="125">
        <f>VLOOKUP($B25,Lovelock!$B$8:$AD$28,MATCH('Master Sheet'!S$5,'HO '!$B$8:$AD$8,0),0)</f>
        <v>0</v>
      </c>
      <c r="T25" s="125">
        <f>VLOOKUP($B25,Lovelock!$B$8:$AD$28,MATCH('Master Sheet'!T$5,'HO '!$B$8:$AD$8,0),0)</f>
        <v>0</v>
      </c>
      <c r="U25" s="9">
        <f t="shared" si="8"/>
        <v>50</v>
      </c>
      <c r="V25" s="44">
        <f t="shared" si="9"/>
        <v>389.03846153846155</v>
      </c>
      <c r="W25" s="7">
        <f t="shared" si="10"/>
        <v>0</v>
      </c>
      <c r="X25" s="5">
        <f t="shared" si="11"/>
        <v>29.26923076923077</v>
      </c>
      <c r="Y25" s="6">
        <f t="shared" si="12"/>
        <v>418.30769230769232</v>
      </c>
      <c r="Z25" s="7"/>
      <c r="AA25" s="7">
        <f t="shared" si="13"/>
        <v>351</v>
      </c>
      <c r="AB25" s="7">
        <f t="shared" si="14"/>
        <v>47</v>
      </c>
      <c r="AC25" s="7">
        <f t="shared" si="15"/>
        <v>439</v>
      </c>
      <c r="AD25" s="7">
        <f t="shared" si="16"/>
        <v>21</v>
      </c>
      <c r="AE25" s="83">
        <f t="shared" si="17"/>
        <v>536.30769230769238</v>
      </c>
    </row>
    <row r="26" spans="1:31">
      <c r="A26" s="89">
        <v>22</v>
      </c>
      <c r="B26" s="70" t="s">
        <v>184</v>
      </c>
      <c r="C26" s="125" t="str">
        <f>VLOOKUP($B26,Gangetica!$B$8:$AD$29,MATCH('Master Sheet'!C$5,'HO '!$B$8:$AD$8,0),0)</f>
        <v>Rakesh Mukherjee</v>
      </c>
      <c r="D26" s="125" t="str">
        <f>VLOOKUP($B26,Gangetica!$B$8:$AD$29,MATCH('Master Sheet'!D$5,'HO '!$B$8:$AD$8,0),0)</f>
        <v>Security Guard</v>
      </c>
      <c r="E26" s="125" t="s">
        <v>54</v>
      </c>
      <c r="F26" s="125">
        <f>VLOOKUP($B26,Gangetica!$B$8:$AD$29,MATCH('Master Sheet'!F$5,'HO '!$B$8:$AD$8,0),0)</f>
        <v>7546</v>
      </c>
      <c r="G26" s="125">
        <f>VLOOKUP($B26,Gangetica!$B$8:$AD$29,MATCH('Master Sheet'!G$5,'HO '!$B$8:$AD$8,0),0)</f>
        <v>1887</v>
      </c>
      <c r="H26" s="4">
        <f t="shared" si="0"/>
        <v>9433</v>
      </c>
      <c r="I26" s="5">
        <v>26</v>
      </c>
      <c r="J26" s="11">
        <f>VLOOKUP($B26,Gangetica!$B$8:$AD$29,MATCH('Master Sheet'!J$5,'HO '!$B$8:$AD$8,0),0)</f>
        <v>26</v>
      </c>
      <c r="K26" s="11">
        <f>VLOOKUP($B26,Gangetica!$B$8:$AD$29,MATCH('Master Sheet'!K$5,'HO '!$B$8:$AD$8,0),0)</f>
        <v>2</v>
      </c>
      <c r="L26" s="3">
        <f t="shared" si="1"/>
        <v>7546</v>
      </c>
      <c r="M26" s="3">
        <f t="shared" si="2"/>
        <v>1887</v>
      </c>
      <c r="N26" s="3">
        <f t="shared" si="3"/>
        <v>725.61538461538464</v>
      </c>
      <c r="O26" s="6">
        <f t="shared" si="4"/>
        <v>10158.615384615385</v>
      </c>
      <c r="P26" s="7">
        <f t="shared" si="5"/>
        <v>906</v>
      </c>
      <c r="Q26" s="7">
        <f t="shared" si="6"/>
        <v>178</v>
      </c>
      <c r="R26" s="8">
        <f t="shared" si="7"/>
        <v>110</v>
      </c>
      <c r="S26" s="125">
        <f>VLOOKUP($B26,Gangetica!$B$8:$AD$29,MATCH('Master Sheet'!S$5,'HO '!$B$8:$AD$8,0),0)</f>
        <v>5000</v>
      </c>
      <c r="T26" s="125">
        <f>VLOOKUP($B26,Gangetica!$B$8:$AD$29,MATCH('Master Sheet'!T$5,'HO '!$B$8:$AD$8,0),0)</f>
        <v>0</v>
      </c>
      <c r="U26" s="9">
        <f t="shared" si="8"/>
        <v>6194</v>
      </c>
      <c r="V26" s="68">
        <f t="shared" si="9"/>
        <v>3964.6153846153848</v>
      </c>
      <c r="W26" s="7">
        <f t="shared" si="10"/>
        <v>77.549661538461535</v>
      </c>
      <c r="X26" s="5">
        <f t="shared" si="11"/>
        <v>628.83333333333337</v>
      </c>
      <c r="Y26" s="68">
        <f t="shared" si="12"/>
        <v>4670.9983794871796</v>
      </c>
      <c r="Z26" s="7"/>
      <c r="AA26" s="7">
        <f t="shared" si="13"/>
        <v>7546</v>
      </c>
      <c r="AB26" s="7">
        <f t="shared" si="14"/>
        <v>1008</v>
      </c>
      <c r="AC26" s="7">
        <f t="shared" si="15"/>
        <v>10159</v>
      </c>
      <c r="AD26" s="7">
        <f t="shared" si="16"/>
        <v>483</v>
      </c>
      <c r="AE26" s="83">
        <f t="shared" si="17"/>
        <v>12355.998379487181</v>
      </c>
    </row>
    <row r="27" spans="1:31">
      <c r="A27" s="89">
        <v>23</v>
      </c>
      <c r="B27" s="70" t="s">
        <v>185</v>
      </c>
      <c r="C27" s="125" t="str">
        <f>VLOOKUP($B27,Gangetica!$B$8:$AD$29,MATCH('Master Sheet'!C$5,'HO '!$B$8:$AD$8,0),0)</f>
        <v>Sanjay Ghosh</v>
      </c>
      <c r="D27" s="125" t="str">
        <f>VLOOKUP($B27,Gangetica!$B$8:$AD$29,MATCH('Master Sheet'!D$5,'HO '!$B$8:$AD$8,0),0)</f>
        <v>Security Guard</v>
      </c>
      <c r="E27" s="125" t="s">
        <v>54</v>
      </c>
      <c r="F27" s="125">
        <f>VLOOKUP($B27,Gangetica!$B$8:$AD$29,MATCH('Master Sheet'!F$5,'HO '!$B$8:$AD$8,0),0)</f>
        <v>7546</v>
      </c>
      <c r="G27" s="125">
        <f>VLOOKUP($B27,Gangetica!$B$8:$AD$29,MATCH('Master Sheet'!G$5,'HO '!$B$8:$AD$8,0),0)</f>
        <v>1887</v>
      </c>
      <c r="H27" s="4">
        <f t="shared" si="0"/>
        <v>9433</v>
      </c>
      <c r="I27" s="5">
        <v>26</v>
      </c>
      <c r="J27" s="11">
        <f>VLOOKUP($B27,Gangetica!$B$8:$AD$29,MATCH('Master Sheet'!J$5,'HO '!$B$8:$AD$8,0),0)</f>
        <v>26</v>
      </c>
      <c r="K27" s="11">
        <f>VLOOKUP($B27,Gangetica!$B$8:$AD$29,MATCH('Master Sheet'!K$5,'HO '!$B$8:$AD$8,0),0)</f>
        <v>1</v>
      </c>
      <c r="L27" s="3">
        <f t="shared" si="1"/>
        <v>7546</v>
      </c>
      <c r="M27" s="3">
        <f t="shared" si="2"/>
        <v>1887</v>
      </c>
      <c r="N27" s="3">
        <f t="shared" si="3"/>
        <v>362.80769230769232</v>
      </c>
      <c r="O27" s="6">
        <f t="shared" si="4"/>
        <v>9795.8076923076915</v>
      </c>
      <c r="P27" s="7">
        <f t="shared" si="5"/>
        <v>906</v>
      </c>
      <c r="Q27" s="7">
        <f t="shared" si="6"/>
        <v>172</v>
      </c>
      <c r="R27" s="8">
        <f t="shared" si="7"/>
        <v>0</v>
      </c>
      <c r="S27" s="125">
        <f>VLOOKUP($B27,Gangetica!$B$8:$AD$29,MATCH('Master Sheet'!S$5,'HO '!$B$8:$AD$8,0),0)</f>
        <v>0</v>
      </c>
      <c r="T27" s="125">
        <f>VLOOKUP($B27,Gangetica!$B$8:$AD$29,MATCH('Master Sheet'!T$5,'HO '!$B$8:$AD$8,0),0)</f>
        <v>0</v>
      </c>
      <c r="U27" s="9">
        <f t="shared" si="8"/>
        <v>1078</v>
      </c>
      <c r="V27" s="68">
        <f t="shared" si="9"/>
        <v>8717.8076923076915</v>
      </c>
      <c r="W27" s="7">
        <f t="shared" si="10"/>
        <v>38.774830769230768</v>
      </c>
      <c r="X27" s="5">
        <f t="shared" si="11"/>
        <v>628.83333333333337</v>
      </c>
      <c r="Y27" s="68">
        <f t="shared" si="12"/>
        <v>9385.4158564102563</v>
      </c>
      <c r="Z27" s="7"/>
      <c r="AA27" s="7">
        <f t="shared" si="13"/>
        <v>7546</v>
      </c>
      <c r="AB27" s="7">
        <f t="shared" si="14"/>
        <v>1008</v>
      </c>
      <c r="AC27" s="7">
        <f t="shared" si="15"/>
        <v>9796</v>
      </c>
      <c r="AD27" s="7">
        <f t="shared" si="16"/>
        <v>466</v>
      </c>
      <c r="AE27" s="83">
        <f t="shared" si="17"/>
        <v>11937.415856410256</v>
      </c>
    </row>
    <row r="28" spans="1:31">
      <c r="A28" s="89">
        <v>24</v>
      </c>
      <c r="B28" s="70" t="s">
        <v>186</v>
      </c>
      <c r="C28" s="125" t="str">
        <f>VLOOKUP($B28,Gangetica!$B$8:$AD$29,MATCH('Master Sheet'!C$5,'HO '!$B$8:$AD$8,0),0)</f>
        <v>Robin Sen</v>
      </c>
      <c r="D28" s="125" t="str">
        <f>VLOOKUP($B28,Gangetica!$B$8:$AD$29,MATCH('Master Sheet'!D$5,'HO '!$B$8:$AD$8,0),0)</f>
        <v>Security Guard</v>
      </c>
      <c r="E28" s="125" t="s">
        <v>54</v>
      </c>
      <c r="F28" s="125">
        <f>VLOOKUP($B28,Gangetica!$B$8:$AD$29,MATCH('Master Sheet'!F$5,'HO '!$B$8:$AD$8,0),0)</f>
        <v>7546</v>
      </c>
      <c r="G28" s="125">
        <f>VLOOKUP($B28,Gangetica!$B$8:$AD$29,MATCH('Master Sheet'!G$5,'HO '!$B$8:$AD$8,0),0)</f>
        <v>1887</v>
      </c>
      <c r="H28" s="4">
        <f t="shared" si="0"/>
        <v>9433</v>
      </c>
      <c r="I28" s="5">
        <v>26</v>
      </c>
      <c r="J28" s="11">
        <f>VLOOKUP($B28,Gangetica!$B$8:$AD$29,MATCH('Master Sheet'!J$5,'HO '!$B$8:$AD$8,0),0)</f>
        <v>26</v>
      </c>
      <c r="K28" s="11">
        <f>VLOOKUP($B28,Gangetica!$B$8:$AD$29,MATCH('Master Sheet'!K$5,'HO '!$B$8:$AD$8,0),0)</f>
        <v>2</v>
      </c>
      <c r="L28" s="3">
        <f t="shared" si="1"/>
        <v>7546</v>
      </c>
      <c r="M28" s="3">
        <f t="shared" si="2"/>
        <v>1887</v>
      </c>
      <c r="N28" s="3">
        <f t="shared" si="3"/>
        <v>725.61538461538464</v>
      </c>
      <c r="O28" s="6">
        <f t="shared" si="4"/>
        <v>10158.615384615385</v>
      </c>
      <c r="P28" s="7">
        <f t="shared" si="5"/>
        <v>906</v>
      </c>
      <c r="Q28" s="7">
        <f t="shared" si="6"/>
        <v>178</v>
      </c>
      <c r="R28" s="8">
        <f t="shared" si="7"/>
        <v>110</v>
      </c>
      <c r="S28" s="125">
        <f>VLOOKUP($B28,Gangetica!$B$8:$AD$29,MATCH('Master Sheet'!S$5,'HO '!$B$8:$AD$8,0),0)</f>
        <v>0</v>
      </c>
      <c r="T28" s="125">
        <f>VLOOKUP($B28,Gangetica!$B$8:$AD$29,MATCH('Master Sheet'!T$5,'HO '!$B$8:$AD$8,0),0)</f>
        <v>0</v>
      </c>
      <c r="U28" s="9">
        <f t="shared" si="8"/>
        <v>1194</v>
      </c>
      <c r="V28" s="68">
        <f t="shared" si="9"/>
        <v>8964.6153846153848</v>
      </c>
      <c r="W28" s="7">
        <f t="shared" si="10"/>
        <v>77.549661538461535</v>
      </c>
      <c r="X28" s="5">
        <f t="shared" si="11"/>
        <v>628.83333333333337</v>
      </c>
      <c r="Y28" s="68">
        <f t="shared" si="12"/>
        <v>9670.9983794871805</v>
      </c>
      <c r="Z28" s="7"/>
      <c r="AA28" s="7">
        <f t="shared" si="13"/>
        <v>7546</v>
      </c>
      <c r="AB28" s="7">
        <f t="shared" si="14"/>
        <v>1008</v>
      </c>
      <c r="AC28" s="7">
        <f t="shared" si="15"/>
        <v>10159</v>
      </c>
      <c r="AD28" s="7">
        <f t="shared" si="16"/>
        <v>483</v>
      </c>
      <c r="AE28" s="83">
        <f t="shared" si="17"/>
        <v>12355.998379487181</v>
      </c>
    </row>
    <row r="29" spans="1:31">
      <c r="A29" s="89">
        <v>25</v>
      </c>
      <c r="B29" s="70" t="s">
        <v>187</v>
      </c>
      <c r="C29" s="125" t="str">
        <f>VLOOKUP($B29,Gangetica!$B$8:$AD$29,MATCH('Master Sheet'!C$5,'HO '!$B$8:$AD$8,0),0)</f>
        <v>Mintu Das</v>
      </c>
      <c r="D29" s="125" t="str">
        <f>VLOOKUP($B29,Gangetica!$B$8:$AD$29,MATCH('Master Sheet'!D$5,'HO '!$B$8:$AD$8,0),0)</f>
        <v>Security Guard</v>
      </c>
      <c r="E29" s="125" t="s">
        <v>54</v>
      </c>
      <c r="F29" s="125">
        <f>VLOOKUP($B29,Gangetica!$B$8:$AD$29,MATCH('Master Sheet'!F$5,'HO '!$B$8:$AD$8,0),0)</f>
        <v>7546</v>
      </c>
      <c r="G29" s="125">
        <f>VLOOKUP($B29,Gangetica!$B$8:$AD$29,MATCH('Master Sheet'!G$5,'HO '!$B$8:$AD$8,0),0)</f>
        <v>1887</v>
      </c>
      <c r="H29" s="4">
        <f t="shared" si="0"/>
        <v>9433</v>
      </c>
      <c r="I29" s="5">
        <v>26</v>
      </c>
      <c r="J29" s="11">
        <f>VLOOKUP($B29,Gangetica!$B$8:$AD$29,MATCH('Master Sheet'!J$5,'HO '!$B$8:$AD$8,0),0)</f>
        <v>26</v>
      </c>
      <c r="K29" s="11">
        <f>VLOOKUP($B29,Gangetica!$B$8:$AD$29,MATCH('Master Sheet'!K$5,'HO '!$B$8:$AD$8,0),0)</f>
        <v>1</v>
      </c>
      <c r="L29" s="3">
        <f t="shared" si="1"/>
        <v>7546</v>
      </c>
      <c r="M29" s="3">
        <f t="shared" si="2"/>
        <v>1887</v>
      </c>
      <c r="N29" s="3">
        <f t="shared" si="3"/>
        <v>362.80769230769232</v>
      </c>
      <c r="O29" s="6">
        <f t="shared" si="4"/>
        <v>9795.8076923076915</v>
      </c>
      <c r="P29" s="7">
        <f t="shared" si="5"/>
        <v>906</v>
      </c>
      <c r="Q29" s="7">
        <f t="shared" si="6"/>
        <v>172</v>
      </c>
      <c r="R29" s="8">
        <f t="shared" si="7"/>
        <v>0</v>
      </c>
      <c r="S29" s="125">
        <f>VLOOKUP($B29,Gangetica!$B$8:$AD$29,MATCH('Master Sheet'!S$5,'HO '!$B$8:$AD$8,0),0)</f>
        <v>0</v>
      </c>
      <c r="T29" s="125">
        <f>VLOOKUP($B29,Gangetica!$B$8:$AD$29,MATCH('Master Sheet'!T$5,'HO '!$B$8:$AD$8,0),0)</f>
        <v>0</v>
      </c>
      <c r="U29" s="9">
        <f t="shared" si="8"/>
        <v>1078</v>
      </c>
      <c r="V29" s="68">
        <f t="shared" si="9"/>
        <v>8717.8076923076915</v>
      </c>
      <c r="W29" s="7">
        <f t="shared" si="10"/>
        <v>38.774830769230768</v>
      </c>
      <c r="X29" s="5">
        <f t="shared" si="11"/>
        <v>628.83333333333337</v>
      </c>
      <c r="Y29" s="68">
        <f t="shared" si="12"/>
        <v>9385.4158564102563</v>
      </c>
      <c r="Z29" s="7"/>
      <c r="AA29" s="7">
        <f t="shared" si="13"/>
        <v>7546</v>
      </c>
      <c r="AB29" s="7">
        <f t="shared" si="14"/>
        <v>1008</v>
      </c>
      <c r="AC29" s="7">
        <f t="shared" si="15"/>
        <v>9796</v>
      </c>
      <c r="AD29" s="7">
        <f t="shared" si="16"/>
        <v>466</v>
      </c>
      <c r="AE29" s="83">
        <f t="shared" si="17"/>
        <v>11937.415856410256</v>
      </c>
    </row>
    <row r="30" spans="1:31">
      <c r="A30" s="89">
        <v>26</v>
      </c>
      <c r="B30" s="70" t="s">
        <v>188</v>
      </c>
      <c r="C30" s="125" t="str">
        <f>VLOOKUP($B30,Gangetica!$B$8:$AD$29,MATCH('Master Sheet'!C$5,'HO '!$B$8:$AD$8,0),0)</f>
        <v>Swapan Das</v>
      </c>
      <c r="D30" s="125" t="str">
        <f>VLOOKUP($B30,Gangetica!$B$8:$AD$29,MATCH('Master Sheet'!D$5,'HO '!$B$8:$AD$8,0),0)</f>
        <v>Security Guard</v>
      </c>
      <c r="E30" s="125" t="s">
        <v>54</v>
      </c>
      <c r="F30" s="125">
        <f>VLOOKUP($B30,Gangetica!$B$8:$AD$29,MATCH('Master Sheet'!F$5,'HO '!$B$8:$AD$8,0),0)</f>
        <v>7546</v>
      </c>
      <c r="G30" s="125">
        <f>VLOOKUP($B30,Gangetica!$B$8:$AD$29,MATCH('Master Sheet'!G$5,'HO '!$B$8:$AD$8,0),0)</f>
        <v>1887</v>
      </c>
      <c r="H30" s="4">
        <f t="shared" si="0"/>
        <v>9433</v>
      </c>
      <c r="I30" s="5">
        <v>26</v>
      </c>
      <c r="J30" s="11">
        <f>VLOOKUP($B30,Gangetica!$B$8:$AD$29,MATCH('Master Sheet'!J$5,'HO '!$B$8:$AD$8,0),0)</f>
        <v>26</v>
      </c>
      <c r="K30" s="11">
        <f>VLOOKUP($B30,Gangetica!$B$8:$AD$29,MATCH('Master Sheet'!K$5,'HO '!$B$8:$AD$8,0),0)</f>
        <v>2</v>
      </c>
      <c r="L30" s="3">
        <f t="shared" si="1"/>
        <v>7546</v>
      </c>
      <c r="M30" s="3">
        <f t="shared" si="2"/>
        <v>1887</v>
      </c>
      <c r="N30" s="3">
        <f t="shared" si="3"/>
        <v>725.61538461538464</v>
      </c>
      <c r="O30" s="6">
        <f t="shared" si="4"/>
        <v>10158.615384615385</v>
      </c>
      <c r="P30" s="7">
        <f t="shared" si="5"/>
        <v>906</v>
      </c>
      <c r="Q30" s="7">
        <f t="shared" si="6"/>
        <v>178</v>
      </c>
      <c r="R30" s="8">
        <f t="shared" si="7"/>
        <v>110</v>
      </c>
      <c r="S30" s="125">
        <f>VLOOKUP($B30,Gangetica!$B$8:$AD$29,MATCH('Master Sheet'!S$5,'HO '!$B$8:$AD$8,0),0)</f>
        <v>0</v>
      </c>
      <c r="T30" s="125">
        <f>VLOOKUP($B30,Gangetica!$B$8:$AD$29,MATCH('Master Sheet'!T$5,'HO '!$B$8:$AD$8,0),0)</f>
        <v>0</v>
      </c>
      <c r="U30" s="9">
        <f t="shared" si="8"/>
        <v>1194</v>
      </c>
      <c r="V30" s="68">
        <f t="shared" si="9"/>
        <v>8964.6153846153848</v>
      </c>
      <c r="W30" s="7">
        <f t="shared" si="10"/>
        <v>77.549661538461535</v>
      </c>
      <c r="X30" s="5">
        <f t="shared" si="11"/>
        <v>628.83333333333337</v>
      </c>
      <c r="Y30" s="68">
        <f t="shared" si="12"/>
        <v>9670.9983794871805</v>
      </c>
      <c r="Z30" s="7"/>
      <c r="AA30" s="7">
        <f t="shared" si="13"/>
        <v>7546</v>
      </c>
      <c r="AB30" s="7">
        <f t="shared" si="14"/>
        <v>1008</v>
      </c>
      <c r="AC30" s="7">
        <f t="shared" si="15"/>
        <v>10159</v>
      </c>
      <c r="AD30" s="7">
        <f t="shared" si="16"/>
        <v>483</v>
      </c>
      <c r="AE30" s="83">
        <f t="shared" si="17"/>
        <v>12355.998379487181</v>
      </c>
    </row>
    <row r="31" spans="1:31" ht="24">
      <c r="A31" s="89">
        <v>27</v>
      </c>
      <c r="B31" s="70" t="s">
        <v>189</v>
      </c>
      <c r="C31" s="125" t="str">
        <f>VLOOKUP($B31,Gangetica!$B$8:$AD$29,MATCH('Master Sheet'!C$5,'HO '!$B$8:$AD$8,0),0)</f>
        <v>Narayan Dey</v>
      </c>
      <c r="D31" s="125" t="str">
        <f>VLOOKUP($B31,Gangetica!$B$8:$AD$29,MATCH('Master Sheet'!D$5,'HO '!$B$8:$AD$8,0),0)</f>
        <v>Security Guard - Reliver</v>
      </c>
      <c r="E31" s="125" t="s">
        <v>54</v>
      </c>
      <c r="F31" s="125">
        <f>VLOOKUP($B31,Gangetica!$B$8:$AD$29,MATCH('Master Sheet'!F$5,'HO '!$B$8:$AD$8,0),0)</f>
        <v>7546</v>
      </c>
      <c r="G31" s="125">
        <f>VLOOKUP($B31,Gangetica!$B$8:$AD$29,MATCH('Master Sheet'!G$5,'HO '!$B$8:$AD$8,0),0)</f>
        <v>1887</v>
      </c>
      <c r="H31" s="4">
        <f t="shared" si="0"/>
        <v>9433</v>
      </c>
      <c r="I31" s="5">
        <v>26</v>
      </c>
      <c r="J31" s="11">
        <f>VLOOKUP($B31,Gangetica!$B$8:$AD$29,MATCH('Master Sheet'!J$5,'HO '!$B$8:$AD$8,0),0)</f>
        <v>22</v>
      </c>
      <c r="K31" s="11">
        <f>VLOOKUP($B31,Gangetica!$B$8:$AD$29,MATCH('Master Sheet'!K$5,'HO '!$B$8:$AD$8,0),0)</f>
        <v>0</v>
      </c>
      <c r="L31" s="3">
        <f t="shared" si="1"/>
        <v>6385.0769230769229</v>
      </c>
      <c r="M31" s="3">
        <f t="shared" si="2"/>
        <v>1596.6923076923078</v>
      </c>
      <c r="N31" s="3">
        <f t="shared" si="3"/>
        <v>0</v>
      </c>
      <c r="O31" s="6">
        <f t="shared" si="4"/>
        <v>7981.7692307692305</v>
      </c>
      <c r="P31" s="7">
        <f t="shared" si="5"/>
        <v>766</v>
      </c>
      <c r="Q31" s="7">
        <f t="shared" si="6"/>
        <v>140</v>
      </c>
      <c r="R31" s="8">
        <f t="shared" si="7"/>
        <v>0</v>
      </c>
      <c r="S31" s="125">
        <f>VLOOKUP($B31,Gangetica!$B$8:$AD$29,MATCH('Master Sheet'!S$5,'HO '!$B$8:$AD$8,0),0)</f>
        <v>0</v>
      </c>
      <c r="T31" s="125">
        <f>VLOOKUP($B31,Gangetica!$B$8:$AD$29,MATCH('Master Sheet'!T$5,'HO '!$B$8:$AD$8,0),0)</f>
        <v>0</v>
      </c>
      <c r="U31" s="9">
        <f t="shared" si="8"/>
        <v>906</v>
      </c>
      <c r="V31" s="44">
        <f t="shared" si="9"/>
        <v>7075.7692307692305</v>
      </c>
      <c r="W31" s="7">
        <f t="shared" si="10"/>
        <v>0</v>
      </c>
      <c r="X31" s="5">
        <f t="shared" si="11"/>
        <v>532.08974358974365</v>
      </c>
      <c r="Y31" s="6">
        <f t="shared" si="12"/>
        <v>7607.8589743589746</v>
      </c>
      <c r="Z31" s="7"/>
      <c r="AA31" s="7">
        <f t="shared" si="13"/>
        <v>6385</v>
      </c>
      <c r="AB31" s="7">
        <f t="shared" si="14"/>
        <v>853</v>
      </c>
      <c r="AC31" s="7">
        <f t="shared" si="15"/>
        <v>7982</v>
      </c>
      <c r="AD31" s="7">
        <f t="shared" si="16"/>
        <v>380</v>
      </c>
      <c r="AE31" s="83">
        <f t="shared" si="17"/>
        <v>9746.8589743589746</v>
      </c>
    </row>
    <row r="32" spans="1:31" ht="15.75">
      <c r="A32" s="89">
        <v>28</v>
      </c>
      <c r="B32" s="70" t="s">
        <v>190</v>
      </c>
      <c r="C32" s="125" t="str">
        <f>VLOOKUP($B32,Gangetica!$B$8:$AD$29,MATCH('Master Sheet'!C$5,'HO '!$B$8:$AD$8,0),0)</f>
        <v>Sukumar Debnath</v>
      </c>
      <c r="D32" s="125" t="str">
        <f>VLOOKUP($B32,Gangetica!$B$8:$AD$29,MATCH('Master Sheet'!D$5,'HO '!$B$8:$AD$8,0),0)</f>
        <v>Housekeeping</v>
      </c>
      <c r="E32" s="125" t="s">
        <v>54</v>
      </c>
      <c r="F32" s="125">
        <f>VLOOKUP($B32,Gangetica!$B$8:$AD$29,MATCH('Master Sheet'!F$5,'HO '!$B$8:$AD$8,0),0)</f>
        <v>7546</v>
      </c>
      <c r="G32" s="125">
        <f>VLOOKUP($B32,Gangetica!$B$8:$AD$29,MATCH('Master Sheet'!G$5,'HO '!$B$8:$AD$8,0),0)</f>
        <v>0</v>
      </c>
      <c r="H32" s="4">
        <f t="shared" si="0"/>
        <v>7546</v>
      </c>
      <c r="I32" s="5">
        <v>26</v>
      </c>
      <c r="J32" s="11">
        <f>VLOOKUP($B32,Gangetica!$B$8:$AD$29,MATCH('Master Sheet'!J$5,'HO '!$B$8:$AD$8,0),0)</f>
        <v>26</v>
      </c>
      <c r="K32" s="11">
        <f>VLOOKUP($B32,Gangetica!$B$8:$AD$29,MATCH('Master Sheet'!K$5,'HO '!$B$8:$AD$8,0),0)</f>
        <v>0</v>
      </c>
      <c r="L32" s="3">
        <f t="shared" si="1"/>
        <v>7546</v>
      </c>
      <c r="M32" s="3">
        <f t="shared" si="2"/>
        <v>0</v>
      </c>
      <c r="N32" s="3">
        <f t="shared" si="3"/>
        <v>0</v>
      </c>
      <c r="O32" s="6">
        <f t="shared" si="4"/>
        <v>7546</v>
      </c>
      <c r="P32" s="7">
        <f t="shared" si="5"/>
        <v>906</v>
      </c>
      <c r="Q32" s="7">
        <f t="shared" si="6"/>
        <v>133</v>
      </c>
      <c r="R32" s="8">
        <f t="shared" si="7"/>
        <v>0</v>
      </c>
      <c r="S32" s="125">
        <f>VLOOKUP($B32,Gangetica!$B$8:$AD$29,MATCH('Master Sheet'!S$5,'HO '!$B$8:$AD$8,0),0)</f>
        <v>0</v>
      </c>
      <c r="T32" s="125">
        <f>VLOOKUP($B32,Gangetica!$B$8:$AD$29,MATCH('Master Sheet'!T$5,'HO '!$B$8:$AD$8,0),0)</f>
        <v>0</v>
      </c>
      <c r="U32" s="9">
        <f t="shared" si="8"/>
        <v>1039</v>
      </c>
      <c r="V32" s="44">
        <f t="shared" si="9"/>
        <v>6507</v>
      </c>
      <c r="W32" s="7">
        <f t="shared" si="10"/>
        <v>0</v>
      </c>
      <c r="X32" s="5">
        <f t="shared" si="11"/>
        <v>628.83333333333337</v>
      </c>
      <c r="Y32" s="6">
        <f t="shared" si="12"/>
        <v>7135.833333333333</v>
      </c>
      <c r="Z32" s="7"/>
      <c r="AA32" s="7">
        <f t="shared" si="13"/>
        <v>7546</v>
      </c>
      <c r="AB32" s="7">
        <f t="shared" si="14"/>
        <v>1008</v>
      </c>
      <c r="AC32" s="7">
        <f t="shared" si="15"/>
        <v>7546</v>
      </c>
      <c r="AD32" s="7">
        <f t="shared" si="16"/>
        <v>359</v>
      </c>
      <c r="AE32" s="83">
        <f t="shared" si="17"/>
        <v>9541.8333333333321</v>
      </c>
    </row>
    <row r="33" spans="1:31" ht="15.75">
      <c r="A33" s="89">
        <v>29</v>
      </c>
      <c r="B33" s="70" t="s">
        <v>191</v>
      </c>
      <c r="C33" s="125" t="str">
        <f>VLOOKUP($B33,Gangetica!$B$8:$AD$29,MATCH('Master Sheet'!C$5,'HO '!$B$8:$AD$8,0),0)</f>
        <v>Samiran Mallick</v>
      </c>
      <c r="D33" s="125" t="str">
        <f>VLOOKUP($B33,Gangetica!$B$8:$AD$29,MATCH('Master Sheet'!D$5,'HO '!$B$8:$AD$8,0),0)</f>
        <v>Housekeeping</v>
      </c>
      <c r="E33" s="125" t="s">
        <v>54</v>
      </c>
      <c r="F33" s="125">
        <f>VLOOKUP($B33,Gangetica!$B$8:$AD$29,MATCH('Master Sheet'!F$5,'HO '!$B$8:$AD$8,0),0)</f>
        <v>7546</v>
      </c>
      <c r="G33" s="125">
        <f>VLOOKUP($B33,Gangetica!$B$8:$AD$29,MATCH('Master Sheet'!G$5,'HO '!$B$8:$AD$8,0),0)</f>
        <v>0</v>
      </c>
      <c r="H33" s="4">
        <f t="shared" si="0"/>
        <v>7546</v>
      </c>
      <c r="I33" s="5">
        <v>26</v>
      </c>
      <c r="J33" s="11">
        <f>VLOOKUP($B33,Gangetica!$B$8:$AD$29,MATCH('Master Sheet'!J$5,'HO '!$B$8:$AD$8,0),0)</f>
        <v>6</v>
      </c>
      <c r="K33" s="11">
        <f>VLOOKUP($B33,Gangetica!$B$8:$AD$29,MATCH('Master Sheet'!K$5,'HO '!$B$8:$AD$8,0),0)</f>
        <v>0</v>
      </c>
      <c r="L33" s="3">
        <f t="shared" si="1"/>
        <v>1741.3846153846152</v>
      </c>
      <c r="M33" s="3">
        <f t="shared" si="2"/>
        <v>0</v>
      </c>
      <c r="N33" s="3">
        <f t="shared" si="3"/>
        <v>0</v>
      </c>
      <c r="O33" s="6">
        <f t="shared" si="4"/>
        <v>1741.3846153846152</v>
      </c>
      <c r="P33" s="7">
        <f t="shared" si="5"/>
        <v>209</v>
      </c>
      <c r="Q33" s="7">
        <f t="shared" si="6"/>
        <v>31</v>
      </c>
      <c r="R33" s="8">
        <f t="shared" si="7"/>
        <v>0</v>
      </c>
      <c r="S33" s="125">
        <f>VLOOKUP($B33,Gangetica!$B$8:$AD$29,MATCH('Master Sheet'!S$5,'HO '!$B$8:$AD$8,0),0)</f>
        <v>0</v>
      </c>
      <c r="T33" s="125">
        <f>VLOOKUP($B33,Gangetica!$B$8:$AD$29,MATCH('Master Sheet'!T$5,'HO '!$B$8:$AD$8,0),0)</f>
        <v>0</v>
      </c>
      <c r="U33" s="9">
        <f t="shared" si="8"/>
        <v>240</v>
      </c>
      <c r="V33" s="44">
        <f t="shared" si="9"/>
        <v>1501.3846153846152</v>
      </c>
      <c r="W33" s="7">
        <f t="shared" si="10"/>
        <v>0</v>
      </c>
      <c r="X33" s="5">
        <f t="shared" si="11"/>
        <v>145.11538461538464</v>
      </c>
      <c r="Y33" s="6">
        <f t="shared" si="12"/>
        <v>1646.5</v>
      </c>
      <c r="Z33" s="7"/>
      <c r="AA33" s="7">
        <f t="shared" si="13"/>
        <v>1741</v>
      </c>
      <c r="AB33" s="7">
        <f t="shared" si="14"/>
        <v>233</v>
      </c>
      <c r="AC33" s="7">
        <f t="shared" si="15"/>
        <v>1741</v>
      </c>
      <c r="AD33" s="7">
        <f t="shared" si="16"/>
        <v>83</v>
      </c>
      <c r="AE33" s="83">
        <f t="shared" si="17"/>
        <v>2202.5</v>
      </c>
    </row>
    <row r="34" spans="1:31" ht="15.75">
      <c r="A34" s="89">
        <v>30</v>
      </c>
      <c r="B34" s="70" t="s">
        <v>192</v>
      </c>
      <c r="C34" s="125" t="str">
        <f>VLOOKUP($B34,Aura!$B$8:$AD$28,MATCH('Master Sheet'!C$5,'HO '!$B$8:$AD$8,0),0)</f>
        <v>Manoj Podder</v>
      </c>
      <c r="D34" s="125" t="str">
        <f>VLOOKUP($B34,Aura!$B$8:$AD$28,MATCH('Master Sheet'!D$5,'HO '!$B$8:$AD$8,0),0)</f>
        <v>Security Guard</v>
      </c>
      <c r="E34" s="125" t="s">
        <v>52</v>
      </c>
      <c r="F34" s="125">
        <f>VLOOKUP($B34,Aura!$B$8:$AD$28,MATCH('Master Sheet'!F$5,'HO '!$B$8:$AD$8,0),0)</f>
        <v>7546</v>
      </c>
      <c r="G34" s="125">
        <f>VLOOKUP($B34,Aura!$B$8:$AD$28,MATCH('Master Sheet'!G$5,'HO '!$B$8:$AD$8,0),0)</f>
        <v>1887</v>
      </c>
      <c r="H34" s="4">
        <f t="shared" si="0"/>
        <v>9433</v>
      </c>
      <c r="I34" s="5">
        <v>26</v>
      </c>
      <c r="J34" s="11">
        <f>VLOOKUP($B34,Aura!$B$8:$AD$28,MATCH('Master Sheet'!J$5,'HO '!$B$8:$AD$8,0),0)</f>
        <v>26</v>
      </c>
      <c r="K34" s="11">
        <f>VLOOKUP($B34,Aura!$B$8:$AD$28,MATCH('Master Sheet'!K$5,'HO '!$B$8:$AD$8,0),0)</f>
        <v>2</v>
      </c>
      <c r="L34" s="3">
        <f t="shared" si="1"/>
        <v>7546</v>
      </c>
      <c r="M34" s="3">
        <f t="shared" si="2"/>
        <v>1887</v>
      </c>
      <c r="N34" s="3">
        <f t="shared" si="3"/>
        <v>725.61538461538464</v>
      </c>
      <c r="O34" s="6">
        <f t="shared" si="4"/>
        <v>10158.615384615385</v>
      </c>
      <c r="P34" s="7">
        <f t="shared" si="5"/>
        <v>906</v>
      </c>
      <c r="Q34" s="7">
        <f t="shared" si="6"/>
        <v>178</v>
      </c>
      <c r="R34" s="8">
        <f t="shared" si="7"/>
        <v>110</v>
      </c>
      <c r="S34" s="125">
        <f>VLOOKUP($B34,Aura!$B$8:$AD$28,MATCH('Master Sheet'!S$5,'HO '!$B$8:$AD$8,0),0)</f>
        <v>0</v>
      </c>
      <c r="T34" s="125">
        <f>VLOOKUP($B34,Aura!$B$8:$AD$28,MATCH('Master Sheet'!T$5,'HO '!$B$8:$AD$8,0),0)</f>
        <v>0</v>
      </c>
      <c r="U34" s="9">
        <f t="shared" si="8"/>
        <v>1194</v>
      </c>
      <c r="V34" s="44">
        <f t="shared" si="9"/>
        <v>8964.6153846153848</v>
      </c>
      <c r="W34" s="7">
        <f t="shared" si="10"/>
        <v>77.549661538461535</v>
      </c>
      <c r="X34" s="5">
        <f t="shared" si="11"/>
        <v>628.83333333333337</v>
      </c>
      <c r="Y34" s="6">
        <f t="shared" si="12"/>
        <v>9670.9983794871805</v>
      </c>
      <c r="Z34" s="7"/>
      <c r="AA34" s="7">
        <f t="shared" si="13"/>
        <v>7546</v>
      </c>
      <c r="AB34" s="7">
        <f t="shared" si="14"/>
        <v>1008</v>
      </c>
      <c r="AC34" s="7">
        <f t="shared" si="15"/>
        <v>10159</v>
      </c>
      <c r="AD34" s="7">
        <f t="shared" si="16"/>
        <v>483</v>
      </c>
      <c r="AE34" s="83">
        <f t="shared" si="17"/>
        <v>12355.998379487181</v>
      </c>
    </row>
    <row r="35" spans="1:31" ht="15.75">
      <c r="A35" s="89">
        <v>31</v>
      </c>
      <c r="B35" s="70" t="s">
        <v>193</v>
      </c>
      <c r="C35" s="125" t="str">
        <f>VLOOKUP($B35,Aura!$B$8:$AD$28,MATCH('Master Sheet'!C$5,'HO '!$B$8:$AD$8,0),0)</f>
        <v>Kalipada Nandi</v>
      </c>
      <c r="D35" s="125" t="str">
        <f>VLOOKUP($B35,Aura!$B$8:$AD$28,MATCH('Master Sheet'!D$5,'HO '!$B$8:$AD$8,0),0)</f>
        <v>Security Guard</v>
      </c>
      <c r="E35" s="125" t="s">
        <v>52</v>
      </c>
      <c r="F35" s="125">
        <f>VLOOKUP($B35,Aura!$B$8:$AD$28,MATCH('Master Sheet'!F$5,'HO '!$B$8:$AD$8,0),0)</f>
        <v>7546</v>
      </c>
      <c r="G35" s="125">
        <f>VLOOKUP($B35,Aura!$B$8:$AD$28,MATCH('Master Sheet'!G$5,'HO '!$B$8:$AD$8,0),0)</f>
        <v>1887</v>
      </c>
      <c r="H35" s="4">
        <f t="shared" si="0"/>
        <v>9433</v>
      </c>
      <c r="I35" s="5">
        <v>26</v>
      </c>
      <c r="J35" s="11">
        <f>VLOOKUP($B35,Aura!$B$8:$AD$28,MATCH('Master Sheet'!J$5,'HO '!$B$8:$AD$8,0),0)</f>
        <v>26</v>
      </c>
      <c r="K35" s="11">
        <f>VLOOKUP($B35,Aura!$B$8:$AD$28,MATCH('Master Sheet'!K$5,'HO '!$B$8:$AD$8,0),0)</f>
        <v>2</v>
      </c>
      <c r="L35" s="3">
        <f t="shared" si="1"/>
        <v>7546</v>
      </c>
      <c r="M35" s="3">
        <f t="shared" si="2"/>
        <v>1887</v>
      </c>
      <c r="N35" s="3">
        <f t="shared" si="3"/>
        <v>725.61538461538464</v>
      </c>
      <c r="O35" s="6">
        <f t="shared" si="4"/>
        <v>10158.615384615385</v>
      </c>
      <c r="P35" s="7">
        <f t="shared" si="5"/>
        <v>906</v>
      </c>
      <c r="Q35" s="7">
        <f t="shared" si="6"/>
        <v>178</v>
      </c>
      <c r="R35" s="8">
        <f t="shared" si="7"/>
        <v>110</v>
      </c>
      <c r="S35" s="125">
        <f>VLOOKUP($B35,Aura!$B$8:$AD$28,MATCH('Master Sheet'!S$5,'HO '!$B$8:$AD$8,0),0)</f>
        <v>0</v>
      </c>
      <c r="T35" s="125">
        <f>VLOOKUP($B35,Aura!$B$8:$AD$28,MATCH('Master Sheet'!T$5,'HO '!$B$8:$AD$8,0),0)</f>
        <v>0</v>
      </c>
      <c r="U35" s="9">
        <f t="shared" si="8"/>
        <v>1194</v>
      </c>
      <c r="V35" s="44">
        <f t="shared" si="9"/>
        <v>8964.6153846153848</v>
      </c>
      <c r="W35" s="7">
        <f t="shared" si="10"/>
        <v>77.549661538461535</v>
      </c>
      <c r="X35" s="5">
        <f t="shared" si="11"/>
        <v>628.83333333333337</v>
      </c>
      <c r="Y35" s="6">
        <f t="shared" si="12"/>
        <v>9670.9983794871805</v>
      </c>
      <c r="Z35" s="7"/>
      <c r="AA35" s="7">
        <f t="shared" si="13"/>
        <v>7546</v>
      </c>
      <c r="AB35" s="7">
        <f t="shared" si="14"/>
        <v>1008</v>
      </c>
      <c r="AC35" s="7">
        <f t="shared" si="15"/>
        <v>10159</v>
      </c>
      <c r="AD35" s="7">
        <f t="shared" si="16"/>
        <v>483</v>
      </c>
      <c r="AE35" s="83">
        <f t="shared" si="17"/>
        <v>12355.998379487181</v>
      </c>
    </row>
    <row r="36" spans="1:31" ht="15.75">
      <c r="A36" s="89">
        <v>32</v>
      </c>
      <c r="B36" s="70" t="s">
        <v>194</v>
      </c>
      <c r="C36" s="125" t="str">
        <f>VLOOKUP($B36,Aura!$B$8:$AD$28,MATCH('Master Sheet'!C$5,'HO '!$B$8:$AD$8,0),0)</f>
        <v>Laxmi Narayan Kisku</v>
      </c>
      <c r="D36" s="125" t="str">
        <f>VLOOKUP($B36,Aura!$B$8:$AD$28,MATCH('Master Sheet'!D$5,'HO '!$B$8:$AD$8,0),0)</f>
        <v>Security Guard</v>
      </c>
      <c r="E36" s="125" t="s">
        <v>52</v>
      </c>
      <c r="F36" s="125">
        <f>VLOOKUP($B36,Aura!$B$8:$AD$28,MATCH('Master Sheet'!F$5,'HO '!$B$8:$AD$8,0),0)</f>
        <v>7546</v>
      </c>
      <c r="G36" s="125">
        <f>VLOOKUP($B36,Aura!$B$8:$AD$28,MATCH('Master Sheet'!G$5,'HO '!$B$8:$AD$8,0),0)</f>
        <v>1887</v>
      </c>
      <c r="H36" s="4">
        <f t="shared" si="0"/>
        <v>9433</v>
      </c>
      <c r="I36" s="5">
        <v>26</v>
      </c>
      <c r="J36" s="11">
        <f>VLOOKUP($B36,Aura!$B$8:$AD$28,MATCH('Master Sheet'!J$5,'HO '!$B$8:$AD$8,0),0)</f>
        <v>26</v>
      </c>
      <c r="K36" s="11">
        <f>VLOOKUP($B36,Aura!$B$8:$AD$28,MATCH('Master Sheet'!K$5,'HO '!$B$8:$AD$8,0),0)</f>
        <v>1</v>
      </c>
      <c r="L36" s="3">
        <f t="shared" si="1"/>
        <v>7546</v>
      </c>
      <c r="M36" s="3">
        <f t="shared" si="2"/>
        <v>1887</v>
      </c>
      <c r="N36" s="3">
        <f t="shared" si="3"/>
        <v>362.80769230769232</v>
      </c>
      <c r="O36" s="6">
        <f t="shared" si="4"/>
        <v>9795.8076923076915</v>
      </c>
      <c r="P36" s="7">
        <f t="shared" si="5"/>
        <v>906</v>
      </c>
      <c r="Q36" s="7">
        <f t="shared" si="6"/>
        <v>172</v>
      </c>
      <c r="R36" s="8">
        <f t="shared" si="7"/>
        <v>0</v>
      </c>
      <c r="S36" s="125">
        <f>VLOOKUP($B36,Aura!$B$8:$AD$28,MATCH('Master Sheet'!S$5,'HO '!$B$8:$AD$8,0),0)</f>
        <v>0</v>
      </c>
      <c r="T36" s="125">
        <f>VLOOKUP($B36,Aura!$B$8:$AD$28,MATCH('Master Sheet'!T$5,'HO '!$B$8:$AD$8,0),0)</f>
        <v>0</v>
      </c>
      <c r="U36" s="9">
        <f t="shared" si="8"/>
        <v>1078</v>
      </c>
      <c r="V36" s="44">
        <f t="shared" si="9"/>
        <v>8717.8076923076915</v>
      </c>
      <c r="W36" s="7">
        <f t="shared" si="10"/>
        <v>38.774830769230768</v>
      </c>
      <c r="X36" s="5">
        <f t="shared" si="11"/>
        <v>628.83333333333337</v>
      </c>
      <c r="Y36" s="6">
        <f t="shared" si="12"/>
        <v>9385.4158564102563</v>
      </c>
      <c r="Z36" s="7"/>
      <c r="AA36" s="7">
        <f t="shared" si="13"/>
        <v>7546</v>
      </c>
      <c r="AB36" s="7">
        <f t="shared" si="14"/>
        <v>1008</v>
      </c>
      <c r="AC36" s="7">
        <f t="shared" si="15"/>
        <v>9796</v>
      </c>
      <c r="AD36" s="7">
        <f t="shared" si="16"/>
        <v>466</v>
      </c>
      <c r="AE36" s="83">
        <f t="shared" si="17"/>
        <v>11937.415856410256</v>
      </c>
    </row>
    <row r="37" spans="1:31" ht="15.75">
      <c r="A37" s="89">
        <v>33</v>
      </c>
      <c r="B37" s="70" t="s">
        <v>195</v>
      </c>
      <c r="C37" s="125" t="str">
        <f>VLOOKUP($B37,Aura!$B$8:$AD$28,MATCH('Master Sheet'!C$5,'HO '!$B$8:$AD$8,0),0)</f>
        <v>Prabin Kumar Mishra</v>
      </c>
      <c r="D37" s="125" t="str">
        <f>VLOOKUP($B37,Aura!$B$8:$AD$28,MATCH('Master Sheet'!D$5,'HO '!$B$8:$AD$8,0),0)</f>
        <v>Security Guard</v>
      </c>
      <c r="E37" s="125" t="s">
        <v>52</v>
      </c>
      <c r="F37" s="125">
        <f>VLOOKUP($B37,Aura!$B$8:$AD$28,MATCH('Master Sheet'!F$5,'HO '!$B$8:$AD$8,0),0)</f>
        <v>7546</v>
      </c>
      <c r="G37" s="125">
        <f>VLOOKUP($B37,Aura!$B$8:$AD$28,MATCH('Master Sheet'!G$5,'HO '!$B$8:$AD$8,0),0)</f>
        <v>1887</v>
      </c>
      <c r="H37" s="4">
        <f t="shared" ref="H37:H52" si="18">F37+G37</f>
        <v>9433</v>
      </c>
      <c r="I37" s="5">
        <v>26</v>
      </c>
      <c r="J37" s="11">
        <f>VLOOKUP($B37,Aura!$B$8:$AD$28,MATCH('Master Sheet'!J$5,'HO '!$B$8:$AD$8,0),0)</f>
        <v>26</v>
      </c>
      <c r="K37" s="11">
        <f>VLOOKUP($B37,Aura!$B$8:$AD$28,MATCH('Master Sheet'!K$5,'HO '!$B$8:$AD$8,0),0)</f>
        <v>1</v>
      </c>
      <c r="L37" s="3">
        <f t="shared" ref="L37:L52" si="19">F37/I37*J37</f>
        <v>7546</v>
      </c>
      <c r="M37" s="3">
        <f t="shared" ref="M37:M52" si="20">G37/I37*J37</f>
        <v>1887</v>
      </c>
      <c r="N37" s="3">
        <f t="shared" ref="N37:N52" si="21">H37/I37*K37</f>
        <v>362.80769230769232</v>
      </c>
      <c r="O37" s="6">
        <f t="shared" si="4"/>
        <v>9795.8076923076915</v>
      </c>
      <c r="P37" s="7">
        <f t="shared" ref="P37:P52" si="22">ROUND(AA37*12%,0)</f>
        <v>906</v>
      </c>
      <c r="Q37" s="7">
        <f t="shared" ref="Q37:Q52" si="23">ROUNDUP(AC37*1.75%,0)</f>
        <v>172</v>
      </c>
      <c r="R37" s="8">
        <f t="shared" ref="R37:R52" si="24">IF(O37&gt;40000,200,IF(O37&gt;25000,150,IF(O37&gt;15000,130,IF(O37&gt;10000,110,IF(O37&gt;8500,0,)))))</f>
        <v>0</v>
      </c>
      <c r="S37" s="125">
        <f>VLOOKUP($B37,Aura!$B$8:$AD$28,MATCH('Master Sheet'!S$5,'HO '!$B$8:$AD$8,0),0)</f>
        <v>0</v>
      </c>
      <c r="T37" s="125">
        <f>VLOOKUP($B37,Aura!$B$8:$AD$28,MATCH('Master Sheet'!T$5,'HO '!$B$8:$AD$8,0),0)</f>
        <v>0</v>
      </c>
      <c r="U37" s="9">
        <f t="shared" ref="U37:U52" si="25">SUM(P37:T37)</f>
        <v>1078</v>
      </c>
      <c r="V37" s="44">
        <f t="shared" ref="V37:V52" si="26">O37-U37</f>
        <v>8717.8076923076915</v>
      </c>
      <c r="W37" s="7">
        <f t="shared" si="10"/>
        <v>38.774830769230768</v>
      </c>
      <c r="X37" s="5">
        <f t="shared" si="11"/>
        <v>628.83333333333337</v>
      </c>
      <c r="Y37" s="6">
        <f t="shared" ref="Y37:Y52" si="27">V37+X37+W37</f>
        <v>9385.4158564102563</v>
      </c>
      <c r="Z37" s="7"/>
      <c r="AA37" s="7">
        <f t="shared" ref="AA37:AA52" si="28">ROUND(IF(($L37)&gt;15000,15000,IF(($L37)&lt;=15000,($L37))),0)</f>
        <v>7546</v>
      </c>
      <c r="AB37" s="7">
        <f t="shared" ref="AB37:AB52" si="29">ROUND(AA37*13.36%,0)</f>
        <v>1008</v>
      </c>
      <c r="AC37" s="7">
        <f t="shared" ref="AC37:AC52" si="30">ROUND($H37/$I37*($J37+K37),0)</f>
        <v>9796</v>
      </c>
      <c r="AD37" s="7">
        <f t="shared" ref="AD37:AD52" si="31">ROUNDUP(AC37*4.75%,0)</f>
        <v>466</v>
      </c>
      <c r="AE37" s="83">
        <f t="shared" ref="AE37:AE52" si="32">O37+W37+X37+AB37+AD37</f>
        <v>11937.415856410256</v>
      </c>
    </row>
    <row r="38" spans="1:31" ht="24">
      <c r="A38" s="89">
        <v>34</v>
      </c>
      <c r="B38" s="70" t="s">
        <v>196</v>
      </c>
      <c r="C38" s="125" t="str">
        <f>VLOOKUP($B38,Aura!$B$8:$AD$28,MATCH('Master Sheet'!C$5,'HO '!$B$8:$AD$8,0),0)</f>
        <v>Samiran Mallick</v>
      </c>
      <c r="D38" s="125" t="str">
        <f>VLOOKUP($B38,Aura!$B$8:$AD$28,MATCH('Master Sheet'!D$5,'HO '!$B$8:$AD$8,0),0)</f>
        <v>Security Guard - Reliver</v>
      </c>
      <c r="E38" s="125" t="s">
        <v>52</v>
      </c>
      <c r="F38" s="125">
        <f>VLOOKUP($B38,Aura!$B$8:$AD$28,MATCH('Master Sheet'!F$5,'HO '!$B$8:$AD$8,0),0)</f>
        <v>7546</v>
      </c>
      <c r="G38" s="125">
        <f>VLOOKUP($B38,Aura!$B$8:$AD$28,MATCH('Master Sheet'!G$5,'HO '!$B$8:$AD$8,0),0)</f>
        <v>1887</v>
      </c>
      <c r="H38" s="62">
        <f t="shared" si="18"/>
        <v>9433</v>
      </c>
      <c r="I38" s="56">
        <v>26</v>
      </c>
      <c r="J38" s="11">
        <f>VLOOKUP($B38,Aura!$B$8:$AD$28,MATCH('Master Sheet'!J$5,'HO '!$B$8:$AD$8,0),0)</f>
        <v>18</v>
      </c>
      <c r="K38" s="11">
        <f>VLOOKUP($B38,Aura!$B$8:$AD$28,MATCH('Master Sheet'!K$5,'HO '!$B$8:$AD$8,0),0)</f>
        <v>0</v>
      </c>
      <c r="L38" s="61">
        <f t="shared" si="19"/>
        <v>5224.1538461538457</v>
      </c>
      <c r="M38" s="61">
        <f t="shared" si="20"/>
        <v>1306.3846153846155</v>
      </c>
      <c r="N38" s="61">
        <f t="shared" si="21"/>
        <v>0</v>
      </c>
      <c r="O38" s="64">
        <f t="shared" si="4"/>
        <v>6530.538461538461</v>
      </c>
      <c r="P38" s="30">
        <f t="shared" si="22"/>
        <v>627</v>
      </c>
      <c r="Q38" s="30">
        <f t="shared" si="23"/>
        <v>115</v>
      </c>
      <c r="R38" s="65">
        <f t="shared" si="24"/>
        <v>0</v>
      </c>
      <c r="S38" s="125">
        <f>VLOOKUP($B38,Aura!$B$8:$AD$28,MATCH('Master Sheet'!S$5,'HO '!$B$8:$AD$8,0),0)</f>
        <v>0</v>
      </c>
      <c r="T38" s="125">
        <f>VLOOKUP($B38,Aura!$B$8:$AD$28,MATCH('Master Sheet'!T$5,'HO '!$B$8:$AD$8,0),0)</f>
        <v>0</v>
      </c>
      <c r="U38" s="66">
        <f t="shared" si="25"/>
        <v>742</v>
      </c>
      <c r="V38" s="68">
        <f t="shared" si="26"/>
        <v>5788.538461538461</v>
      </c>
      <c r="W38" s="30">
        <f t="shared" si="10"/>
        <v>0</v>
      </c>
      <c r="X38" s="56">
        <f t="shared" si="11"/>
        <v>435.34615384615387</v>
      </c>
      <c r="Y38" s="68">
        <f t="shared" si="27"/>
        <v>6223.8846153846152</v>
      </c>
      <c r="Z38" s="30"/>
      <c r="AA38" s="7">
        <f t="shared" si="28"/>
        <v>5224</v>
      </c>
      <c r="AB38" s="7">
        <f t="shared" si="29"/>
        <v>698</v>
      </c>
      <c r="AC38" s="7">
        <f t="shared" si="30"/>
        <v>6531</v>
      </c>
      <c r="AD38" s="7">
        <f t="shared" si="31"/>
        <v>311</v>
      </c>
      <c r="AE38" s="83">
        <f t="shared" si="32"/>
        <v>7974.8846153846152</v>
      </c>
    </row>
    <row r="39" spans="1:31">
      <c r="A39" s="89">
        <v>35</v>
      </c>
      <c r="B39" s="70" t="s">
        <v>197</v>
      </c>
      <c r="C39" s="125" t="str">
        <f>VLOOKUP($B39,Aura!$B$8:$AD$28,MATCH('Master Sheet'!C$5,'HO '!$B$8:$AD$8,0),0)</f>
        <v>Santu Hela</v>
      </c>
      <c r="D39" s="125" t="str">
        <f>VLOOKUP($B39,Aura!$B$8:$AD$28,MATCH('Master Sheet'!D$5,'HO '!$B$8:$AD$8,0),0)</f>
        <v>Housekeeping</v>
      </c>
      <c r="E39" s="125" t="s">
        <v>52</v>
      </c>
      <c r="F39" s="125">
        <f>VLOOKUP($B39,Aura!$B$8:$AD$28,MATCH('Master Sheet'!F$5,'HO '!$B$8:$AD$8,0),0)</f>
        <v>7546</v>
      </c>
      <c r="G39" s="125">
        <f>VLOOKUP($B39,Aura!$B$8:$AD$28,MATCH('Master Sheet'!G$5,'HO '!$B$8:$AD$8,0),0)</f>
        <v>0</v>
      </c>
      <c r="H39" s="4">
        <f t="shared" si="18"/>
        <v>7546</v>
      </c>
      <c r="I39" s="5">
        <v>26</v>
      </c>
      <c r="J39" s="11">
        <f>VLOOKUP($B39,Aura!$B$8:$AD$28,MATCH('Master Sheet'!J$5,'HO '!$B$8:$AD$8,0),0)</f>
        <v>26</v>
      </c>
      <c r="K39" s="11">
        <f>VLOOKUP($B39,Aura!$B$8:$AD$28,MATCH('Master Sheet'!K$5,'HO '!$B$8:$AD$8,0),0)</f>
        <v>0</v>
      </c>
      <c r="L39" s="3">
        <f t="shared" si="19"/>
        <v>7546</v>
      </c>
      <c r="M39" s="3">
        <f t="shared" si="20"/>
        <v>0</v>
      </c>
      <c r="N39" s="3">
        <f t="shared" si="21"/>
        <v>0</v>
      </c>
      <c r="O39" s="6">
        <f t="shared" si="4"/>
        <v>7546</v>
      </c>
      <c r="P39" s="7">
        <f t="shared" si="22"/>
        <v>906</v>
      </c>
      <c r="Q39" s="7">
        <f t="shared" si="23"/>
        <v>133</v>
      </c>
      <c r="R39" s="8">
        <f t="shared" si="24"/>
        <v>0</v>
      </c>
      <c r="S39" s="125">
        <f>VLOOKUP($B39,Aura!$B$8:$AD$28,MATCH('Master Sheet'!S$5,'HO '!$B$8:$AD$8,0),0)</f>
        <v>0</v>
      </c>
      <c r="T39" s="125">
        <f>VLOOKUP($B39,Aura!$B$8:$AD$28,MATCH('Master Sheet'!T$5,'HO '!$B$8:$AD$8,0),0)</f>
        <v>0</v>
      </c>
      <c r="U39" s="9">
        <f t="shared" si="25"/>
        <v>1039</v>
      </c>
      <c r="V39" s="68">
        <f t="shared" si="26"/>
        <v>6507</v>
      </c>
      <c r="W39" s="7">
        <f t="shared" si="10"/>
        <v>0</v>
      </c>
      <c r="X39" s="5">
        <f t="shared" si="11"/>
        <v>628.83333333333337</v>
      </c>
      <c r="Y39" s="68">
        <f t="shared" si="27"/>
        <v>7135.833333333333</v>
      </c>
      <c r="Z39" s="7"/>
      <c r="AA39" s="7">
        <f t="shared" si="28"/>
        <v>7546</v>
      </c>
      <c r="AB39" s="7">
        <f t="shared" si="29"/>
        <v>1008</v>
      </c>
      <c r="AC39" s="7">
        <f t="shared" si="30"/>
        <v>7546</v>
      </c>
      <c r="AD39" s="7">
        <f t="shared" si="31"/>
        <v>359</v>
      </c>
      <c r="AE39" s="91">
        <f t="shared" si="32"/>
        <v>9541.8333333333321</v>
      </c>
    </row>
    <row r="40" spans="1:31">
      <c r="A40" s="89">
        <v>36</v>
      </c>
      <c r="B40" s="70" t="s">
        <v>198</v>
      </c>
      <c r="C40" s="125" t="str">
        <f>VLOOKUP($B40,Aura!$B$8:$AD$28,MATCH('Master Sheet'!C$5,'HO '!$B$8:$AD$8,0),0)</f>
        <v>Pratap Duley</v>
      </c>
      <c r="D40" s="125" t="str">
        <f>VLOOKUP($B40,Aura!$B$8:$AD$28,MATCH('Master Sheet'!D$5,'HO '!$B$8:$AD$8,0),0)</f>
        <v>Housekeeping</v>
      </c>
      <c r="E40" s="125" t="s">
        <v>52</v>
      </c>
      <c r="F40" s="125">
        <f>VLOOKUP($B40,Aura!$B$8:$AD$28,MATCH('Master Sheet'!F$5,'HO '!$B$8:$AD$8,0),0)</f>
        <v>7546</v>
      </c>
      <c r="G40" s="125">
        <f>VLOOKUP($B40,Aura!$B$8:$AD$28,MATCH('Master Sheet'!G$5,'HO '!$B$8:$AD$8,0),0)</f>
        <v>0</v>
      </c>
      <c r="H40" s="4">
        <f t="shared" si="18"/>
        <v>7546</v>
      </c>
      <c r="I40" s="5">
        <v>26</v>
      </c>
      <c r="J40" s="11">
        <f>VLOOKUP($B40,Aura!$B$8:$AD$28,MATCH('Master Sheet'!J$5,'HO '!$B$8:$AD$8,0),0)</f>
        <v>26</v>
      </c>
      <c r="K40" s="11">
        <f>VLOOKUP($B40,Aura!$B$8:$AD$28,MATCH('Master Sheet'!K$5,'HO '!$B$8:$AD$8,0),0)</f>
        <v>1</v>
      </c>
      <c r="L40" s="3">
        <f t="shared" si="19"/>
        <v>7546</v>
      </c>
      <c r="M40" s="3">
        <f t="shared" si="20"/>
        <v>0</v>
      </c>
      <c r="N40" s="3">
        <f t="shared" si="21"/>
        <v>290.23076923076923</v>
      </c>
      <c r="O40" s="6">
        <f t="shared" ref="O40:O52" si="33">ROUND(L40+M40+N40,0)</f>
        <v>7836</v>
      </c>
      <c r="P40" s="7">
        <f t="shared" si="22"/>
        <v>906</v>
      </c>
      <c r="Q40" s="7">
        <f t="shared" si="23"/>
        <v>138</v>
      </c>
      <c r="R40" s="8">
        <f t="shared" si="24"/>
        <v>0</v>
      </c>
      <c r="S40" s="125">
        <f>VLOOKUP($B40,Aura!$B$8:$AD$28,MATCH('Master Sheet'!S$5,'HO '!$B$8:$AD$8,0),0)</f>
        <v>0</v>
      </c>
      <c r="T40" s="125">
        <f>VLOOKUP($B40,Aura!$B$8:$AD$28,MATCH('Master Sheet'!T$5,'HO '!$B$8:$AD$8,0),0)</f>
        <v>0</v>
      </c>
      <c r="U40" s="9">
        <f t="shared" si="25"/>
        <v>1044</v>
      </c>
      <c r="V40" s="68">
        <f t="shared" si="26"/>
        <v>6792</v>
      </c>
      <c r="W40" s="7">
        <f t="shared" ref="W40:W52" si="34">ROUND((F40/I40*K40)*13.36%,0)</f>
        <v>39</v>
      </c>
      <c r="X40" s="5">
        <f t="shared" ref="X40:X52" si="35">ROUND((F40/12)/I40*(J40),0)</f>
        <v>629</v>
      </c>
      <c r="Y40" s="68">
        <f t="shared" si="27"/>
        <v>7460</v>
      </c>
      <c r="Z40" s="7"/>
      <c r="AA40" s="7">
        <f t="shared" si="28"/>
        <v>7546</v>
      </c>
      <c r="AB40" s="7">
        <f t="shared" si="29"/>
        <v>1008</v>
      </c>
      <c r="AC40" s="7">
        <f t="shared" si="30"/>
        <v>7836</v>
      </c>
      <c r="AD40" s="7">
        <f t="shared" si="31"/>
        <v>373</v>
      </c>
      <c r="AE40" s="91">
        <f t="shared" si="32"/>
        <v>9885</v>
      </c>
    </row>
    <row r="41" spans="1:31" ht="24">
      <c r="A41" s="89">
        <v>37</v>
      </c>
      <c r="B41" s="70" t="s">
        <v>199</v>
      </c>
      <c r="C41" s="125" t="str">
        <f>VLOOKUP($B41,Aura!$B$8:$AD$28,MATCH('Master Sheet'!C$5,'HO '!$B$8:$AD$8,0),0)</f>
        <v>Samiran Malik</v>
      </c>
      <c r="D41" s="125" t="str">
        <f>VLOOKUP($B41,Aura!$B$8:$AD$28,MATCH('Master Sheet'!D$5,'HO '!$B$8:$AD$8,0),0)</f>
        <v>Housekeeping - Reliver</v>
      </c>
      <c r="E41" s="125" t="s">
        <v>52</v>
      </c>
      <c r="F41" s="125">
        <f>VLOOKUP($B41,Aura!$B$8:$AD$28,MATCH('Master Sheet'!F$5,'HO '!$B$8:$AD$8,0),0)</f>
        <v>7546</v>
      </c>
      <c r="G41" s="125">
        <f>VLOOKUP($B41,Aura!$B$8:$AD$28,MATCH('Master Sheet'!G$5,'HO '!$B$8:$AD$8,0),0)</f>
        <v>0</v>
      </c>
      <c r="H41" s="4">
        <f t="shared" si="18"/>
        <v>7546</v>
      </c>
      <c r="I41" s="5">
        <v>26</v>
      </c>
      <c r="J41" s="11">
        <f>VLOOKUP($B41,Aura!$B$8:$AD$28,MATCH('Master Sheet'!J$5,'HO '!$B$8:$AD$8,0),0)</f>
        <v>5</v>
      </c>
      <c r="K41" s="11">
        <f>VLOOKUP($B41,Aura!$B$8:$AD$28,MATCH('Master Sheet'!K$5,'HO '!$B$8:$AD$8,0),0)</f>
        <v>0</v>
      </c>
      <c r="L41" s="3">
        <f t="shared" si="19"/>
        <v>1451.1538461538462</v>
      </c>
      <c r="M41" s="3">
        <f t="shared" si="20"/>
        <v>0</v>
      </c>
      <c r="N41" s="3">
        <f t="shared" si="21"/>
        <v>0</v>
      </c>
      <c r="O41" s="6">
        <f t="shared" si="33"/>
        <v>1451</v>
      </c>
      <c r="P41" s="7">
        <f t="shared" si="22"/>
        <v>174</v>
      </c>
      <c r="Q41" s="7">
        <f t="shared" si="23"/>
        <v>26</v>
      </c>
      <c r="R41" s="8">
        <f t="shared" si="24"/>
        <v>0</v>
      </c>
      <c r="S41" s="125">
        <f>VLOOKUP($B41,Aura!$B$8:$AD$28,MATCH('Master Sheet'!S$5,'HO '!$B$8:$AD$8,0),0)</f>
        <v>0</v>
      </c>
      <c r="T41" s="125">
        <f>VLOOKUP($B41,Aura!$B$8:$AD$28,MATCH('Master Sheet'!T$5,'HO '!$B$8:$AD$8,0),0)</f>
        <v>0</v>
      </c>
      <c r="U41" s="9">
        <f t="shared" si="25"/>
        <v>200</v>
      </c>
      <c r="V41" s="68">
        <f t="shared" si="26"/>
        <v>1251</v>
      </c>
      <c r="W41" s="7">
        <f t="shared" si="34"/>
        <v>0</v>
      </c>
      <c r="X41" s="5">
        <f t="shared" si="35"/>
        <v>121</v>
      </c>
      <c r="Y41" s="68">
        <f t="shared" si="27"/>
        <v>1372</v>
      </c>
      <c r="Z41" s="7"/>
      <c r="AA41" s="7">
        <f t="shared" si="28"/>
        <v>1451</v>
      </c>
      <c r="AB41" s="7">
        <f t="shared" si="29"/>
        <v>194</v>
      </c>
      <c r="AC41" s="7">
        <f t="shared" si="30"/>
        <v>1451</v>
      </c>
      <c r="AD41" s="7">
        <f t="shared" si="31"/>
        <v>69</v>
      </c>
      <c r="AE41" s="91">
        <f t="shared" si="32"/>
        <v>1835</v>
      </c>
    </row>
    <row r="42" spans="1:31">
      <c r="A42" s="89">
        <v>39</v>
      </c>
      <c r="B42" s="70" t="s">
        <v>200</v>
      </c>
      <c r="C42" s="125" t="str">
        <f>VLOOKUP($B42,Allure!$B$8:$AD$29,MATCH('Master Sheet'!C$5,'HO '!$B$8:$AD$8,0),0)</f>
        <v>Sumanta Dutta</v>
      </c>
      <c r="D42" s="125" t="str">
        <f>VLOOKUP($B42,Allure!$B$8:$AD$29,MATCH('Master Sheet'!D$5,'HO '!$B$8:$AD$8,0),0)</f>
        <v>Security Guard</v>
      </c>
      <c r="E42" s="125" t="s">
        <v>221</v>
      </c>
      <c r="F42" s="125">
        <f>VLOOKUP($B42,Allure!$B$8:$AD$29,MATCH('Master Sheet'!F$5,'HO '!$B$8:$AD$8,0),0)</f>
        <v>7546</v>
      </c>
      <c r="G42" s="125">
        <f>VLOOKUP($B42,Allure!$B$8:$AD$29,MATCH('Master Sheet'!G$5,'HO '!$B$8:$AD$8,0),0)</f>
        <v>1887</v>
      </c>
      <c r="H42" s="4">
        <f t="shared" si="18"/>
        <v>9433</v>
      </c>
      <c r="I42" s="5">
        <v>26</v>
      </c>
      <c r="J42" s="11">
        <f>VLOOKUP($B42,Allure!$B$8:$AD$29,MATCH('Master Sheet'!J$5,'HO '!$B$8:$AD$8,0),0)</f>
        <v>0</v>
      </c>
      <c r="K42" s="11">
        <f>VLOOKUP($B42,Allure!$B$8:$AD$29,MATCH('Master Sheet'!K$5,'HO '!$B$8:$AD$8,0),0)</f>
        <v>0</v>
      </c>
      <c r="L42" s="3">
        <f t="shared" si="19"/>
        <v>0</v>
      </c>
      <c r="M42" s="3">
        <f t="shared" si="20"/>
        <v>0</v>
      </c>
      <c r="N42" s="3">
        <f t="shared" si="21"/>
        <v>0</v>
      </c>
      <c r="O42" s="6">
        <f t="shared" si="33"/>
        <v>0</v>
      </c>
      <c r="P42" s="7">
        <f t="shared" si="22"/>
        <v>0</v>
      </c>
      <c r="Q42" s="7">
        <f t="shared" si="23"/>
        <v>0</v>
      </c>
      <c r="R42" s="8">
        <f t="shared" si="24"/>
        <v>0</v>
      </c>
      <c r="S42" s="125">
        <f>VLOOKUP($B42,Allure!$B$8:$AD$29,MATCH('Master Sheet'!S$5,'HO '!$B$8:$AD$8,0),0)</f>
        <v>0</v>
      </c>
      <c r="T42" s="125">
        <f>VLOOKUP($B42,Allure!$B$8:$AD$29,MATCH('Master Sheet'!T$5,'HO '!$B$8:$AD$8,0),0)</f>
        <v>0</v>
      </c>
      <c r="U42" s="9">
        <f t="shared" si="25"/>
        <v>0</v>
      </c>
      <c r="V42" s="68">
        <f t="shared" si="26"/>
        <v>0</v>
      </c>
      <c r="W42" s="7">
        <f t="shared" si="34"/>
        <v>0</v>
      </c>
      <c r="X42" s="5">
        <f t="shared" si="35"/>
        <v>0</v>
      </c>
      <c r="Y42" s="68">
        <f t="shared" si="27"/>
        <v>0</v>
      </c>
      <c r="Z42" s="7"/>
      <c r="AA42" s="7">
        <f t="shared" si="28"/>
        <v>0</v>
      </c>
      <c r="AB42" s="7">
        <f t="shared" si="29"/>
        <v>0</v>
      </c>
      <c r="AC42" s="7">
        <f t="shared" si="30"/>
        <v>0</v>
      </c>
      <c r="AD42" s="7">
        <f t="shared" si="31"/>
        <v>0</v>
      </c>
      <c r="AE42" s="91">
        <f t="shared" si="32"/>
        <v>0</v>
      </c>
    </row>
    <row r="43" spans="1:31">
      <c r="A43" s="89">
        <v>40</v>
      </c>
      <c r="B43" s="70" t="s">
        <v>201</v>
      </c>
      <c r="C43" s="125" t="str">
        <f>VLOOKUP($B43,Allure!$B$8:$AD$29,MATCH('Master Sheet'!C$5,'HO '!$B$8:$AD$8,0),0)</f>
        <v>SK Hossain</v>
      </c>
      <c r="D43" s="125" t="str">
        <f>VLOOKUP($B43,Allure!$B$8:$AD$29,MATCH('Master Sheet'!D$5,'HO '!$B$8:$AD$8,0),0)</f>
        <v>Security Guard</v>
      </c>
      <c r="E43" s="125" t="s">
        <v>221</v>
      </c>
      <c r="F43" s="125">
        <f>VLOOKUP($B43,Allure!$B$8:$AD$29,MATCH('Master Sheet'!F$5,'HO '!$B$8:$AD$8,0),0)</f>
        <v>7546</v>
      </c>
      <c r="G43" s="125">
        <f>VLOOKUP($B43,Allure!$B$8:$AD$29,MATCH('Master Sheet'!G$5,'HO '!$B$8:$AD$8,0),0)</f>
        <v>1887</v>
      </c>
      <c r="H43" s="4">
        <f t="shared" si="18"/>
        <v>9433</v>
      </c>
      <c r="I43" s="5">
        <v>26</v>
      </c>
      <c r="J43" s="11">
        <f>VLOOKUP($B43,Allure!$B$8:$AD$29,MATCH('Master Sheet'!J$5,'HO '!$B$8:$AD$8,0),0)</f>
        <v>0</v>
      </c>
      <c r="K43" s="11">
        <f>VLOOKUP($B43,Allure!$B$8:$AD$29,MATCH('Master Sheet'!K$5,'HO '!$B$8:$AD$8,0),0)</f>
        <v>0</v>
      </c>
      <c r="L43" s="3">
        <f t="shared" si="19"/>
        <v>0</v>
      </c>
      <c r="M43" s="3">
        <f t="shared" si="20"/>
        <v>0</v>
      </c>
      <c r="N43" s="3">
        <f t="shared" si="21"/>
        <v>0</v>
      </c>
      <c r="O43" s="6">
        <f t="shared" si="33"/>
        <v>0</v>
      </c>
      <c r="P43" s="7">
        <f t="shared" si="22"/>
        <v>0</v>
      </c>
      <c r="Q43" s="7">
        <f t="shared" si="23"/>
        <v>0</v>
      </c>
      <c r="R43" s="8">
        <f t="shared" si="24"/>
        <v>0</v>
      </c>
      <c r="S43" s="125">
        <f>VLOOKUP($B43,Allure!$B$8:$AD$29,MATCH('Master Sheet'!S$5,'HO '!$B$8:$AD$8,0),0)</f>
        <v>0</v>
      </c>
      <c r="T43" s="125">
        <f>VLOOKUP($B43,Allure!$B$8:$AD$29,MATCH('Master Sheet'!T$5,'HO '!$B$8:$AD$8,0),0)</f>
        <v>0</v>
      </c>
      <c r="U43" s="9">
        <f t="shared" si="25"/>
        <v>0</v>
      </c>
      <c r="V43" s="68">
        <f t="shared" si="26"/>
        <v>0</v>
      </c>
      <c r="W43" s="7">
        <f t="shared" si="34"/>
        <v>0</v>
      </c>
      <c r="X43" s="5">
        <f t="shared" si="35"/>
        <v>0</v>
      </c>
      <c r="Y43" s="68">
        <f t="shared" si="27"/>
        <v>0</v>
      </c>
      <c r="Z43" s="7"/>
      <c r="AA43" s="7">
        <f t="shared" si="28"/>
        <v>0</v>
      </c>
      <c r="AB43" s="7">
        <f t="shared" si="29"/>
        <v>0</v>
      </c>
      <c r="AC43" s="7">
        <f t="shared" si="30"/>
        <v>0</v>
      </c>
      <c r="AD43" s="7">
        <f t="shared" si="31"/>
        <v>0</v>
      </c>
      <c r="AE43" s="91">
        <f t="shared" si="32"/>
        <v>0</v>
      </c>
    </row>
    <row r="44" spans="1:31">
      <c r="A44" s="89">
        <v>41</v>
      </c>
      <c r="B44" s="70" t="s">
        <v>202</v>
      </c>
      <c r="C44" s="125" t="str">
        <f>VLOOKUP($B44,Allure!$B$8:$AD$29,MATCH('Master Sheet'!C$5,'HO '!$B$8:$AD$8,0),0)</f>
        <v>Subhas Ch. Sardar</v>
      </c>
      <c r="D44" s="125" t="str">
        <f>VLOOKUP($B44,Allure!$B$8:$AD$29,MATCH('Master Sheet'!D$5,'HO '!$B$8:$AD$8,0),0)</f>
        <v>Security Guard</v>
      </c>
      <c r="E44" s="125" t="s">
        <v>221</v>
      </c>
      <c r="F44" s="125">
        <f>VLOOKUP($B44,Allure!$B$8:$AD$29,MATCH('Master Sheet'!F$5,'HO '!$B$8:$AD$8,0),0)</f>
        <v>7546</v>
      </c>
      <c r="G44" s="125">
        <f>VLOOKUP($B44,Allure!$B$8:$AD$29,MATCH('Master Sheet'!G$5,'HO '!$B$8:$AD$8,0),0)</f>
        <v>1887</v>
      </c>
      <c r="H44" s="4">
        <f t="shared" si="18"/>
        <v>9433</v>
      </c>
      <c r="I44" s="5">
        <v>26</v>
      </c>
      <c r="J44" s="11">
        <f>VLOOKUP($B44,Allure!$B$8:$AD$29,MATCH('Master Sheet'!J$5,'HO '!$B$8:$AD$8,0),0)</f>
        <v>0</v>
      </c>
      <c r="K44" s="11">
        <f>VLOOKUP($B44,Allure!$B$8:$AD$29,MATCH('Master Sheet'!K$5,'HO '!$B$8:$AD$8,0),0)</f>
        <v>0</v>
      </c>
      <c r="L44" s="3">
        <f t="shared" si="19"/>
        <v>0</v>
      </c>
      <c r="M44" s="3">
        <f t="shared" si="20"/>
        <v>0</v>
      </c>
      <c r="N44" s="3">
        <f t="shared" si="21"/>
        <v>0</v>
      </c>
      <c r="O44" s="6">
        <f t="shared" si="33"/>
        <v>0</v>
      </c>
      <c r="P44" s="7">
        <f t="shared" si="22"/>
        <v>0</v>
      </c>
      <c r="Q44" s="7">
        <f t="shared" si="23"/>
        <v>0</v>
      </c>
      <c r="R44" s="8">
        <f t="shared" si="24"/>
        <v>0</v>
      </c>
      <c r="S44" s="125">
        <f>VLOOKUP($B44,Allure!$B$8:$AD$29,MATCH('Master Sheet'!S$5,'HO '!$B$8:$AD$8,0),0)</f>
        <v>0</v>
      </c>
      <c r="T44" s="125">
        <f>VLOOKUP($B44,Allure!$B$8:$AD$29,MATCH('Master Sheet'!T$5,'HO '!$B$8:$AD$8,0),0)</f>
        <v>0</v>
      </c>
      <c r="U44" s="9">
        <f t="shared" si="25"/>
        <v>0</v>
      </c>
      <c r="V44" s="68">
        <f t="shared" si="26"/>
        <v>0</v>
      </c>
      <c r="W44" s="7">
        <f t="shared" si="34"/>
        <v>0</v>
      </c>
      <c r="X44" s="5">
        <f t="shared" si="35"/>
        <v>0</v>
      </c>
      <c r="Y44" s="68">
        <f t="shared" si="27"/>
        <v>0</v>
      </c>
      <c r="Z44" s="7"/>
      <c r="AA44" s="7">
        <f t="shared" si="28"/>
        <v>0</v>
      </c>
      <c r="AB44" s="7">
        <f t="shared" si="29"/>
        <v>0</v>
      </c>
      <c r="AC44" s="7">
        <f t="shared" si="30"/>
        <v>0</v>
      </c>
      <c r="AD44" s="7">
        <f t="shared" si="31"/>
        <v>0</v>
      </c>
      <c r="AE44" s="91">
        <f t="shared" si="32"/>
        <v>0</v>
      </c>
    </row>
    <row r="45" spans="1:31">
      <c r="A45" s="89">
        <v>42</v>
      </c>
      <c r="B45" s="70" t="s">
        <v>203</v>
      </c>
      <c r="C45" s="125" t="str">
        <f>VLOOKUP($B45,Allure!$B$8:$AD$29,MATCH('Master Sheet'!C$5,'HO '!$B$8:$AD$8,0),0)</f>
        <v>Bablu Shit</v>
      </c>
      <c r="D45" s="125" t="str">
        <f>VLOOKUP($B45,Allure!$B$8:$AD$29,MATCH('Master Sheet'!D$5,'HO '!$B$8:$AD$8,0),0)</f>
        <v>Security Guard</v>
      </c>
      <c r="E45" s="125" t="s">
        <v>221</v>
      </c>
      <c r="F45" s="125">
        <f>VLOOKUP($B45,Allure!$B$8:$AD$29,MATCH('Master Sheet'!F$5,'HO '!$B$8:$AD$8,0),0)</f>
        <v>7546</v>
      </c>
      <c r="G45" s="125">
        <f>VLOOKUP($B45,Allure!$B$8:$AD$29,MATCH('Master Sheet'!G$5,'HO '!$B$8:$AD$8,0),0)</f>
        <v>1887</v>
      </c>
      <c r="H45" s="4">
        <f t="shared" si="18"/>
        <v>9433</v>
      </c>
      <c r="I45" s="5">
        <v>26</v>
      </c>
      <c r="J45" s="11">
        <f>VLOOKUP($B45,Allure!$B$8:$AD$29,MATCH('Master Sheet'!J$5,'HO '!$B$8:$AD$8,0),0)</f>
        <v>0</v>
      </c>
      <c r="K45" s="11">
        <f>VLOOKUP($B45,Allure!$B$8:$AD$29,MATCH('Master Sheet'!K$5,'HO '!$B$8:$AD$8,0),0)</f>
        <v>0</v>
      </c>
      <c r="L45" s="3">
        <f t="shared" si="19"/>
        <v>0</v>
      </c>
      <c r="M45" s="3">
        <f t="shared" si="20"/>
        <v>0</v>
      </c>
      <c r="N45" s="3">
        <f t="shared" si="21"/>
        <v>0</v>
      </c>
      <c r="O45" s="6">
        <f t="shared" si="33"/>
        <v>0</v>
      </c>
      <c r="P45" s="7">
        <f t="shared" si="22"/>
        <v>0</v>
      </c>
      <c r="Q45" s="7">
        <f t="shared" si="23"/>
        <v>0</v>
      </c>
      <c r="R45" s="8">
        <f t="shared" si="24"/>
        <v>0</v>
      </c>
      <c r="S45" s="125">
        <f>VLOOKUP($B45,Allure!$B$8:$AD$29,MATCH('Master Sheet'!S$5,'HO '!$B$8:$AD$8,0),0)</f>
        <v>0</v>
      </c>
      <c r="T45" s="125">
        <f>VLOOKUP($B45,Allure!$B$8:$AD$29,MATCH('Master Sheet'!T$5,'HO '!$B$8:$AD$8,0),0)</f>
        <v>0</v>
      </c>
      <c r="U45" s="9">
        <f t="shared" si="25"/>
        <v>0</v>
      </c>
      <c r="V45" s="68">
        <f t="shared" si="26"/>
        <v>0</v>
      </c>
      <c r="W45" s="7">
        <f t="shared" si="34"/>
        <v>0</v>
      </c>
      <c r="X45" s="5">
        <f t="shared" si="35"/>
        <v>0</v>
      </c>
      <c r="Y45" s="68">
        <f t="shared" si="27"/>
        <v>0</v>
      </c>
      <c r="Z45" s="7"/>
      <c r="AA45" s="7">
        <f t="shared" si="28"/>
        <v>0</v>
      </c>
      <c r="AB45" s="7">
        <f t="shared" si="29"/>
        <v>0</v>
      </c>
      <c r="AC45" s="7">
        <f t="shared" si="30"/>
        <v>0</v>
      </c>
      <c r="AD45" s="7">
        <f t="shared" si="31"/>
        <v>0</v>
      </c>
      <c r="AE45" s="91">
        <f t="shared" si="32"/>
        <v>0</v>
      </c>
    </row>
    <row r="46" spans="1:31">
      <c r="A46" s="89">
        <v>43</v>
      </c>
      <c r="B46" s="70" t="s">
        <v>208</v>
      </c>
      <c r="C46" s="125" t="str">
        <f>VLOOKUP($B46,Pecan!$B$8:$AD$29,MATCH('Master Sheet'!C$5,'HO '!$B$8:$AD$8,0),0)</f>
        <v>Sumanta Dutta</v>
      </c>
      <c r="D46" s="125" t="str">
        <f>VLOOKUP($B46,Pecan!$B$8:$AD$29,MATCH('Master Sheet'!D$5,'HO '!$B$8:$AD$8,0),0)</f>
        <v>Security Guard</v>
      </c>
      <c r="E46" s="125" t="s">
        <v>223</v>
      </c>
      <c r="F46" s="125">
        <f>VLOOKUP($B46,Pecan!$B$8:$AD$29,MATCH('Master Sheet'!F$5,'HO '!$B$8:$AD$8,0),0)</f>
        <v>7546</v>
      </c>
      <c r="G46" s="125">
        <f>VLOOKUP($B46,Pecan!$B$8:$AD$29,MATCH('Master Sheet'!G$5,'HO '!$B$8:$AD$8,0),0)</f>
        <v>1887</v>
      </c>
      <c r="H46" s="4">
        <f t="shared" si="18"/>
        <v>9433</v>
      </c>
      <c r="I46" s="5">
        <v>26</v>
      </c>
      <c r="J46" s="11">
        <f>VLOOKUP($B46,Pecan!$B$8:$AD$29,MATCH('Master Sheet'!J$5,'HO '!$B$8:$AD$8,0),0)</f>
        <v>2</v>
      </c>
      <c r="K46" s="11">
        <f>VLOOKUP($B46,Pecan!$B$8:$AD$29,MATCH('Master Sheet'!K$5,'HO '!$B$8:$AD$8,0),0)</f>
        <v>0</v>
      </c>
      <c r="L46" s="3">
        <f t="shared" si="19"/>
        <v>580.46153846153845</v>
      </c>
      <c r="M46" s="3">
        <f t="shared" si="20"/>
        <v>145.15384615384616</v>
      </c>
      <c r="N46" s="3">
        <f t="shared" si="21"/>
        <v>0</v>
      </c>
      <c r="O46" s="6">
        <f t="shared" si="33"/>
        <v>726</v>
      </c>
      <c r="P46" s="7">
        <f t="shared" si="22"/>
        <v>70</v>
      </c>
      <c r="Q46" s="7">
        <f t="shared" si="23"/>
        <v>13</v>
      </c>
      <c r="R46" s="8">
        <f t="shared" si="24"/>
        <v>0</v>
      </c>
      <c r="S46" s="125">
        <f>VLOOKUP($B46,Pecan!$B$8:$AD$29,MATCH('Master Sheet'!S$5,'HO '!$B$8:$AD$8,0),0)</f>
        <v>0</v>
      </c>
      <c r="T46" s="125">
        <f>VLOOKUP($B46,Pecan!$B$8:$AD$29,MATCH('Master Sheet'!T$5,'HO '!$B$8:$AD$8,0),0)</f>
        <v>0</v>
      </c>
      <c r="U46" s="9">
        <f t="shared" si="25"/>
        <v>83</v>
      </c>
      <c r="V46" s="68">
        <f t="shared" si="26"/>
        <v>643</v>
      </c>
      <c r="W46" s="7">
        <f t="shared" si="34"/>
        <v>0</v>
      </c>
      <c r="X46" s="5">
        <f t="shared" si="35"/>
        <v>48</v>
      </c>
      <c r="Y46" s="68">
        <f t="shared" si="27"/>
        <v>691</v>
      </c>
      <c r="Z46" s="7"/>
      <c r="AA46" s="7">
        <f t="shared" si="28"/>
        <v>580</v>
      </c>
      <c r="AB46" s="7">
        <f t="shared" si="29"/>
        <v>77</v>
      </c>
      <c r="AC46" s="7">
        <f t="shared" si="30"/>
        <v>726</v>
      </c>
      <c r="AD46" s="7">
        <f t="shared" si="31"/>
        <v>35</v>
      </c>
      <c r="AE46" s="91">
        <f t="shared" si="32"/>
        <v>886</v>
      </c>
    </row>
    <row r="47" spans="1:31">
      <c r="A47" s="89">
        <v>44</v>
      </c>
      <c r="B47" s="70" t="s">
        <v>209</v>
      </c>
      <c r="C47" s="125" t="str">
        <f>VLOOKUP($B47,Pecan!$B$8:$AD$29,MATCH('Master Sheet'!C$5,'HO '!$B$8:$AD$8,0),0)</f>
        <v>Subhas Ch. Sardar</v>
      </c>
      <c r="D47" s="125" t="str">
        <f>VLOOKUP($B47,Pecan!$B$8:$AD$29,MATCH('Master Sheet'!D$5,'HO '!$B$8:$AD$8,0),0)</f>
        <v>Security Guard</v>
      </c>
      <c r="E47" s="125" t="s">
        <v>223</v>
      </c>
      <c r="F47" s="125">
        <f>VLOOKUP($B47,Pecan!$B$8:$AD$29,MATCH('Master Sheet'!F$5,'HO '!$B$8:$AD$8,0),0)</f>
        <v>7546</v>
      </c>
      <c r="G47" s="125">
        <f>VLOOKUP($B47,Pecan!$B$8:$AD$29,MATCH('Master Sheet'!G$5,'HO '!$B$8:$AD$8,0),0)</f>
        <v>1887</v>
      </c>
      <c r="H47" s="4">
        <f t="shared" si="18"/>
        <v>9433</v>
      </c>
      <c r="I47" s="5">
        <v>26</v>
      </c>
      <c r="J47" s="11">
        <f>VLOOKUP($B47,Pecan!$B$8:$AD$29,MATCH('Master Sheet'!J$5,'HO '!$B$8:$AD$8,0),0)</f>
        <v>26</v>
      </c>
      <c r="K47" s="11">
        <f>VLOOKUP($B47,Pecan!$B$8:$AD$29,MATCH('Master Sheet'!K$5,'HO '!$B$8:$AD$8,0),0)</f>
        <v>0</v>
      </c>
      <c r="L47" s="3">
        <f t="shared" si="19"/>
        <v>7546</v>
      </c>
      <c r="M47" s="3">
        <f t="shared" si="20"/>
        <v>1887</v>
      </c>
      <c r="N47" s="3">
        <f t="shared" si="21"/>
        <v>0</v>
      </c>
      <c r="O47" s="6">
        <f t="shared" si="33"/>
        <v>9433</v>
      </c>
      <c r="P47" s="7">
        <f t="shared" si="22"/>
        <v>906</v>
      </c>
      <c r="Q47" s="7">
        <f t="shared" si="23"/>
        <v>166</v>
      </c>
      <c r="R47" s="8">
        <f t="shared" si="24"/>
        <v>0</v>
      </c>
      <c r="S47" s="125">
        <f>VLOOKUP($B47,Pecan!$B$8:$AD$29,MATCH('Master Sheet'!S$5,'HO '!$B$8:$AD$8,0),0)</f>
        <v>0</v>
      </c>
      <c r="T47" s="125">
        <f>VLOOKUP($B47,Pecan!$B$8:$AD$29,MATCH('Master Sheet'!T$5,'HO '!$B$8:$AD$8,0),0)</f>
        <v>0</v>
      </c>
      <c r="U47" s="9">
        <f t="shared" si="25"/>
        <v>1072</v>
      </c>
      <c r="V47" s="68">
        <f t="shared" si="26"/>
        <v>8361</v>
      </c>
      <c r="W47" s="7">
        <f t="shared" si="34"/>
        <v>0</v>
      </c>
      <c r="X47" s="5">
        <f t="shared" si="35"/>
        <v>629</v>
      </c>
      <c r="Y47" s="68">
        <f t="shared" si="27"/>
        <v>8990</v>
      </c>
      <c r="Z47" s="7"/>
      <c r="AA47" s="7">
        <f t="shared" si="28"/>
        <v>7546</v>
      </c>
      <c r="AB47" s="7">
        <f t="shared" si="29"/>
        <v>1008</v>
      </c>
      <c r="AC47" s="7">
        <f t="shared" si="30"/>
        <v>9433</v>
      </c>
      <c r="AD47" s="7">
        <f t="shared" si="31"/>
        <v>449</v>
      </c>
      <c r="AE47" s="91">
        <f t="shared" si="32"/>
        <v>11519</v>
      </c>
    </row>
    <row r="48" spans="1:31">
      <c r="A48" s="89">
        <v>45</v>
      </c>
      <c r="B48" s="70" t="s">
        <v>204</v>
      </c>
      <c r="C48" s="125" t="str">
        <f>VLOOKUP($B48,Pecan!$B$8:$AD$29,MATCH('Master Sheet'!C$5,'HO '!$B$8:$AD$8,0),0)</f>
        <v>Srimanta Naskar</v>
      </c>
      <c r="D48" s="125" t="str">
        <f>VLOOKUP($B48,Pecan!$B$8:$AD$29,MATCH('Master Sheet'!D$5,'HO '!$B$8:$AD$8,0),0)</f>
        <v>Housekeeping</v>
      </c>
      <c r="E48" s="125" t="s">
        <v>223</v>
      </c>
      <c r="F48" s="125">
        <f>VLOOKUP($B48,Pecan!$B$8:$AD$29,MATCH('Master Sheet'!F$5,'HO '!$B$8:$AD$8,0),0)</f>
        <v>7546</v>
      </c>
      <c r="G48" s="125">
        <f>VLOOKUP($B48,Pecan!$B$8:$AD$29,MATCH('Master Sheet'!G$5,'HO '!$B$8:$AD$8,0),0)</f>
        <v>0</v>
      </c>
      <c r="H48" s="4">
        <f t="shared" si="18"/>
        <v>7546</v>
      </c>
      <c r="I48" s="5">
        <v>26</v>
      </c>
      <c r="J48" s="11">
        <f>VLOOKUP($B48,Pecan!$B$8:$AD$29,MATCH('Master Sheet'!J$5,'HO '!$B$8:$AD$8,0),0)</f>
        <v>25</v>
      </c>
      <c r="K48" s="11">
        <f>VLOOKUP($B48,Pecan!$B$8:$AD$29,MATCH('Master Sheet'!K$5,'HO '!$B$8:$AD$8,0),0)</f>
        <v>0</v>
      </c>
      <c r="L48" s="3">
        <f t="shared" si="19"/>
        <v>7255.7692307692305</v>
      </c>
      <c r="M48" s="3">
        <f t="shared" si="20"/>
        <v>0</v>
      </c>
      <c r="N48" s="3">
        <f t="shared" si="21"/>
        <v>0</v>
      </c>
      <c r="O48" s="6">
        <f t="shared" si="33"/>
        <v>7256</v>
      </c>
      <c r="P48" s="7">
        <f t="shared" si="22"/>
        <v>871</v>
      </c>
      <c r="Q48" s="7">
        <f t="shared" si="23"/>
        <v>127</v>
      </c>
      <c r="R48" s="8">
        <f t="shared" si="24"/>
        <v>0</v>
      </c>
      <c r="S48" s="125">
        <f>VLOOKUP($B48,Pecan!$B$8:$AD$29,MATCH('Master Sheet'!S$5,'HO '!$B$8:$AD$8,0),0)</f>
        <v>0</v>
      </c>
      <c r="T48" s="125">
        <f>VLOOKUP($B48,Pecan!$B$8:$AD$29,MATCH('Master Sheet'!T$5,'HO '!$B$8:$AD$8,0),0)</f>
        <v>0</v>
      </c>
      <c r="U48" s="9">
        <f t="shared" si="25"/>
        <v>998</v>
      </c>
      <c r="V48" s="68">
        <f t="shared" si="26"/>
        <v>6258</v>
      </c>
      <c r="W48" s="7">
        <f t="shared" si="34"/>
        <v>0</v>
      </c>
      <c r="X48" s="5">
        <f t="shared" si="35"/>
        <v>605</v>
      </c>
      <c r="Y48" s="68">
        <f t="shared" si="27"/>
        <v>6863</v>
      </c>
      <c r="Z48" s="7"/>
      <c r="AA48" s="7">
        <f t="shared" si="28"/>
        <v>7256</v>
      </c>
      <c r="AB48" s="7">
        <f t="shared" si="29"/>
        <v>969</v>
      </c>
      <c r="AC48" s="7">
        <f t="shared" si="30"/>
        <v>7256</v>
      </c>
      <c r="AD48" s="7">
        <f t="shared" si="31"/>
        <v>345</v>
      </c>
      <c r="AE48" s="91">
        <f t="shared" si="32"/>
        <v>9175</v>
      </c>
    </row>
    <row r="49" spans="1:31">
      <c r="A49" s="89">
        <v>46</v>
      </c>
      <c r="B49" s="70" t="s">
        <v>205</v>
      </c>
      <c r="C49" s="125" t="str">
        <f>VLOOKUP($B49,Pecan!$B$8:$AD$29,MATCH('Master Sheet'!C$5,'HO '!$B$8:$AD$8,0),0)</f>
        <v>Paritosh Shikari</v>
      </c>
      <c r="D49" s="125" t="str">
        <f>VLOOKUP($B49,Pecan!$B$8:$AD$29,MATCH('Master Sheet'!D$5,'HO '!$B$8:$AD$8,0),0)</f>
        <v>Housekeeping</v>
      </c>
      <c r="E49" s="125" t="s">
        <v>223</v>
      </c>
      <c r="F49" s="125">
        <f>VLOOKUP($B49,Pecan!$B$8:$AD$29,MATCH('Master Sheet'!F$5,'HO '!$B$8:$AD$8,0),0)</f>
        <v>7546</v>
      </c>
      <c r="G49" s="125">
        <f>VLOOKUP($B49,Pecan!$B$8:$AD$29,MATCH('Master Sheet'!G$5,'HO '!$B$8:$AD$8,0),0)</f>
        <v>0</v>
      </c>
      <c r="H49" s="4">
        <f t="shared" si="18"/>
        <v>7546</v>
      </c>
      <c r="I49" s="5">
        <v>26</v>
      </c>
      <c r="J49" s="11">
        <f>VLOOKUP($B49,Pecan!$B$8:$AD$29,MATCH('Master Sheet'!J$5,'HO '!$B$8:$AD$8,0),0)</f>
        <v>26</v>
      </c>
      <c r="K49" s="11">
        <f>VLOOKUP($B49,Pecan!$B$8:$AD$29,MATCH('Master Sheet'!K$5,'HO '!$B$8:$AD$8,0),0)</f>
        <v>0</v>
      </c>
      <c r="L49" s="3">
        <f t="shared" si="19"/>
        <v>7546</v>
      </c>
      <c r="M49" s="3">
        <f t="shared" si="20"/>
        <v>0</v>
      </c>
      <c r="N49" s="3">
        <f t="shared" si="21"/>
        <v>0</v>
      </c>
      <c r="O49" s="6">
        <f t="shared" si="33"/>
        <v>7546</v>
      </c>
      <c r="P49" s="7">
        <f t="shared" si="22"/>
        <v>906</v>
      </c>
      <c r="Q49" s="7">
        <f t="shared" si="23"/>
        <v>133</v>
      </c>
      <c r="R49" s="8">
        <f t="shared" si="24"/>
        <v>0</v>
      </c>
      <c r="S49" s="125">
        <f>VLOOKUP($B49,Pecan!$B$8:$AD$29,MATCH('Master Sheet'!S$5,'HO '!$B$8:$AD$8,0),0)</f>
        <v>0</v>
      </c>
      <c r="T49" s="125">
        <f>VLOOKUP($B49,Pecan!$B$8:$AD$29,MATCH('Master Sheet'!T$5,'HO '!$B$8:$AD$8,0),0)</f>
        <v>0</v>
      </c>
      <c r="U49" s="9">
        <f t="shared" si="25"/>
        <v>1039</v>
      </c>
      <c r="V49" s="68">
        <f t="shared" si="26"/>
        <v>6507</v>
      </c>
      <c r="W49" s="7">
        <f t="shared" si="34"/>
        <v>0</v>
      </c>
      <c r="X49" s="5">
        <f t="shared" si="35"/>
        <v>629</v>
      </c>
      <c r="Y49" s="68">
        <f t="shared" si="27"/>
        <v>7136</v>
      </c>
      <c r="Z49" s="7"/>
      <c r="AA49" s="7">
        <f t="shared" si="28"/>
        <v>7546</v>
      </c>
      <c r="AB49" s="7">
        <f t="shared" si="29"/>
        <v>1008</v>
      </c>
      <c r="AC49" s="7">
        <f t="shared" si="30"/>
        <v>7546</v>
      </c>
      <c r="AD49" s="7">
        <f t="shared" si="31"/>
        <v>359</v>
      </c>
      <c r="AE49" s="91">
        <f t="shared" si="32"/>
        <v>9542</v>
      </c>
    </row>
    <row r="50" spans="1:31">
      <c r="A50" s="89">
        <v>47</v>
      </c>
      <c r="B50" s="70" t="s">
        <v>206</v>
      </c>
      <c r="C50" s="125" t="str">
        <f>VLOOKUP($B50,Pecan!$B$8:$AD$29,MATCH('Master Sheet'!C$5,'HO '!$B$8:$AD$8,0),0)</f>
        <v>Suman Shikari</v>
      </c>
      <c r="D50" s="125" t="str">
        <f>VLOOKUP($B50,Pecan!$B$8:$AD$29,MATCH('Master Sheet'!D$5,'HO '!$B$8:$AD$8,0),0)</f>
        <v>Housekeeping</v>
      </c>
      <c r="E50" s="125" t="s">
        <v>223</v>
      </c>
      <c r="F50" s="125">
        <f>VLOOKUP($B50,Pecan!$B$8:$AD$29,MATCH('Master Sheet'!F$5,'HO '!$B$8:$AD$8,0),0)</f>
        <v>7546</v>
      </c>
      <c r="G50" s="125">
        <f>VLOOKUP($B50,Pecan!$B$8:$AD$29,MATCH('Master Sheet'!G$5,'HO '!$B$8:$AD$8,0),0)</f>
        <v>0</v>
      </c>
      <c r="H50" s="4">
        <f t="shared" si="18"/>
        <v>7546</v>
      </c>
      <c r="I50" s="5">
        <v>26</v>
      </c>
      <c r="J50" s="11">
        <f>VLOOKUP($B50,Pecan!$B$8:$AD$29,MATCH('Master Sheet'!J$5,'HO '!$B$8:$AD$8,0),0)</f>
        <v>26</v>
      </c>
      <c r="K50" s="11">
        <f>VLOOKUP($B50,Pecan!$B$8:$AD$29,MATCH('Master Sheet'!K$5,'HO '!$B$8:$AD$8,0),0)</f>
        <v>2</v>
      </c>
      <c r="L50" s="3">
        <f t="shared" si="19"/>
        <v>7546</v>
      </c>
      <c r="M50" s="3">
        <f t="shared" si="20"/>
        <v>0</v>
      </c>
      <c r="N50" s="3">
        <f t="shared" si="21"/>
        <v>580.46153846153845</v>
      </c>
      <c r="O50" s="6">
        <f t="shared" si="33"/>
        <v>8126</v>
      </c>
      <c r="P50" s="7">
        <f t="shared" si="22"/>
        <v>906</v>
      </c>
      <c r="Q50" s="7">
        <f t="shared" si="23"/>
        <v>143</v>
      </c>
      <c r="R50" s="8">
        <f t="shared" si="24"/>
        <v>0</v>
      </c>
      <c r="S50" s="125">
        <f>VLOOKUP($B50,Pecan!$B$8:$AD$29,MATCH('Master Sheet'!S$5,'HO '!$B$8:$AD$8,0),0)</f>
        <v>0</v>
      </c>
      <c r="T50" s="125">
        <f>VLOOKUP($B50,Pecan!$B$8:$AD$29,MATCH('Master Sheet'!T$5,'HO '!$B$8:$AD$8,0),0)</f>
        <v>0</v>
      </c>
      <c r="U50" s="9">
        <f t="shared" si="25"/>
        <v>1049</v>
      </c>
      <c r="V50" s="68">
        <f t="shared" si="26"/>
        <v>7077</v>
      </c>
      <c r="W50" s="7">
        <f t="shared" si="34"/>
        <v>78</v>
      </c>
      <c r="X50" s="5">
        <f t="shared" si="35"/>
        <v>629</v>
      </c>
      <c r="Y50" s="68">
        <f t="shared" si="27"/>
        <v>7784</v>
      </c>
      <c r="Z50" s="7"/>
      <c r="AA50" s="7">
        <f t="shared" si="28"/>
        <v>7546</v>
      </c>
      <c r="AB50" s="7">
        <f t="shared" si="29"/>
        <v>1008</v>
      </c>
      <c r="AC50" s="7">
        <f t="shared" si="30"/>
        <v>8126</v>
      </c>
      <c r="AD50" s="7">
        <f t="shared" si="31"/>
        <v>386</v>
      </c>
      <c r="AE50" s="91">
        <f t="shared" si="32"/>
        <v>10227</v>
      </c>
    </row>
    <row r="51" spans="1:31">
      <c r="A51" s="89">
        <v>48</v>
      </c>
      <c r="B51" s="70" t="s">
        <v>207</v>
      </c>
      <c r="C51" s="125" t="str">
        <f>VLOOKUP($B51,Pecan!$B$8:$AD$29,MATCH('Master Sheet'!C$5,'HO '!$B$8:$AD$8,0),0)</f>
        <v>Partha Naskar</v>
      </c>
      <c r="D51" s="125" t="str">
        <f>VLOOKUP($B51,Pecan!$B$8:$AD$29,MATCH('Master Sheet'!D$5,'HO '!$B$8:$AD$8,0),0)</f>
        <v>Housekeeping</v>
      </c>
      <c r="E51" s="125" t="s">
        <v>223</v>
      </c>
      <c r="F51" s="125">
        <f>VLOOKUP($B51,Pecan!$B$8:$AD$29,MATCH('Master Sheet'!F$5,'HO '!$B$8:$AD$8,0),0)</f>
        <v>7546</v>
      </c>
      <c r="G51" s="125">
        <f>VLOOKUP($B51,Pecan!$B$8:$AD$29,MATCH('Master Sheet'!G$5,'HO '!$B$8:$AD$8,0),0)</f>
        <v>0</v>
      </c>
      <c r="H51" s="4">
        <f t="shared" si="18"/>
        <v>7546</v>
      </c>
      <c r="I51" s="5">
        <v>26</v>
      </c>
      <c r="J51" s="11">
        <f>VLOOKUP($B51,Pecan!$B$8:$AD$29,MATCH('Master Sheet'!J$5,'HO '!$B$8:$AD$8,0),0)</f>
        <v>26</v>
      </c>
      <c r="K51" s="11">
        <f>VLOOKUP($B51,Pecan!$B$8:$AD$29,MATCH('Master Sheet'!K$5,'HO '!$B$8:$AD$8,0),0)</f>
        <v>2</v>
      </c>
      <c r="L51" s="3">
        <f t="shared" si="19"/>
        <v>7546</v>
      </c>
      <c r="M51" s="3">
        <f t="shared" si="20"/>
        <v>0</v>
      </c>
      <c r="N51" s="3">
        <f t="shared" si="21"/>
        <v>580.46153846153845</v>
      </c>
      <c r="O51" s="6">
        <f t="shared" si="33"/>
        <v>8126</v>
      </c>
      <c r="P51" s="7">
        <f t="shared" si="22"/>
        <v>906</v>
      </c>
      <c r="Q51" s="7">
        <f t="shared" si="23"/>
        <v>143</v>
      </c>
      <c r="R51" s="8">
        <f t="shared" si="24"/>
        <v>0</v>
      </c>
      <c r="S51" s="125">
        <f>VLOOKUP($B51,Pecan!$B$8:$AD$29,MATCH('Master Sheet'!S$5,'HO '!$B$8:$AD$8,0),0)</f>
        <v>0</v>
      </c>
      <c r="T51" s="125">
        <f>VLOOKUP($B51,Pecan!$B$8:$AD$29,MATCH('Master Sheet'!T$5,'HO '!$B$8:$AD$8,0),0)</f>
        <v>0</v>
      </c>
      <c r="U51" s="9">
        <f t="shared" si="25"/>
        <v>1049</v>
      </c>
      <c r="V51" s="68">
        <f t="shared" si="26"/>
        <v>7077</v>
      </c>
      <c r="W51" s="7">
        <f t="shared" si="34"/>
        <v>78</v>
      </c>
      <c r="X51" s="5">
        <f t="shared" si="35"/>
        <v>629</v>
      </c>
      <c r="Y51" s="68">
        <f t="shared" si="27"/>
        <v>7784</v>
      </c>
      <c r="Z51" s="7"/>
      <c r="AA51" s="7">
        <f t="shared" si="28"/>
        <v>7546</v>
      </c>
      <c r="AB51" s="7">
        <f t="shared" si="29"/>
        <v>1008</v>
      </c>
      <c r="AC51" s="7">
        <f t="shared" si="30"/>
        <v>8126</v>
      </c>
      <c r="AD51" s="7">
        <f t="shared" si="31"/>
        <v>386</v>
      </c>
      <c r="AE51" s="91">
        <f t="shared" si="32"/>
        <v>10227</v>
      </c>
    </row>
    <row r="52" spans="1:31">
      <c r="A52" s="89">
        <v>49</v>
      </c>
      <c r="B52" s="70"/>
      <c r="C52" s="126"/>
      <c r="D52" s="10"/>
      <c r="E52" s="10"/>
      <c r="F52" s="3"/>
      <c r="G52" s="3"/>
      <c r="H52" s="4">
        <f t="shared" si="18"/>
        <v>0</v>
      </c>
      <c r="I52" s="5">
        <v>26</v>
      </c>
      <c r="J52" s="11"/>
      <c r="K52" s="11"/>
      <c r="L52" s="3">
        <f t="shared" si="19"/>
        <v>0</v>
      </c>
      <c r="M52" s="3">
        <f t="shared" si="20"/>
        <v>0</v>
      </c>
      <c r="N52" s="3">
        <f t="shared" si="21"/>
        <v>0</v>
      </c>
      <c r="O52" s="6">
        <f t="shared" si="33"/>
        <v>0</v>
      </c>
      <c r="P52" s="7">
        <f t="shared" si="22"/>
        <v>0</v>
      </c>
      <c r="Q52" s="7">
        <f t="shared" si="23"/>
        <v>0</v>
      </c>
      <c r="R52" s="8">
        <f t="shared" si="24"/>
        <v>0</v>
      </c>
      <c r="S52" s="3"/>
      <c r="T52" s="3">
        <v>0</v>
      </c>
      <c r="U52" s="9">
        <f t="shared" si="25"/>
        <v>0</v>
      </c>
      <c r="V52" s="68">
        <f t="shared" si="26"/>
        <v>0</v>
      </c>
      <c r="W52" s="7">
        <f t="shared" si="34"/>
        <v>0</v>
      </c>
      <c r="X52" s="5">
        <f t="shared" si="35"/>
        <v>0</v>
      </c>
      <c r="Y52" s="68">
        <f t="shared" si="27"/>
        <v>0</v>
      </c>
      <c r="Z52" s="7"/>
      <c r="AA52" s="7">
        <f t="shared" si="28"/>
        <v>0</v>
      </c>
      <c r="AB52" s="7">
        <f t="shared" si="29"/>
        <v>0</v>
      </c>
      <c r="AC52" s="7">
        <f t="shared" si="30"/>
        <v>0</v>
      </c>
      <c r="AD52" s="7">
        <f t="shared" si="31"/>
        <v>0</v>
      </c>
      <c r="AE52" s="91">
        <f t="shared" si="32"/>
        <v>0</v>
      </c>
    </row>
  </sheetData>
  <autoFilter ref="D5:D52"/>
  <sortState ref="A6:AE54">
    <sortCondition ref="B6:B54"/>
  </sortState>
  <mergeCells count="3">
    <mergeCell ref="A1:Z1"/>
    <mergeCell ref="A2:Z2"/>
    <mergeCell ref="A3:Z3"/>
  </mergeCells>
  <printOptions horizontalCentered="1"/>
  <pageMargins left="0" right="0" top="0.23" bottom="0" header="0" footer="0"/>
  <pageSetup paperSize="9" scale="65" orientation="landscape" copies="2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B1:J32"/>
  <sheetViews>
    <sheetView topLeftCell="A4" zoomScaleSheetLayoutView="100" workbookViewId="0">
      <selection activeCell="I20" sqref="I20"/>
    </sheetView>
  </sheetViews>
  <sheetFormatPr defaultRowHeight="15"/>
  <cols>
    <col min="1" max="1" width="9.140625" style="26"/>
    <col min="2" max="2" width="19.85546875" style="26" bestFit="1" customWidth="1"/>
    <col min="3" max="3" width="21.140625" style="26" bestFit="1" customWidth="1"/>
    <col min="4" max="4" width="15.7109375" style="26" customWidth="1"/>
    <col min="5" max="5" width="24.42578125" style="26" bestFit="1" customWidth="1"/>
    <col min="6" max="6" width="14" style="26" customWidth="1"/>
    <col min="7" max="7" width="9.140625" style="26"/>
    <col min="8" max="8" width="16.7109375" style="26" bestFit="1" customWidth="1"/>
    <col min="9" max="9" width="15.42578125" style="26" bestFit="1" customWidth="1"/>
    <col min="10" max="10" width="8.42578125" style="26" bestFit="1" customWidth="1"/>
    <col min="11" max="16384" width="9.140625" style="26"/>
  </cols>
  <sheetData>
    <row r="1" spans="2:10">
      <c r="I1" s="86" t="s">
        <v>154</v>
      </c>
      <c r="J1" s="181">
        <v>42795</v>
      </c>
    </row>
    <row r="2" spans="2:10">
      <c r="I2" s="86" t="s">
        <v>6</v>
      </c>
      <c r="J2" s="86">
        <f>DAY(EOMONTH(J1,0))</f>
        <v>31</v>
      </c>
    </row>
    <row r="3" spans="2:10">
      <c r="I3" s="86" t="s">
        <v>132</v>
      </c>
      <c r="J3" s="182" t="str">
        <f>VLOOKUP($C$13,'Master Sheet'!$B$5:$AE$98,MATCH(I3,'Master Sheet'!$B$5:$AE$5,0),0)</f>
        <v>Primarc HO</v>
      </c>
    </row>
    <row r="6" spans="2:10" ht="28.5">
      <c r="B6" s="213" t="s">
        <v>153</v>
      </c>
      <c r="C6" s="214"/>
      <c r="D6" s="214"/>
      <c r="E6" s="214"/>
      <c r="F6" s="215"/>
    </row>
    <row r="7" spans="2:10" ht="16.5">
      <c r="B7" s="220" t="s">
        <v>134</v>
      </c>
      <c r="C7" s="221"/>
      <c r="D7" s="221"/>
      <c r="E7" s="221"/>
      <c r="F7" s="222"/>
    </row>
    <row r="8" spans="2:10" ht="15" customHeight="1">
      <c r="B8" s="162"/>
      <c r="C8" s="150"/>
      <c r="D8" s="150"/>
      <c r="E8" s="150"/>
      <c r="F8" s="163"/>
    </row>
    <row r="9" spans="2:10" ht="21" customHeight="1">
      <c r="B9" s="216" t="str">
        <f>"Payslip for the month of "&amp;""&amp;TEXT(J1,"mmmm yyyy")&amp;""</f>
        <v>Payslip for the month of March 2017</v>
      </c>
      <c r="C9" s="217"/>
      <c r="D9" s="217"/>
      <c r="E9" s="217"/>
      <c r="F9" s="218"/>
    </row>
    <row r="10" spans="2:10">
      <c r="B10" s="164" t="s">
        <v>119</v>
      </c>
      <c r="C10" s="219" t="str">
        <f>VLOOKUP($C$12,'Client Name &amp; Address'!$C$2:$E$8,MATCH(Payslip!B10,'Client Name &amp; Address'!$C$2:$E$2,0),0)</f>
        <v>Primarc Projects Pvt. Ltd</v>
      </c>
      <c r="D10" s="219"/>
      <c r="E10" s="219"/>
      <c r="F10" s="223"/>
    </row>
    <row r="11" spans="2:10" ht="28.5" customHeight="1">
      <c r="B11" s="165" t="s">
        <v>211</v>
      </c>
      <c r="C11" s="224" t="str">
        <f>VLOOKUP($C$12,'Client Name &amp; Address'!$C$2:$E$8,MATCH(Payslip!B11,'Client Name &amp; Address'!$C$2:$E$2,0),0)</f>
        <v>6A, Elgin Road, 2nd Floor, Kolkata - 700 020</v>
      </c>
      <c r="D11" s="224"/>
      <c r="E11" s="224"/>
      <c r="F11" s="225"/>
    </row>
    <row r="12" spans="2:10">
      <c r="B12" s="166" t="s">
        <v>212</v>
      </c>
      <c r="C12" s="205" t="str">
        <f>VLOOKUP(J3,'Client Name &amp; Address'!$B$2:$E$8,MATCH(Payslip!B12,'Client Name &amp; Address'!$B$2:$E$2,0),0)</f>
        <v>Primarc HO</v>
      </c>
      <c r="D12" s="205"/>
      <c r="E12" s="205"/>
      <c r="F12" s="206"/>
      <c r="J12" s="180"/>
    </row>
    <row r="13" spans="2:10">
      <c r="B13" s="164" t="s">
        <v>210</v>
      </c>
      <c r="C13" s="136" t="s">
        <v>172</v>
      </c>
      <c r="D13" s="136"/>
      <c r="E13" s="137" t="s">
        <v>11</v>
      </c>
      <c r="F13" s="153">
        <f>VLOOKUP($C$13,'Master Sheet'!$B$5:$AE$98,MATCH(E13,'Master Sheet'!$B$5:$AE$5,0),0)</f>
        <v>1008</v>
      </c>
    </row>
    <row r="14" spans="2:10">
      <c r="B14" s="167" t="s">
        <v>1</v>
      </c>
      <c r="C14" s="219" t="str">
        <f>VLOOKUP($C$13,'Master Sheet'!$B$5:$AE$98,MATCH(B14,'Master Sheet'!$B$5:$AE$5,0),0)</f>
        <v>Amit Gayan</v>
      </c>
      <c r="D14" s="219"/>
      <c r="E14" s="131" t="s">
        <v>13</v>
      </c>
      <c r="F14" s="168">
        <f>VLOOKUP($C$13,'Master Sheet'!$B$5:$AE$98,MATCH(E14,'Master Sheet'!$B$5:$AE$5,0),0)</f>
        <v>386</v>
      </c>
    </row>
    <row r="15" spans="2:10">
      <c r="B15" s="167" t="s">
        <v>2</v>
      </c>
      <c r="C15" s="219" t="str">
        <f>VLOOKUP($C$13,'Master Sheet'!$B$5:$AE$98,MATCH(B15,'Master Sheet'!$B$5:$AE$5,0),0)</f>
        <v>Housekeeping</v>
      </c>
      <c r="D15" s="219"/>
      <c r="E15" s="131" t="s">
        <v>21</v>
      </c>
      <c r="F15" s="185">
        <f>VLOOKUP($C$13,'Master Sheet'!$B$5:$AE$98,MATCH(E15,'Master Sheet'!$B$5:$AE$5,0),0)</f>
        <v>628.83333333333337</v>
      </c>
    </row>
    <row r="16" spans="2:10">
      <c r="B16" s="167" t="s">
        <v>7</v>
      </c>
      <c r="C16" s="149">
        <f>VLOOKUP($C$13,'Master Sheet'!$B$5:$AE$98,MATCH(B16,'Master Sheet'!$B$5:$AE$5,0),0)</f>
        <v>26</v>
      </c>
      <c r="D16" s="135"/>
      <c r="E16" s="130"/>
      <c r="F16" s="169"/>
    </row>
    <row r="17" spans="2:7">
      <c r="B17" s="170" t="s">
        <v>47</v>
      </c>
      <c r="C17" s="151">
        <f>VLOOKUP($C$13,'Master Sheet'!$B$5:$AE$98,MATCH(B17,'Master Sheet'!$B$5:$AE$5,0),0)</f>
        <v>2</v>
      </c>
      <c r="D17" s="151"/>
      <c r="E17" s="138"/>
      <c r="F17" s="171"/>
    </row>
    <row r="18" spans="2:7" hidden="1">
      <c r="B18" s="226" t="s">
        <v>155</v>
      </c>
      <c r="C18" s="226"/>
      <c r="D18" s="226"/>
      <c r="E18" s="226" t="s">
        <v>156</v>
      </c>
      <c r="F18" s="226"/>
    </row>
    <row r="19" spans="2:7">
      <c r="B19" s="152" t="s">
        <v>157</v>
      </c>
      <c r="C19" s="132" t="s">
        <v>213</v>
      </c>
      <c r="D19" s="132" t="s">
        <v>158</v>
      </c>
      <c r="E19" s="152" t="s">
        <v>159</v>
      </c>
      <c r="F19" s="152" t="s">
        <v>118</v>
      </c>
    </row>
    <row r="20" spans="2:7">
      <c r="B20" s="143" t="s">
        <v>3</v>
      </c>
      <c r="C20" s="139">
        <f>VLOOKUP($C$13,'Master Sheet'!$B$5:$AE$98,MATCH(B20,'Master Sheet'!$B$5:$AE$5,0),0)</f>
        <v>7546</v>
      </c>
      <c r="D20" s="140">
        <f>C20/26*$C$16</f>
        <v>7546</v>
      </c>
      <c r="E20" s="143" t="s">
        <v>14</v>
      </c>
      <c r="F20" s="140">
        <f>VLOOKUP($C$13,'Master Sheet'!$B$5:$AE$98,MATCH(E20,'Master Sheet'!$B$5:$AE$5,0),0)</f>
        <v>906</v>
      </c>
    </row>
    <row r="21" spans="2:7">
      <c r="B21" s="144" t="s">
        <v>160</v>
      </c>
      <c r="C21" s="141">
        <v>0</v>
      </c>
      <c r="D21" s="142">
        <f t="shared" ref="D21:D22" si="0">C21/26*$C$16</f>
        <v>0</v>
      </c>
      <c r="E21" s="144" t="s">
        <v>15</v>
      </c>
      <c r="F21" s="142">
        <f>VLOOKUP($C$13,'Master Sheet'!$B$5:$AE$98,MATCH(E21,'Master Sheet'!$B$5:$AE$5,0),0)</f>
        <v>143</v>
      </c>
    </row>
    <row r="22" spans="2:7">
      <c r="B22" s="144" t="s">
        <v>161</v>
      </c>
      <c r="C22" s="141">
        <v>0</v>
      </c>
      <c r="D22" s="142">
        <f t="shared" si="0"/>
        <v>0</v>
      </c>
      <c r="E22" s="144" t="s">
        <v>16</v>
      </c>
      <c r="F22" s="142">
        <f>VLOOKUP($C$13,'Master Sheet'!$B$5:$AE$98,MATCH(E22,'Master Sheet'!$B$5:$AE$5,0),0)</f>
        <v>0</v>
      </c>
    </row>
    <row r="23" spans="2:7">
      <c r="B23" s="144" t="s">
        <v>4</v>
      </c>
      <c r="C23" s="141">
        <f>VLOOKUP($C$13,'Master Sheet'!$B$5:$AE$98,MATCH(B23,'Master Sheet'!$B$5:$AE$5,0),0)</f>
        <v>0</v>
      </c>
      <c r="D23" s="142">
        <f>C23/26*$C$16</f>
        <v>0</v>
      </c>
      <c r="E23" s="144" t="s">
        <v>17</v>
      </c>
      <c r="F23" s="142">
        <f>VLOOKUP($C$13,'Master Sheet'!$B$5:$AE$98,MATCH(E23,'Master Sheet'!$B$5:$AE$5,0),0)</f>
        <v>0</v>
      </c>
    </row>
    <row r="24" spans="2:7">
      <c r="B24" s="144" t="s">
        <v>80</v>
      </c>
      <c r="C24" s="141">
        <v>0</v>
      </c>
      <c r="D24" s="142">
        <f>C25/26*$C$17</f>
        <v>580.46153846153845</v>
      </c>
      <c r="E24" s="144" t="s">
        <v>18</v>
      </c>
      <c r="F24" s="142">
        <f>VLOOKUP($C$13,'Master Sheet'!$B$5:$AE$98,MATCH(E24,'Master Sheet'!$B$5:$AE$5,0),0)</f>
        <v>0</v>
      </c>
    </row>
    <row r="25" spans="2:7">
      <c r="B25" s="152" t="s">
        <v>214</v>
      </c>
      <c r="C25" s="132">
        <f>SUM(C20:C24)</f>
        <v>7546</v>
      </c>
      <c r="D25" s="132">
        <f>SUM(D20:D24)</f>
        <v>8126.4615384615381</v>
      </c>
      <c r="E25" s="133" t="s">
        <v>215</v>
      </c>
      <c r="F25" s="132">
        <f>SUM(F20:F24)</f>
        <v>1049</v>
      </c>
    </row>
    <row r="26" spans="2:7">
      <c r="B26" s="172" t="s">
        <v>162</v>
      </c>
      <c r="C26" s="145">
        <f>ROUND(D25-F25,0)</f>
        <v>7077</v>
      </c>
      <c r="D26" s="146"/>
      <c r="E26" s="137"/>
      <c r="F26" s="173"/>
    </row>
    <row r="27" spans="2:7">
      <c r="B27" s="170" t="s">
        <v>163</v>
      </c>
      <c r="C27" s="211" t="e">
        <f ca="1">ConvertCurrencyToEnglish(C26)</f>
        <v>#NAME?</v>
      </c>
      <c r="D27" s="211"/>
      <c r="E27" s="211"/>
      <c r="F27" s="212"/>
    </row>
    <row r="28" spans="2:7">
      <c r="B28" s="155" t="s">
        <v>216</v>
      </c>
      <c r="C28" s="154"/>
      <c r="D28" s="156"/>
      <c r="E28" s="209" t="s">
        <v>217</v>
      </c>
      <c r="F28" s="210"/>
      <c r="G28" s="148"/>
    </row>
    <row r="29" spans="2:7">
      <c r="B29" s="157"/>
      <c r="C29" s="147"/>
      <c r="D29" s="158"/>
      <c r="E29" s="157"/>
      <c r="F29" s="158"/>
    </row>
    <row r="30" spans="2:7">
      <c r="B30" s="157"/>
      <c r="C30" s="147"/>
      <c r="D30" s="158"/>
      <c r="E30" s="157"/>
      <c r="F30" s="158"/>
    </row>
    <row r="31" spans="2:7">
      <c r="B31" s="157"/>
      <c r="C31" s="147"/>
      <c r="D31" s="158"/>
      <c r="E31" s="157"/>
      <c r="F31" s="158"/>
    </row>
    <row r="32" spans="2:7">
      <c r="B32" s="159"/>
      <c r="C32" s="160"/>
      <c r="D32" s="161"/>
      <c r="E32" s="207" t="s">
        <v>218</v>
      </c>
      <c r="F32" s="208"/>
    </row>
  </sheetData>
  <mergeCells count="13">
    <mergeCell ref="C12:F12"/>
    <mergeCell ref="E32:F32"/>
    <mergeCell ref="E28:F28"/>
    <mergeCell ref="C27:F27"/>
    <mergeCell ref="B6:F6"/>
    <mergeCell ref="B9:F9"/>
    <mergeCell ref="C14:D14"/>
    <mergeCell ref="B7:F7"/>
    <mergeCell ref="C10:F10"/>
    <mergeCell ref="C11:F11"/>
    <mergeCell ref="C15:D15"/>
    <mergeCell ref="B18:D18"/>
    <mergeCell ref="E18:F18"/>
  </mergeCells>
  <printOptions horizontalCentered="1"/>
  <pageMargins left="0" right="0" top="0.25" bottom="0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Sheet'!$B$6:$B$98</xm:f>
          </x14:formula1>
          <xm:sqref>C13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2:E9"/>
  <sheetViews>
    <sheetView workbookViewId="0">
      <pane xSplit="4" ySplit="2" topLeftCell="E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5"/>
  <cols>
    <col min="1" max="1" width="7" style="124" bestFit="1" customWidth="1"/>
    <col min="2" max="2" width="12.140625" style="124" bestFit="1" customWidth="1"/>
    <col min="3" max="3" width="29.42578125" style="123" customWidth="1"/>
    <col min="4" max="4" width="27.140625" style="123" bestFit="1" customWidth="1"/>
    <col min="5" max="5" width="29.42578125" style="123" customWidth="1"/>
    <col min="6" max="16384" width="9.140625" style="123"/>
  </cols>
  <sheetData>
    <row r="2" spans="1:5" s="122" customFormat="1">
      <c r="A2" s="121" t="s">
        <v>222</v>
      </c>
      <c r="B2" s="121" t="s">
        <v>132</v>
      </c>
      <c r="C2" s="121" t="s">
        <v>212</v>
      </c>
      <c r="D2" s="121" t="s">
        <v>119</v>
      </c>
      <c r="E2" s="121" t="s">
        <v>211</v>
      </c>
    </row>
    <row r="3" spans="1:5" ht="30">
      <c r="A3" s="176">
        <v>1</v>
      </c>
      <c r="B3" s="179" t="s">
        <v>104</v>
      </c>
      <c r="C3" s="177" t="s">
        <v>104</v>
      </c>
      <c r="D3" s="177" t="s">
        <v>101</v>
      </c>
      <c r="E3" s="177" t="s">
        <v>133</v>
      </c>
    </row>
    <row r="4" spans="1:5" ht="30">
      <c r="A4" s="176">
        <v>2</v>
      </c>
      <c r="B4" s="179" t="s">
        <v>220</v>
      </c>
      <c r="C4" s="177" t="s">
        <v>110</v>
      </c>
      <c r="D4" s="177" t="s">
        <v>101</v>
      </c>
      <c r="E4" s="177" t="s">
        <v>133</v>
      </c>
    </row>
    <row r="5" spans="1:5" ht="30">
      <c r="A5" s="176">
        <v>3</v>
      </c>
      <c r="B5" s="179" t="s">
        <v>54</v>
      </c>
      <c r="C5" s="177" t="s">
        <v>131</v>
      </c>
      <c r="D5" s="177" t="s">
        <v>53</v>
      </c>
      <c r="E5" s="177" t="s">
        <v>133</v>
      </c>
    </row>
    <row r="6" spans="1:5" ht="30">
      <c r="A6" s="176">
        <v>4</v>
      </c>
      <c r="B6" s="179" t="s">
        <v>52</v>
      </c>
      <c r="C6" s="177" t="s">
        <v>112</v>
      </c>
      <c r="D6" s="177" t="s">
        <v>102</v>
      </c>
      <c r="E6" s="177" t="s">
        <v>133</v>
      </c>
    </row>
    <row r="7" spans="1:5" ht="30">
      <c r="A7" s="176">
        <v>5</v>
      </c>
      <c r="B7" s="179" t="s">
        <v>221</v>
      </c>
      <c r="C7" s="177" t="s">
        <v>113</v>
      </c>
      <c r="D7" s="177" t="s">
        <v>87</v>
      </c>
      <c r="E7" s="177" t="s">
        <v>133</v>
      </c>
    </row>
    <row r="8" spans="1:5" ht="90">
      <c r="A8" s="176">
        <v>6</v>
      </c>
      <c r="B8" s="179" t="s">
        <v>223</v>
      </c>
      <c r="C8" s="177" t="s">
        <v>219</v>
      </c>
      <c r="D8" s="177" t="s">
        <v>224</v>
      </c>
      <c r="E8" s="178" t="s">
        <v>225</v>
      </c>
    </row>
    <row r="9" spans="1:5">
      <c r="E9" s="18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R12"/>
  <sheetViews>
    <sheetView zoomScaleSheetLayoutView="100" workbookViewId="0">
      <selection activeCell="B5" sqref="B5:B10"/>
    </sheetView>
  </sheetViews>
  <sheetFormatPr defaultRowHeight="15"/>
  <cols>
    <col min="1" max="1" width="5.5703125" style="32" bestFit="1" customWidth="1"/>
    <col min="2" max="2" width="15.42578125" style="31" customWidth="1"/>
    <col min="3" max="3" width="5.140625" style="33" bestFit="1" customWidth="1"/>
    <col min="4" max="4" width="25.140625" style="34" customWidth="1"/>
    <col min="5" max="5" width="18.7109375" style="34" customWidth="1"/>
    <col min="6" max="6" width="6.7109375" style="26" bestFit="1" customWidth="1"/>
    <col min="7" max="7" width="8.42578125" style="26" customWidth="1"/>
    <col min="8" max="8" width="6.85546875" style="26" customWidth="1"/>
    <col min="9" max="9" width="11.42578125" style="26" customWidth="1"/>
    <col min="10" max="10" width="10.28515625" style="26" bestFit="1" customWidth="1"/>
    <col min="11" max="11" width="11.140625" style="26" customWidth="1"/>
    <col min="12" max="12" width="8" style="26" customWidth="1"/>
    <col min="13" max="13" width="9.7109375" style="26" bestFit="1" customWidth="1"/>
    <col min="14" max="14" width="11.7109375" style="26" bestFit="1" customWidth="1"/>
    <col min="15" max="15" width="10.42578125" style="26" customWidth="1"/>
    <col min="16" max="16" width="6.85546875" style="26" bestFit="1" customWidth="1"/>
    <col min="17" max="17" width="7.28515625" style="35" customWidth="1"/>
    <col min="18" max="18" width="27.42578125" style="31" customWidth="1"/>
    <col min="19" max="16384" width="9.140625" style="26"/>
  </cols>
  <sheetData>
    <row r="1" spans="1:17" ht="21">
      <c r="A1" s="229" t="s">
        <v>81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</row>
    <row r="2" spans="1:17">
      <c r="P2" s="35"/>
      <c r="Q2" s="26"/>
    </row>
    <row r="3" spans="1:17" ht="24">
      <c r="A3" s="235" t="s">
        <v>0</v>
      </c>
      <c r="B3" s="227" t="s">
        <v>42</v>
      </c>
      <c r="C3" s="235" t="s">
        <v>0</v>
      </c>
      <c r="D3" s="27" t="s">
        <v>43</v>
      </c>
      <c r="E3" s="27" t="s">
        <v>44</v>
      </c>
      <c r="F3" s="27" t="s">
        <v>24</v>
      </c>
      <c r="G3" s="27" t="s">
        <v>26</v>
      </c>
      <c r="H3" s="27" t="s">
        <v>27</v>
      </c>
      <c r="I3" s="27" t="s">
        <v>28</v>
      </c>
      <c r="J3" s="27" t="s">
        <v>82</v>
      </c>
      <c r="K3" s="27" t="s">
        <v>72</v>
      </c>
      <c r="L3" s="27" t="s">
        <v>83</v>
      </c>
      <c r="M3" s="27" t="s">
        <v>83</v>
      </c>
      <c r="N3" s="27" t="s">
        <v>84</v>
      </c>
      <c r="O3" s="27" t="s">
        <v>30</v>
      </c>
      <c r="P3" s="227" t="s">
        <v>45</v>
      </c>
      <c r="Q3" s="227" t="s">
        <v>46</v>
      </c>
    </row>
    <row r="4" spans="1:17">
      <c r="A4" s="236"/>
      <c r="B4" s="228"/>
      <c r="C4" s="236"/>
      <c r="D4" s="14" t="s">
        <v>33</v>
      </c>
      <c r="E4" s="27"/>
      <c r="F4" s="15" t="s">
        <v>34</v>
      </c>
      <c r="G4" s="15" t="s">
        <v>34</v>
      </c>
      <c r="H4" s="15" t="s">
        <v>34</v>
      </c>
      <c r="I4" s="15" t="s">
        <v>35</v>
      </c>
      <c r="J4" s="15" t="s">
        <v>35</v>
      </c>
      <c r="K4" s="15" t="s">
        <v>35</v>
      </c>
      <c r="L4" s="15" t="s">
        <v>35</v>
      </c>
      <c r="M4" s="15" t="s">
        <v>85</v>
      </c>
      <c r="N4" s="15" t="s">
        <v>34</v>
      </c>
      <c r="O4" s="15" t="s">
        <v>35</v>
      </c>
      <c r="P4" s="228"/>
      <c r="Q4" s="228"/>
    </row>
    <row r="5" spans="1:17">
      <c r="A5" s="230">
        <v>4</v>
      </c>
      <c r="B5" s="231" t="s">
        <v>49</v>
      </c>
      <c r="C5" s="36">
        <v>1</v>
      </c>
      <c r="D5" s="29" t="s">
        <v>50</v>
      </c>
      <c r="E5" s="29" t="s">
        <v>66</v>
      </c>
      <c r="F5" s="30">
        <v>0</v>
      </c>
      <c r="G5" s="30">
        <v>0</v>
      </c>
      <c r="H5" s="30">
        <v>0</v>
      </c>
      <c r="I5" s="30">
        <v>8</v>
      </c>
      <c r="J5" s="30">
        <v>1</v>
      </c>
      <c r="K5" s="30">
        <v>0</v>
      </c>
      <c r="L5" s="30">
        <v>1</v>
      </c>
      <c r="M5" s="30"/>
      <c r="N5" s="30">
        <v>0</v>
      </c>
      <c r="O5" s="30">
        <v>1</v>
      </c>
      <c r="P5" s="28">
        <f>SUM(F5:O5)</f>
        <v>11</v>
      </c>
      <c r="Q5" s="55"/>
    </row>
    <row r="6" spans="1:17">
      <c r="A6" s="230"/>
      <c r="B6" s="232"/>
      <c r="C6" s="36">
        <v>2</v>
      </c>
      <c r="D6" s="29" t="s">
        <v>51</v>
      </c>
      <c r="E6" s="29" t="s">
        <v>52</v>
      </c>
      <c r="F6" s="30">
        <v>4</v>
      </c>
      <c r="G6" s="30">
        <v>0</v>
      </c>
      <c r="H6" s="30">
        <v>0</v>
      </c>
      <c r="I6" s="37">
        <v>2</v>
      </c>
      <c r="J6" s="30">
        <v>0</v>
      </c>
      <c r="K6" s="30">
        <v>0</v>
      </c>
      <c r="L6" s="30">
        <v>0</v>
      </c>
      <c r="M6" s="30"/>
      <c r="N6" s="30">
        <v>0</v>
      </c>
      <c r="O6" s="30">
        <v>0</v>
      </c>
      <c r="P6" s="28">
        <f t="shared" ref="P6:P11" si="0">SUM(F6:O6)</f>
        <v>6</v>
      </c>
      <c r="Q6" s="55"/>
    </row>
    <row r="7" spans="1:17">
      <c r="A7" s="230"/>
      <c r="B7" s="232"/>
      <c r="C7" s="36">
        <v>3</v>
      </c>
      <c r="D7" s="38" t="s">
        <v>53</v>
      </c>
      <c r="E7" s="39" t="s">
        <v>54</v>
      </c>
      <c r="F7" s="37">
        <v>5</v>
      </c>
      <c r="G7" s="37" t="s">
        <v>55</v>
      </c>
      <c r="H7" s="37" t="s">
        <v>55</v>
      </c>
      <c r="I7" s="37">
        <v>1</v>
      </c>
      <c r="J7" s="37" t="s">
        <v>55</v>
      </c>
      <c r="K7" s="37" t="s">
        <v>55</v>
      </c>
      <c r="L7" s="37" t="s">
        <v>55</v>
      </c>
      <c r="M7" s="37"/>
      <c r="N7" s="37">
        <v>0</v>
      </c>
      <c r="O7" s="37" t="s">
        <v>55</v>
      </c>
      <c r="P7" s="28">
        <f t="shared" si="0"/>
        <v>6</v>
      </c>
      <c r="Q7" s="55"/>
    </row>
    <row r="8" spans="1:17">
      <c r="A8" s="230"/>
      <c r="B8" s="232"/>
      <c r="C8" s="36">
        <v>4</v>
      </c>
      <c r="D8" s="29" t="s">
        <v>50</v>
      </c>
      <c r="E8" s="39" t="s">
        <v>86</v>
      </c>
      <c r="F8" s="37" t="s">
        <v>55</v>
      </c>
      <c r="G8" s="37" t="s">
        <v>55</v>
      </c>
      <c r="H8" s="37">
        <v>3</v>
      </c>
      <c r="I8" s="37">
        <v>0</v>
      </c>
      <c r="J8" s="37" t="s">
        <v>55</v>
      </c>
      <c r="K8" s="37" t="s">
        <v>55</v>
      </c>
      <c r="L8" s="37">
        <v>0</v>
      </c>
      <c r="M8" s="37"/>
      <c r="N8" s="37">
        <v>0</v>
      </c>
      <c r="O8" s="37">
        <v>0</v>
      </c>
      <c r="P8" s="28">
        <f t="shared" si="0"/>
        <v>3</v>
      </c>
      <c r="Q8" s="55"/>
    </row>
    <row r="9" spans="1:17">
      <c r="A9" s="230"/>
      <c r="B9" s="232"/>
      <c r="C9" s="36">
        <v>5</v>
      </c>
      <c r="D9" s="29" t="s">
        <v>87</v>
      </c>
      <c r="E9" s="29" t="s">
        <v>88</v>
      </c>
      <c r="F9" s="56">
        <v>3</v>
      </c>
      <c r="G9" s="37">
        <v>0</v>
      </c>
      <c r="H9" s="37">
        <v>0</v>
      </c>
      <c r="I9" s="37">
        <v>0</v>
      </c>
      <c r="J9" s="37">
        <v>0</v>
      </c>
      <c r="K9" s="37">
        <v>0</v>
      </c>
      <c r="L9" s="37">
        <v>0</v>
      </c>
      <c r="M9" s="37"/>
      <c r="N9" s="37">
        <v>0</v>
      </c>
      <c r="O9" s="37">
        <v>0</v>
      </c>
      <c r="P9" s="28">
        <f t="shared" ref="P9" si="1">SUM(F9:O9)</f>
        <v>3</v>
      </c>
      <c r="Q9" s="55"/>
    </row>
    <row r="10" spans="1:17">
      <c r="A10" s="230"/>
      <c r="B10" s="233"/>
      <c r="C10" s="36">
        <v>5</v>
      </c>
      <c r="D10" s="29" t="s">
        <v>98</v>
      </c>
      <c r="E10" s="29" t="s">
        <v>99</v>
      </c>
      <c r="F10" s="56">
        <v>1</v>
      </c>
      <c r="G10" s="37">
        <v>0</v>
      </c>
      <c r="H10" s="37">
        <v>0</v>
      </c>
      <c r="I10" s="37">
        <v>4</v>
      </c>
      <c r="J10" s="37">
        <v>0</v>
      </c>
      <c r="K10" s="37">
        <v>0</v>
      </c>
      <c r="L10" s="37">
        <v>0</v>
      </c>
      <c r="M10" s="37"/>
      <c r="N10" s="37">
        <v>0</v>
      </c>
      <c r="O10" s="37">
        <v>0</v>
      </c>
      <c r="P10" s="28">
        <f t="shared" si="0"/>
        <v>5</v>
      </c>
      <c r="Q10" s="55"/>
    </row>
    <row r="11" spans="1:17">
      <c r="A11" s="57"/>
      <c r="B11" s="58"/>
      <c r="C11" s="59"/>
      <c r="D11" s="29"/>
      <c r="E11" s="29"/>
      <c r="F11" s="56"/>
      <c r="G11" s="37"/>
      <c r="H11" s="37"/>
      <c r="I11" s="37"/>
      <c r="J11" s="37"/>
      <c r="K11" s="37"/>
      <c r="L11" s="37"/>
      <c r="M11" s="37"/>
      <c r="N11" s="37"/>
      <c r="O11" s="37"/>
      <c r="P11" s="28">
        <f t="shared" si="0"/>
        <v>0</v>
      </c>
      <c r="Q11" s="55"/>
    </row>
    <row r="12" spans="1:17">
      <c r="A12" s="234" t="s">
        <v>40</v>
      </c>
      <c r="B12" s="234"/>
      <c r="C12" s="234"/>
      <c r="D12" s="234"/>
      <c r="E12" s="234"/>
      <c r="F12" s="60">
        <f>SUM(F5:F11)</f>
        <v>13</v>
      </c>
      <c r="G12" s="60">
        <f t="shared" ref="G12:O12" si="2">SUM(G5:G11)</f>
        <v>0</v>
      </c>
      <c r="H12" s="60">
        <f t="shared" si="2"/>
        <v>3</v>
      </c>
      <c r="I12" s="60">
        <f t="shared" si="2"/>
        <v>15</v>
      </c>
      <c r="J12" s="60">
        <f t="shared" si="2"/>
        <v>1</v>
      </c>
      <c r="K12" s="60">
        <f t="shared" si="2"/>
        <v>0</v>
      </c>
      <c r="L12" s="60">
        <f t="shared" si="2"/>
        <v>1</v>
      </c>
      <c r="M12" s="60"/>
      <c r="N12" s="60">
        <f t="shared" si="2"/>
        <v>0</v>
      </c>
      <c r="O12" s="60">
        <f t="shared" si="2"/>
        <v>1</v>
      </c>
      <c r="P12" s="60">
        <f>SUM(P5:P11)</f>
        <v>34</v>
      </c>
      <c r="Q12" s="60"/>
    </row>
  </sheetData>
  <mergeCells count="9">
    <mergeCell ref="Q3:Q4"/>
    <mergeCell ref="A1:Q1"/>
    <mergeCell ref="A5:A10"/>
    <mergeCell ref="B5:B10"/>
    <mergeCell ref="A12:E12"/>
    <mergeCell ref="A3:A4"/>
    <mergeCell ref="B3:B4"/>
    <mergeCell ref="C3:C4"/>
    <mergeCell ref="P3:P4"/>
  </mergeCells>
  <printOptions horizontalCentered="1"/>
  <pageMargins left="0" right="0" top="0.19685039370078741" bottom="0" header="0" footer="0"/>
  <pageSetup paperSize="9" scale="7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K20"/>
  <sheetViews>
    <sheetView tabSelected="1" zoomScaleSheetLayoutView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12" sqref="M12"/>
    </sheetView>
  </sheetViews>
  <sheetFormatPr defaultRowHeight="15"/>
  <cols>
    <col min="1" max="1" width="44" style="2" bestFit="1" customWidth="1"/>
    <col min="2" max="10" width="12" style="2" customWidth="1"/>
    <col min="11" max="13" width="10" style="2" bestFit="1" customWidth="1"/>
    <col min="14" max="16384" width="9.140625" style="2"/>
  </cols>
  <sheetData>
    <row r="1" spans="1:11" ht="21">
      <c r="A1" s="237" t="s">
        <v>71</v>
      </c>
      <c r="B1" s="237"/>
      <c r="C1" s="237"/>
      <c r="D1" s="237"/>
      <c r="E1" s="237"/>
      <c r="F1" s="237"/>
      <c r="G1" s="237"/>
      <c r="H1" s="237"/>
      <c r="I1" s="237"/>
      <c r="J1" s="237"/>
    </row>
    <row r="2" spans="1:11">
      <c r="A2" s="26"/>
      <c r="B2" s="26"/>
      <c r="C2" s="26"/>
      <c r="D2" s="26"/>
      <c r="E2" s="26"/>
      <c r="F2" s="26"/>
      <c r="G2" s="26"/>
      <c r="H2" s="26"/>
      <c r="I2" s="26"/>
      <c r="J2" s="26"/>
    </row>
    <row r="3" spans="1:11" ht="25.5">
      <c r="A3" s="14" t="s">
        <v>31</v>
      </c>
      <c r="B3" s="15" t="s">
        <v>24</v>
      </c>
      <c r="C3" s="15" t="s">
        <v>26</v>
      </c>
      <c r="D3" s="15" t="s">
        <v>27</v>
      </c>
      <c r="E3" s="15" t="s">
        <v>28</v>
      </c>
      <c r="F3" s="15" t="s">
        <v>32</v>
      </c>
      <c r="G3" s="15" t="s">
        <v>72</v>
      </c>
      <c r="H3" s="15" t="s">
        <v>29</v>
      </c>
      <c r="I3" s="15" t="s">
        <v>29</v>
      </c>
      <c r="J3" s="15" t="s">
        <v>30</v>
      </c>
    </row>
    <row r="4" spans="1:11" s="16" customFormat="1" ht="12.75">
      <c r="A4" s="14" t="s">
        <v>33</v>
      </c>
      <c r="B4" s="15" t="s">
        <v>34</v>
      </c>
      <c r="C4" s="15" t="s">
        <v>34</v>
      </c>
      <c r="D4" s="15" t="s">
        <v>34</v>
      </c>
      <c r="E4" s="15" t="s">
        <v>35</v>
      </c>
      <c r="F4" s="15" t="s">
        <v>35</v>
      </c>
      <c r="G4" s="15" t="s">
        <v>35</v>
      </c>
      <c r="H4" s="15" t="s">
        <v>35</v>
      </c>
      <c r="I4" s="15"/>
      <c r="J4" s="15" t="s">
        <v>35</v>
      </c>
    </row>
    <row r="5" spans="1:11" s="16" customFormat="1" ht="12.75">
      <c r="A5" s="17" t="s">
        <v>3</v>
      </c>
      <c r="B5" s="18">
        <v>7546</v>
      </c>
      <c r="C5" s="18">
        <v>8301</v>
      </c>
      <c r="D5" s="18">
        <v>9132</v>
      </c>
      <c r="E5" s="18">
        <v>7546</v>
      </c>
      <c r="F5" s="18">
        <v>8301</v>
      </c>
      <c r="G5" s="18">
        <v>7546</v>
      </c>
      <c r="H5" s="18">
        <v>7546</v>
      </c>
      <c r="I5" s="18">
        <v>7546</v>
      </c>
      <c r="J5" s="18">
        <v>9132</v>
      </c>
    </row>
    <row r="6" spans="1:11">
      <c r="A6" s="17" t="s">
        <v>73</v>
      </c>
      <c r="B6" s="18"/>
      <c r="C6" s="18"/>
      <c r="D6" s="18"/>
      <c r="E6" s="18"/>
      <c r="F6" s="18"/>
      <c r="G6" s="20">
        <v>500</v>
      </c>
      <c r="H6" s="20">
        <v>7080</v>
      </c>
      <c r="I6" s="20">
        <v>0</v>
      </c>
      <c r="J6" s="20">
        <v>550</v>
      </c>
    </row>
    <row r="7" spans="1:11">
      <c r="A7" s="17" t="s">
        <v>74</v>
      </c>
      <c r="B7" s="19">
        <f>ROUND((B5*50%)/8*4,0)</f>
        <v>1887</v>
      </c>
      <c r="C7" s="19">
        <f t="shared" ref="C7:D7" si="0">ROUND((C5*50%)/8*4,0)</f>
        <v>2075</v>
      </c>
      <c r="D7" s="19">
        <f t="shared" si="0"/>
        <v>2283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</row>
    <row r="8" spans="1:11">
      <c r="A8" s="21"/>
      <c r="B8" s="18"/>
      <c r="C8" s="18"/>
      <c r="D8" s="18"/>
      <c r="E8" s="18"/>
      <c r="F8" s="18"/>
      <c r="G8" s="18"/>
      <c r="H8" s="18"/>
      <c r="I8" s="18"/>
      <c r="J8" s="18"/>
    </row>
    <row r="9" spans="1:11">
      <c r="A9" s="47" t="s">
        <v>36</v>
      </c>
      <c r="B9" s="48">
        <f>SUM(B5:B8)</f>
        <v>9433</v>
      </c>
      <c r="C9" s="48">
        <f t="shared" ref="C9:J9" si="1">SUM(C5:C8)</f>
        <v>10376</v>
      </c>
      <c r="D9" s="48">
        <f t="shared" si="1"/>
        <v>11415</v>
      </c>
      <c r="E9" s="48">
        <f t="shared" si="1"/>
        <v>7546</v>
      </c>
      <c r="F9" s="48">
        <f>SUM(F5:F8)</f>
        <v>8301</v>
      </c>
      <c r="G9" s="48">
        <f t="shared" si="1"/>
        <v>8046</v>
      </c>
      <c r="H9" s="48">
        <f t="shared" si="1"/>
        <v>14626</v>
      </c>
      <c r="I9" s="48">
        <f t="shared" si="1"/>
        <v>7546</v>
      </c>
      <c r="J9" s="48">
        <f t="shared" si="1"/>
        <v>9682</v>
      </c>
    </row>
    <row r="10" spans="1:11">
      <c r="A10" s="22" t="s">
        <v>37</v>
      </c>
      <c r="B10" s="23"/>
      <c r="C10" s="23"/>
      <c r="D10" s="23"/>
      <c r="E10" s="23"/>
      <c r="F10" s="23"/>
      <c r="G10" s="24"/>
      <c r="H10" s="23"/>
      <c r="I10" s="23"/>
      <c r="J10" s="23"/>
    </row>
    <row r="11" spans="1:11">
      <c r="A11" s="17" t="s">
        <v>38</v>
      </c>
      <c r="B11" s="18">
        <f>ROUND(B5*13.36%,0)</f>
        <v>1008</v>
      </c>
      <c r="C11" s="18">
        <f t="shared" ref="C11:J11" si="2">ROUND(C5*13.36%,0)</f>
        <v>1109</v>
      </c>
      <c r="D11" s="18">
        <f t="shared" si="2"/>
        <v>1220</v>
      </c>
      <c r="E11" s="18">
        <f t="shared" si="2"/>
        <v>1008</v>
      </c>
      <c r="F11" s="18">
        <f t="shared" si="2"/>
        <v>1109</v>
      </c>
      <c r="G11" s="18">
        <f t="shared" si="2"/>
        <v>1008</v>
      </c>
      <c r="H11" s="18">
        <f t="shared" si="2"/>
        <v>1008</v>
      </c>
      <c r="I11" s="18">
        <f t="shared" si="2"/>
        <v>1008</v>
      </c>
      <c r="J11" s="18">
        <f t="shared" si="2"/>
        <v>1220</v>
      </c>
    </row>
    <row r="12" spans="1:11">
      <c r="A12" s="17" t="s">
        <v>75</v>
      </c>
      <c r="B12" s="18">
        <f>ROUNDUP(B9*4.75%,0)</f>
        <v>449</v>
      </c>
      <c r="C12" s="18">
        <f t="shared" ref="C12:J12" si="3">ROUNDUP(C9*4.75%,0)</f>
        <v>493</v>
      </c>
      <c r="D12" s="18">
        <f t="shared" si="3"/>
        <v>543</v>
      </c>
      <c r="E12" s="18">
        <f t="shared" si="3"/>
        <v>359</v>
      </c>
      <c r="F12" s="18">
        <f t="shared" si="3"/>
        <v>395</v>
      </c>
      <c r="G12" s="18">
        <f t="shared" si="3"/>
        <v>383</v>
      </c>
      <c r="H12" s="18">
        <f t="shared" si="3"/>
        <v>695</v>
      </c>
      <c r="I12" s="18">
        <f t="shared" si="3"/>
        <v>359</v>
      </c>
      <c r="J12" s="18">
        <f t="shared" si="3"/>
        <v>460</v>
      </c>
    </row>
    <row r="13" spans="1:11">
      <c r="A13" s="17" t="s">
        <v>76</v>
      </c>
      <c r="B13" s="18">
        <f>ROUND(B5/12,0)</f>
        <v>629</v>
      </c>
      <c r="C13" s="18">
        <f t="shared" ref="C13:J13" si="4">ROUND(C5/12,0)</f>
        <v>692</v>
      </c>
      <c r="D13" s="18">
        <f t="shared" si="4"/>
        <v>761</v>
      </c>
      <c r="E13" s="18">
        <f>ROUND(E5/12,0)</f>
        <v>629</v>
      </c>
      <c r="F13" s="18">
        <f t="shared" si="4"/>
        <v>692</v>
      </c>
      <c r="G13" s="18">
        <f t="shared" si="4"/>
        <v>629</v>
      </c>
      <c r="H13" s="18">
        <f t="shared" si="4"/>
        <v>629</v>
      </c>
      <c r="I13" s="18">
        <f t="shared" si="4"/>
        <v>629</v>
      </c>
      <c r="J13" s="18">
        <f t="shared" si="4"/>
        <v>761</v>
      </c>
    </row>
    <row r="14" spans="1:11">
      <c r="A14" s="17" t="s">
        <v>70</v>
      </c>
      <c r="B14" s="18">
        <v>150</v>
      </c>
      <c r="C14" s="18">
        <v>150</v>
      </c>
      <c r="D14" s="18">
        <v>150</v>
      </c>
      <c r="E14" s="18">
        <v>150</v>
      </c>
      <c r="F14" s="18">
        <v>150</v>
      </c>
      <c r="G14" s="18">
        <v>0</v>
      </c>
      <c r="H14" s="18">
        <v>0</v>
      </c>
      <c r="I14" s="18">
        <v>0</v>
      </c>
      <c r="J14" s="18">
        <v>0</v>
      </c>
    </row>
    <row r="15" spans="1:11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25"/>
    </row>
    <row r="16" spans="1:11">
      <c r="A16" s="49" t="s">
        <v>39</v>
      </c>
      <c r="B16" s="50">
        <f>SUM(B11:B15)+B9</f>
        <v>11669</v>
      </c>
      <c r="C16" s="50">
        <f t="shared" ref="C16:J16" si="5">SUM(C11:C15)+C9</f>
        <v>12820</v>
      </c>
      <c r="D16" s="50">
        <f t="shared" si="5"/>
        <v>14089</v>
      </c>
      <c r="E16" s="50">
        <f t="shared" si="5"/>
        <v>9692</v>
      </c>
      <c r="F16" s="50">
        <f t="shared" si="5"/>
        <v>10647</v>
      </c>
      <c r="G16" s="50">
        <f t="shared" si="5"/>
        <v>10066</v>
      </c>
      <c r="H16" s="50">
        <f t="shared" si="5"/>
        <v>16958</v>
      </c>
      <c r="I16" s="50">
        <f t="shared" ref="I16" si="6">SUM(I11:I15)+I9</f>
        <v>9542</v>
      </c>
      <c r="J16" s="50">
        <f t="shared" si="5"/>
        <v>12123</v>
      </c>
    </row>
    <row r="17" spans="1:10">
      <c r="A17" s="17" t="s">
        <v>77</v>
      </c>
      <c r="B17" s="51">
        <f>ROUND(B16*7%,0)</f>
        <v>817</v>
      </c>
      <c r="C17" s="51">
        <f t="shared" ref="C17:J17" si="7">ROUND(C16*7%,0)</f>
        <v>897</v>
      </c>
      <c r="D17" s="51">
        <f t="shared" si="7"/>
        <v>986</v>
      </c>
      <c r="E17" s="51">
        <f t="shared" si="7"/>
        <v>678</v>
      </c>
      <c r="F17" s="51">
        <f t="shared" si="7"/>
        <v>745</v>
      </c>
      <c r="G17" s="51">
        <f t="shared" si="7"/>
        <v>705</v>
      </c>
      <c r="H17" s="51">
        <f t="shared" si="7"/>
        <v>1187</v>
      </c>
      <c r="I17" s="51">
        <f t="shared" si="7"/>
        <v>668</v>
      </c>
      <c r="J17" s="51">
        <f t="shared" si="7"/>
        <v>849</v>
      </c>
    </row>
    <row r="18" spans="1:10">
      <c r="A18" s="17"/>
      <c r="B18" s="18"/>
      <c r="C18" s="18"/>
      <c r="D18" s="18"/>
      <c r="E18" s="18"/>
      <c r="F18" s="18"/>
      <c r="G18" s="18"/>
      <c r="H18" s="18"/>
      <c r="I18" s="18"/>
      <c r="J18" s="18"/>
    </row>
    <row r="19" spans="1:10" ht="25.5">
      <c r="A19" s="49" t="s">
        <v>78</v>
      </c>
      <c r="B19" s="50">
        <f>B16+B17</f>
        <v>12486</v>
      </c>
      <c r="C19" s="50">
        <f t="shared" ref="C19:J19" si="8">C16+C17</f>
        <v>13717</v>
      </c>
      <c r="D19" s="50">
        <f t="shared" si="8"/>
        <v>15075</v>
      </c>
      <c r="E19" s="50">
        <f t="shared" si="8"/>
        <v>10370</v>
      </c>
      <c r="F19" s="50">
        <f t="shared" si="8"/>
        <v>11392</v>
      </c>
      <c r="G19" s="50">
        <f t="shared" si="8"/>
        <v>10771</v>
      </c>
      <c r="H19" s="50">
        <f t="shared" si="8"/>
        <v>18145</v>
      </c>
      <c r="I19" s="50">
        <f t="shared" si="8"/>
        <v>10210</v>
      </c>
      <c r="J19" s="50">
        <f t="shared" si="8"/>
        <v>12972</v>
      </c>
    </row>
    <row r="20" spans="1:10">
      <c r="A20" s="49"/>
      <c r="B20" s="52">
        <f>B19/26</f>
        <v>480.23076923076923</v>
      </c>
      <c r="C20" s="52">
        <f t="shared" ref="C20:J20" si="9">C19/26</f>
        <v>527.57692307692309</v>
      </c>
      <c r="D20" s="52">
        <f t="shared" si="9"/>
        <v>579.80769230769226</v>
      </c>
      <c r="E20" s="52">
        <f t="shared" si="9"/>
        <v>398.84615384615387</v>
      </c>
      <c r="F20" s="52">
        <f t="shared" si="9"/>
        <v>438.15384615384613</v>
      </c>
      <c r="G20" s="52">
        <f t="shared" si="9"/>
        <v>414.26923076923077</v>
      </c>
      <c r="H20" s="52">
        <f t="shared" si="9"/>
        <v>697.88461538461536</v>
      </c>
      <c r="I20" s="52">
        <f t="shared" si="9"/>
        <v>392.69230769230768</v>
      </c>
      <c r="J20" s="52">
        <f t="shared" si="9"/>
        <v>498.92307692307691</v>
      </c>
    </row>
  </sheetData>
  <mergeCells count="1">
    <mergeCell ref="A1:J1"/>
  </mergeCells>
  <printOptions horizontalCentered="1"/>
  <pageMargins left="0" right="0" top="0.196850393700787" bottom="0" header="0" footer="0"/>
  <pageSetup paperSize="9" scale="9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MIS</vt:lpstr>
      <vt:lpstr>HO </vt:lpstr>
      <vt:lpstr>Electrician</vt:lpstr>
      <vt:lpstr>Lovelock</vt:lpstr>
      <vt:lpstr>Gangetica</vt:lpstr>
      <vt:lpstr>Aura</vt:lpstr>
      <vt:lpstr>Allure</vt:lpstr>
      <vt:lpstr>Pecan</vt:lpstr>
      <vt:lpstr>Master Sheet</vt:lpstr>
      <vt:lpstr>Payslip</vt:lpstr>
      <vt:lpstr>Client Name &amp; Address</vt:lpstr>
      <vt:lpstr>Head Count</vt:lpstr>
      <vt:lpstr>Rate - 01.01.2017-30.06.2017</vt:lpstr>
      <vt:lpstr>Allure!Print_Area</vt:lpstr>
      <vt:lpstr>Aura!Print_Area</vt:lpstr>
      <vt:lpstr>Electrician!Print_Area</vt:lpstr>
      <vt:lpstr>Gangetica!Print_Area</vt:lpstr>
      <vt:lpstr>'Head Count'!Print_Area</vt:lpstr>
      <vt:lpstr>'HO '!Print_Area</vt:lpstr>
      <vt:lpstr>Lovelock!Print_Area</vt:lpstr>
      <vt:lpstr>'Master Sheet'!Print_Area</vt:lpstr>
      <vt:lpstr>MIS!Print_Area</vt:lpstr>
      <vt:lpstr>Payslip!Print_Area</vt:lpstr>
      <vt:lpstr>Pecan!Print_Area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Sunder Agarwal</dc:creator>
  <cp:lastModifiedBy>User</cp:lastModifiedBy>
  <cp:lastPrinted>2017-05-26T11:49:05Z</cp:lastPrinted>
  <dcterms:created xsi:type="dcterms:W3CDTF">2015-11-25T10:31:25Z</dcterms:created>
  <dcterms:modified xsi:type="dcterms:W3CDTF">2017-05-26T11:49:32Z</dcterms:modified>
</cp:coreProperties>
</file>