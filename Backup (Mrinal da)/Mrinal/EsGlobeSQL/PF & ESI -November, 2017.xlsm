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hidePivotFieldList="1" defaultThemeVersion="124226"/>
  <bookViews>
    <workbookView xWindow="240" yWindow="225" windowWidth="14805" windowHeight="7890" tabRatio="606" activeTab="1"/>
  </bookViews>
  <sheets>
    <sheet name="PF " sheetId="14" r:id="rId1"/>
    <sheet name="ESI" sheetId="15" r:id="rId2"/>
  </sheets>
  <functionGroups builtInGroupCount="17"/>
  <externalReferences>
    <externalReference r:id="rId3"/>
    <externalReference r:id="rId4"/>
    <externalReference r:id="rId5"/>
  </externalReferences>
  <definedNames>
    <definedName name="_xlnm._FilterDatabase" localSheetId="1" hidden="1">ESI!$A$3:$E$85</definedName>
    <definedName name="_xlnm._FilterDatabase" localSheetId="0" hidden="1">'PF '!$A$3:$C$84</definedName>
    <definedName name="_xlnm.Criteria" localSheetId="1">ESI!#REF!</definedName>
    <definedName name="_xlnm.Criteria" localSheetId="0">'PF '!#REF!</definedName>
    <definedName name="list">[1]Rate!$A$4:$A$11</definedName>
    <definedName name="List1">'[2]Company List'!$B$3:$B$11</definedName>
    <definedName name="List2">'[3]Company List'!$B$3:$B$11</definedName>
    <definedName name="_xlnm.Print_Area" localSheetId="1">ESI!$A$3:$I$90</definedName>
    <definedName name="_xlnm.Print_Area" localSheetId="0">'PF '!$A$3:$J$90</definedName>
    <definedName name="_xlnm.Print_Titles" localSheetId="1">ESI!$3:$3</definedName>
    <definedName name="_xlnm.Print_Titles" localSheetId="0">'PF '!$3:$3</definedName>
  </definedNames>
  <calcPr calcId="144525"/>
</workbook>
</file>

<file path=xl/calcChain.xml><?xml version="1.0" encoding="utf-8"?>
<calcChain xmlns="http://schemas.openxmlformats.org/spreadsheetml/2006/main">
  <c r="H90" i="15" l="1"/>
  <c r="D90" i="15"/>
  <c r="H86" i="15"/>
  <c r="I86" i="15"/>
  <c r="J86" i="15"/>
  <c r="H87" i="15"/>
  <c r="I87" i="15"/>
  <c r="J87" i="15" s="1"/>
  <c r="H88" i="15"/>
  <c r="J88" i="15" s="1"/>
  <c r="I88" i="15"/>
  <c r="D90" i="14"/>
  <c r="H90" i="14"/>
  <c r="H88" i="14"/>
  <c r="J88" i="14" s="1"/>
  <c r="I88" i="14"/>
  <c r="E90" i="14"/>
  <c r="F90" i="15" l="1"/>
  <c r="G90" i="15"/>
  <c r="H86" i="14" l="1"/>
  <c r="I86" i="14"/>
  <c r="H87" i="14"/>
  <c r="I87" i="14"/>
  <c r="J86" i="14" l="1"/>
  <c r="J87" i="14"/>
  <c r="H5" i="15"/>
  <c r="I5" i="15"/>
  <c r="H6" i="15"/>
  <c r="I6" i="15"/>
  <c r="H7" i="15"/>
  <c r="I7" i="15"/>
  <c r="H8" i="15"/>
  <c r="I8" i="15"/>
  <c r="H9" i="15"/>
  <c r="I9" i="15"/>
  <c r="H10" i="15"/>
  <c r="I10" i="15"/>
  <c r="H11" i="15"/>
  <c r="I11" i="15"/>
  <c r="H12" i="15"/>
  <c r="I12" i="15"/>
  <c r="H13" i="15"/>
  <c r="I13" i="15"/>
  <c r="H14" i="15"/>
  <c r="I14" i="15"/>
  <c r="H15" i="15"/>
  <c r="I15" i="15"/>
  <c r="H16" i="15"/>
  <c r="I16" i="15"/>
  <c r="H17" i="15"/>
  <c r="I17" i="15"/>
  <c r="H18" i="15"/>
  <c r="I18" i="15"/>
  <c r="H19" i="15"/>
  <c r="I19" i="15"/>
  <c r="H20" i="15"/>
  <c r="I20" i="15"/>
  <c r="H21" i="15"/>
  <c r="I21" i="15"/>
  <c r="H22" i="15"/>
  <c r="I22" i="15"/>
  <c r="H23" i="15"/>
  <c r="I23" i="15"/>
  <c r="H24" i="15"/>
  <c r="I24" i="15"/>
  <c r="H25" i="15"/>
  <c r="I25" i="15"/>
  <c r="H26" i="15"/>
  <c r="I26" i="15"/>
  <c r="H27" i="15"/>
  <c r="I27" i="15"/>
  <c r="H28" i="15"/>
  <c r="I28" i="15"/>
  <c r="H29" i="15"/>
  <c r="I29" i="15"/>
  <c r="H30" i="15"/>
  <c r="I30" i="15"/>
  <c r="H31" i="15"/>
  <c r="I31" i="15"/>
  <c r="H32" i="15"/>
  <c r="I32" i="15"/>
  <c r="H33" i="15"/>
  <c r="I33" i="15"/>
  <c r="H34" i="15"/>
  <c r="I34" i="15"/>
  <c r="H35" i="15"/>
  <c r="I35" i="15"/>
  <c r="H36" i="15"/>
  <c r="I36" i="15"/>
  <c r="H37" i="15"/>
  <c r="I37" i="15"/>
  <c r="H38" i="15"/>
  <c r="I38" i="15"/>
  <c r="H39" i="15"/>
  <c r="I39" i="15"/>
  <c r="H40" i="15"/>
  <c r="I40" i="15"/>
  <c r="H41" i="15"/>
  <c r="I41" i="15"/>
  <c r="H42" i="15"/>
  <c r="I42" i="15"/>
  <c r="H43" i="15"/>
  <c r="I43" i="15"/>
  <c r="H44" i="15"/>
  <c r="I44" i="15"/>
  <c r="H45" i="15"/>
  <c r="I45" i="15"/>
  <c r="H46" i="15"/>
  <c r="I46" i="15"/>
  <c r="H47" i="15"/>
  <c r="I47" i="15"/>
  <c r="H48" i="15"/>
  <c r="I48" i="15"/>
  <c r="H49" i="15"/>
  <c r="I49" i="15"/>
  <c r="H50" i="15"/>
  <c r="I50" i="15"/>
  <c r="H51" i="15"/>
  <c r="I51" i="15"/>
  <c r="H52" i="15"/>
  <c r="I52" i="15"/>
  <c r="H53" i="15"/>
  <c r="I53" i="15"/>
  <c r="H54" i="15"/>
  <c r="I54" i="15"/>
  <c r="H55" i="15"/>
  <c r="I55" i="15"/>
  <c r="H56" i="15"/>
  <c r="I56" i="15"/>
  <c r="H57" i="15"/>
  <c r="I57" i="15"/>
  <c r="H58" i="15"/>
  <c r="I58" i="15"/>
  <c r="H59" i="15"/>
  <c r="I59" i="15"/>
  <c r="H60" i="15"/>
  <c r="I60" i="15"/>
  <c r="H61" i="15"/>
  <c r="I61" i="15"/>
  <c r="H62" i="15"/>
  <c r="I62" i="15"/>
  <c r="H63" i="15"/>
  <c r="I63" i="15"/>
  <c r="H64" i="15"/>
  <c r="I64" i="15"/>
  <c r="H65" i="15"/>
  <c r="I65" i="15"/>
  <c r="H66" i="15"/>
  <c r="I66" i="15"/>
  <c r="H67" i="15"/>
  <c r="I67" i="15"/>
  <c r="H68" i="15"/>
  <c r="I68" i="15"/>
  <c r="H69" i="15"/>
  <c r="I69" i="15"/>
  <c r="H70" i="15"/>
  <c r="I70" i="15"/>
  <c r="H71" i="15"/>
  <c r="I71" i="15"/>
  <c r="H72" i="15"/>
  <c r="I72" i="15"/>
  <c r="H73" i="15"/>
  <c r="I73" i="15"/>
  <c r="H74" i="15"/>
  <c r="I74" i="15"/>
  <c r="H75" i="15"/>
  <c r="I75" i="15"/>
  <c r="H76" i="15"/>
  <c r="I76" i="15"/>
  <c r="H77" i="15"/>
  <c r="I77" i="15"/>
  <c r="H78" i="15"/>
  <c r="I78" i="15"/>
  <c r="H79" i="15"/>
  <c r="I79" i="15"/>
  <c r="H80" i="15"/>
  <c r="I80" i="15"/>
  <c r="H81" i="15"/>
  <c r="I81" i="15"/>
  <c r="H82" i="15"/>
  <c r="I82" i="15"/>
  <c r="H83" i="15"/>
  <c r="I83" i="15"/>
  <c r="H84" i="15"/>
  <c r="I84" i="15"/>
  <c r="H85" i="15"/>
  <c r="I85" i="15"/>
  <c r="I4" i="15"/>
  <c r="H4" i="15"/>
  <c r="H85" i="14"/>
  <c r="I85" i="14"/>
  <c r="F90" i="14"/>
  <c r="G90" i="14"/>
  <c r="I90" i="15" l="1"/>
  <c r="J85" i="14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4" i="15"/>
  <c r="J90" i="15" l="1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4" i="14"/>
  <c r="J81" i="14" l="1"/>
  <c r="J77" i="14"/>
  <c r="J73" i="14"/>
  <c r="J69" i="14"/>
  <c r="J65" i="14"/>
  <c r="J61" i="14"/>
  <c r="J57" i="14"/>
  <c r="J53" i="14"/>
  <c r="J49" i="14"/>
  <c r="J45" i="14"/>
  <c r="J41" i="14"/>
  <c r="J37" i="14"/>
  <c r="J33" i="14"/>
  <c r="J29" i="14"/>
  <c r="J25" i="14"/>
  <c r="J21" i="14"/>
  <c r="J17" i="14"/>
  <c r="J79" i="14"/>
  <c r="J75" i="14"/>
  <c r="J71" i="14"/>
  <c r="J67" i="14"/>
  <c r="J63" i="14"/>
  <c r="J82" i="14"/>
  <c r="J78" i="14"/>
  <c r="J74" i="14"/>
  <c r="J70" i="14"/>
  <c r="J66" i="14"/>
  <c r="J62" i="14"/>
  <c r="J58" i="14"/>
  <c r="J54" i="14"/>
  <c r="J50" i="14"/>
  <c r="J46" i="14"/>
  <c r="J42" i="14"/>
  <c r="J38" i="14"/>
  <c r="J34" i="14"/>
  <c r="J30" i="14"/>
  <c r="J26" i="14"/>
  <c r="J22" i="14"/>
  <c r="J18" i="14"/>
  <c r="J84" i="14"/>
  <c r="J83" i="14"/>
  <c r="J80" i="14"/>
  <c r="J76" i="14"/>
  <c r="J72" i="14"/>
  <c r="J68" i="14"/>
  <c r="J64" i="14"/>
  <c r="J60" i="14"/>
  <c r="J56" i="14"/>
  <c r="J52" i="14"/>
  <c r="J48" i="14"/>
  <c r="J44" i="14"/>
  <c r="J40" i="14"/>
  <c r="J36" i="14"/>
  <c r="J32" i="14"/>
  <c r="J28" i="14"/>
  <c r="J24" i="14"/>
  <c r="J20" i="14"/>
  <c r="J16" i="14"/>
  <c r="J12" i="14"/>
  <c r="J8" i="14"/>
  <c r="J59" i="14"/>
  <c r="J55" i="14"/>
  <c r="J51" i="14"/>
  <c r="J47" i="14"/>
  <c r="J43" i="14"/>
  <c r="J39" i="14"/>
  <c r="J35" i="14"/>
  <c r="J31" i="14"/>
  <c r="J27" i="14"/>
  <c r="J23" i="14"/>
  <c r="J19" i="14"/>
  <c r="J15" i="14"/>
  <c r="J11" i="14"/>
  <c r="J7" i="14"/>
  <c r="J14" i="14"/>
  <c r="J13" i="14"/>
  <c r="J10" i="14"/>
  <c r="J6" i="14"/>
  <c r="J9" i="14"/>
  <c r="J5" i="14"/>
  <c r="J4" i="14"/>
  <c r="I90" i="14"/>
  <c r="J90" i="14" l="1"/>
</calcChain>
</file>

<file path=xl/sharedStrings.xml><?xml version="1.0" encoding="utf-8"?>
<sst xmlns="http://schemas.openxmlformats.org/spreadsheetml/2006/main" count="362" uniqueCount="110">
  <si>
    <t>Sl. No.</t>
  </si>
  <si>
    <t>Name of Workman</t>
  </si>
  <si>
    <t>Days in the Month</t>
  </si>
  <si>
    <t>Employer's ESI Contribution</t>
  </si>
  <si>
    <t>Designation</t>
  </si>
  <si>
    <t>Gross Wages</t>
  </si>
  <si>
    <t>EPF Wages</t>
  </si>
  <si>
    <t>EPS Wages</t>
  </si>
  <si>
    <t>EDLI Wages</t>
  </si>
  <si>
    <t>EPF Contri Remitted</t>
  </si>
  <si>
    <t>EPS Contri Remitted</t>
  </si>
  <si>
    <t>EPF EPS Diff Remitted</t>
  </si>
  <si>
    <t>Employee's ESI Contribution</t>
  </si>
  <si>
    <t>Total ESI Contribution</t>
  </si>
  <si>
    <t>Payable Days</t>
  </si>
  <si>
    <t>Gross 
Salary</t>
  </si>
  <si>
    <t>Gross Salary Payable</t>
  </si>
  <si>
    <t>Santanu Mitra</t>
  </si>
  <si>
    <t>Dipu Shaw</t>
  </si>
  <si>
    <t>Arun Nath</t>
  </si>
  <si>
    <t>Sk Sazzad Hossan</t>
  </si>
  <si>
    <t>Bijendra Mallick</t>
  </si>
  <si>
    <t>Ajay Biswas</t>
  </si>
  <si>
    <t>Tapan Debnath</t>
  </si>
  <si>
    <t>Samir Saha</t>
  </si>
  <si>
    <t>Ajay Shaw</t>
  </si>
  <si>
    <t>Sakti Sadhan Dey</t>
  </si>
  <si>
    <t>Anup Bhattacharjee</t>
  </si>
  <si>
    <t>Dipankar Naskar</t>
  </si>
  <si>
    <t>Sankar Sardar</t>
  </si>
  <si>
    <t>Sudip Ghosh</t>
  </si>
  <si>
    <t>Tushar Dutta</t>
  </si>
  <si>
    <t>Golak Das</t>
  </si>
  <si>
    <t>Bhaskar Naskar</t>
  </si>
  <si>
    <t>Rabi Sikder</t>
  </si>
  <si>
    <t>Amarjit Dey</t>
  </si>
  <si>
    <t>Dipak Debnath</t>
  </si>
  <si>
    <t>Manoranjan Bhowmik</t>
  </si>
  <si>
    <t>Parikshit Biswas</t>
  </si>
  <si>
    <t>Shambhu Majumder</t>
  </si>
  <si>
    <t>Sandip Sarkar</t>
  </si>
  <si>
    <t>Tarak Karmakar</t>
  </si>
  <si>
    <t>Vicky Sahani</t>
  </si>
  <si>
    <t>Nijamuddin</t>
  </si>
  <si>
    <t>Hadish</t>
  </si>
  <si>
    <t>Ranjeet Kumar Sahani</t>
  </si>
  <si>
    <t>Vijoy Bajaj</t>
  </si>
  <si>
    <t>Satyam Mishra</t>
  </si>
  <si>
    <t>Sonu Seth</t>
  </si>
  <si>
    <t>Raju Kumar Rathod</t>
  </si>
  <si>
    <t>Satrughan Das</t>
  </si>
  <si>
    <t>Debesh Das</t>
  </si>
  <si>
    <t>Tarunakant Singh</t>
  </si>
  <si>
    <t>SK Siraz</t>
  </si>
  <si>
    <t>Rohit Kumar</t>
  </si>
  <si>
    <t>Sunny Das</t>
  </si>
  <si>
    <t>Santosh Thakur</t>
  </si>
  <si>
    <t>Rabiul Sardar</t>
  </si>
  <si>
    <t>Bablu Mitra</t>
  </si>
  <si>
    <t>Ranjit Mondal</t>
  </si>
  <si>
    <t>Pulak Guha</t>
  </si>
  <si>
    <t>Debashis Ghosh</t>
  </si>
  <si>
    <t>Amit Mallik</t>
  </si>
  <si>
    <t>Sanjit Mondal</t>
  </si>
  <si>
    <t>Haru Das</t>
  </si>
  <si>
    <t>Lalu Oran</t>
  </si>
  <si>
    <t>Amit Gayan</t>
  </si>
  <si>
    <t>Prasanto Chowdhury</t>
  </si>
  <si>
    <t>Ajay Sadhukhan</t>
  </si>
  <si>
    <t>Arpan Basu</t>
  </si>
  <si>
    <t>Josephine Paul</t>
  </si>
  <si>
    <t>Kamaluddin Khan</t>
  </si>
  <si>
    <t>Rakesh Mukherjee</t>
  </si>
  <si>
    <t>Sanjay Ghosh</t>
  </si>
  <si>
    <t>Robin Sen</t>
  </si>
  <si>
    <t>Mintu Das</t>
  </si>
  <si>
    <t>Swapan Kumar Das</t>
  </si>
  <si>
    <t>Mithun Das</t>
  </si>
  <si>
    <t>Kashinath Das</t>
  </si>
  <si>
    <t>Sukumar Debnath</t>
  </si>
  <si>
    <t>Manoj Podder</t>
  </si>
  <si>
    <t>Kalipada Nandi</t>
  </si>
  <si>
    <t>Laxmi Narayan Kisku</t>
  </si>
  <si>
    <t>Prabin Kumar Mishra</t>
  </si>
  <si>
    <t>Samiran Mallick</t>
  </si>
  <si>
    <t>Santu Hela</t>
  </si>
  <si>
    <t>Pratap Duley</t>
  </si>
  <si>
    <t>Sumanta Dutta</t>
  </si>
  <si>
    <t>Subhas Ch. Sardar</t>
  </si>
  <si>
    <t>Srimanta Naskar</t>
  </si>
  <si>
    <t>Suman Shikari</t>
  </si>
  <si>
    <t>Partha Naskar</t>
  </si>
  <si>
    <t>Paritosh Shikari</t>
  </si>
  <si>
    <t>Housekeeping</t>
  </si>
  <si>
    <t>Security Guard</t>
  </si>
  <si>
    <t>Housekeeping (2)</t>
  </si>
  <si>
    <t>Housekeeping - Semi Skilled</t>
  </si>
  <si>
    <t>Receptionist</t>
  </si>
  <si>
    <t>Electrician</t>
  </si>
  <si>
    <t>Susanta routh</t>
  </si>
  <si>
    <t>Tarun dey</t>
  </si>
  <si>
    <t>Roni Sikder</t>
  </si>
  <si>
    <t>Argha Sarkar</t>
  </si>
  <si>
    <t>PF - November, 2017</t>
  </si>
  <si>
    <t>Abhisek das</t>
  </si>
  <si>
    <t>Sumitra Doluy</t>
  </si>
  <si>
    <t>Deb Bhattacharya</t>
  </si>
  <si>
    <t>Ashok halder</t>
  </si>
  <si>
    <t>Surajdeb Mahato</t>
  </si>
  <si>
    <t>ESI - November,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</si>
</sst>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(* #,##0_);_(* \(#,##0\);_(* &quot;-&quot;_);_(@_)"/>
    <numFmt numFmtId="43" formatCode="_(* #,##0.00_);_(* \(#,##0.00\);_(* &quot;-&quot;??_);_(@_)"/>
    <numFmt numFmtId="164" formatCode="_ * #,##0.00_ ;_ * \-#,##0.00_ ;_ * &quot;-&quot;??_ ;_ @_ "/>
    <numFmt numFmtId="165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u/>
      <sz val="20"/>
      <name val="Segoe UI"/>
      <family val="2"/>
    </font>
    <font>
      <b/>
      <sz val="9"/>
      <color theme="0"/>
      <name val="Segoe UI"/>
      <family val="2"/>
    </font>
    <font>
      <b/>
      <sz val="9"/>
      <name val="Segoe UI"/>
      <family val="2"/>
    </font>
    <font>
      <b/>
      <sz val="10"/>
      <name val="Segoe UI"/>
      <family val="2"/>
    </font>
    <font>
      <sz val="10"/>
      <name val="Segoe UI"/>
      <family val="2"/>
    </font>
    <font>
      <b/>
      <sz val="10"/>
      <color theme="0"/>
      <name val="Segoe UI"/>
      <family val="2"/>
    </font>
    <font>
      <sz val="10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0" fontId="2" fillId="0" borderId="0"/>
    <xf numFmtId="164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36">
    <xf numFmtId="0" fontId="0" fillId="0" borderId="0" xfId="0"/>
    <xf numFmtId="0" fontId="5" fillId="4" borderId="1" xfId="2" applyFont="1" applyFill="1" applyBorder="1" applyAlignment="1">
      <alignment horizontal="center" vertical="center" wrapText="1"/>
    </xf>
    <xf numFmtId="0" fontId="6" fillId="2" borderId="0" xfId="2" applyFont="1" applyFill="1" applyAlignment="1">
      <alignment horizontal="center" vertical="center"/>
    </xf>
    <xf numFmtId="0" fontId="7" fillId="2" borderId="1" xfId="2" applyFont="1" applyFill="1" applyBorder="1" applyAlignment="1">
      <alignment vertical="center" wrapText="1"/>
    </xf>
    <xf numFmtId="0" fontId="8" fillId="2" borderId="1" xfId="2" applyFont="1" applyFill="1" applyBorder="1" applyAlignment="1">
      <alignment vertical="center" wrapText="1"/>
    </xf>
    <xf numFmtId="1" fontId="7" fillId="2" borderId="1" xfId="2" applyNumberFormat="1" applyFont="1" applyFill="1" applyBorder="1" applyAlignment="1">
      <alignment vertical="center" wrapText="1"/>
    </xf>
    <xf numFmtId="0" fontId="7" fillId="2" borderId="2" xfId="2" applyFont="1" applyFill="1" applyBorder="1" applyAlignment="1">
      <alignment vertical="center" wrapText="1"/>
    </xf>
    <xf numFmtId="0" fontId="8" fillId="2" borderId="2" xfId="2" applyFont="1" applyFill="1" applyBorder="1" applyAlignment="1">
      <alignment vertical="center" wrapText="1"/>
    </xf>
    <xf numFmtId="0" fontId="7" fillId="2" borderId="4" xfId="2" applyFont="1" applyFill="1" applyBorder="1" applyAlignment="1">
      <alignment vertical="center" wrapText="1"/>
    </xf>
    <xf numFmtId="0" fontId="8" fillId="2" borderId="4" xfId="2" applyFont="1" applyFill="1" applyBorder="1" applyAlignment="1">
      <alignment vertical="center" wrapText="1"/>
    </xf>
    <xf numFmtId="0" fontId="8" fillId="2" borderId="1" xfId="2" applyFont="1" applyFill="1" applyBorder="1" applyAlignment="1">
      <alignment horizontal="left" vertical="center" wrapText="1"/>
    </xf>
    <xf numFmtId="0" fontId="8" fillId="3" borderId="1" xfId="2" applyFont="1" applyFill="1" applyBorder="1" applyAlignment="1">
      <alignment vertical="center" wrapText="1"/>
    </xf>
    <xf numFmtId="0" fontId="8" fillId="3" borderId="1" xfId="2" applyFont="1" applyFill="1" applyBorder="1" applyAlignment="1">
      <alignment horizontal="left" vertical="center" wrapText="1"/>
    </xf>
    <xf numFmtId="165" fontId="7" fillId="3" borderId="1" xfId="1" applyNumberFormat="1" applyFont="1" applyFill="1" applyBorder="1" applyAlignment="1">
      <alignment vertical="center" wrapText="1"/>
    </xf>
    <xf numFmtId="0" fontId="8" fillId="2" borderId="0" xfId="2" applyFont="1" applyFill="1"/>
    <xf numFmtId="0" fontId="8" fillId="2" borderId="2" xfId="2" applyFont="1" applyFill="1" applyBorder="1" applyAlignment="1">
      <alignment horizontal="center" vertical="center" wrapText="1"/>
    </xf>
    <xf numFmtId="0" fontId="8" fillId="2" borderId="2" xfId="2" applyFont="1" applyFill="1" applyBorder="1" applyAlignment="1">
      <alignment horizontal="left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8" fillId="2" borderId="3" xfId="2" applyFont="1" applyFill="1" applyBorder="1" applyAlignment="1">
      <alignment vertical="center" wrapText="1"/>
    </xf>
    <xf numFmtId="0" fontId="8" fillId="2" borderId="0" xfId="2" applyFont="1" applyFill="1" applyAlignment="1">
      <alignment horizontal="left" vertical="center"/>
    </xf>
    <xf numFmtId="4" fontId="5" fillId="4" borderId="1" xfId="4" applyNumberFormat="1" applyFont="1" applyFill="1" applyBorder="1" applyAlignment="1">
      <alignment horizontal="center" vertical="center" wrapText="1"/>
    </xf>
    <xf numFmtId="3" fontId="5" fillId="4" borderId="1" xfId="4" applyNumberFormat="1" applyFont="1" applyFill="1" applyBorder="1" applyAlignment="1">
      <alignment horizontal="center" vertical="center" wrapText="1"/>
    </xf>
    <xf numFmtId="41" fontId="7" fillId="6" borderId="1" xfId="4" applyNumberFormat="1" applyFont="1" applyFill="1" applyBorder="1" applyAlignment="1">
      <alignment horizontal="center" vertical="center"/>
    </xf>
    <xf numFmtId="41" fontId="10" fillId="2" borderId="1" xfId="0" applyNumberFormat="1" applyFont="1" applyFill="1" applyBorder="1" applyAlignment="1">
      <alignment vertical="center"/>
    </xf>
    <xf numFmtId="41" fontId="7" fillId="7" borderId="1" xfId="4" applyNumberFormat="1" applyFont="1" applyFill="1" applyBorder="1" applyAlignment="1">
      <alignment horizontal="center" vertical="center"/>
    </xf>
    <xf numFmtId="41" fontId="9" fillId="5" borderId="1" xfId="4" applyNumberFormat="1" applyFont="1" applyFill="1" applyBorder="1" applyAlignment="1">
      <alignment horizontal="center" vertical="center"/>
    </xf>
    <xf numFmtId="41" fontId="8" fillId="2" borderId="1" xfId="4" applyNumberFormat="1" applyFont="1" applyFill="1" applyBorder="1" applyAlignment="1">
      <alignment horizontal="center" vertical="center"/>
    </xf>
    <xf numFmtId="41" fontId="10" fillId="2" borderId="1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left" vertical="center" wrapText="1"/>
    </xf>
    <xf numFmtId="0" fontId="10" fillId="2" borderId="1" xfId="0" applyFont="1" applyFill="1" applyBorder="1" applyAlignment="1">
      <alignment horizontal="left" vertical="center"/>
    </xf>
    <xf numFmtId="0" fontId="8" fillId="2" borderId="3" xfId="2" applyFont="1" applyFill="1" applyBorder="1" applyAlignment="1">
      <alignment horizontal="left" vertical="center" wrapText="1"/>
    </xf>
    <xf numFmtId="0" fontId="8" fillId="3" borderId="1" xfId="2" applyFont="1" applyFill="1" applyBorder="1" applyAlignment="1">
      <alignment horizontal="center" vertical="center" wrapText="1"/>
    </xf>
    <xf numFmtId="0" fontId="8" fillId="2" borderId="0" xfId="2" applyFont="1" applyFill="1" applyAlignment="1">
      <alignment horizontal="center" vertical="center"/>
    </xf>
    <xf numFmtId="0" fontId="7" fillId="2" borderId="0" xfId="2" applyFont="1" applyFill="1"/>
    <xf numFmtId="0" fontId="4" fillId="3" borderId="0" xfId="2" applyFont="1" applyFill="1" applyAlignment="1">
      <alignment horizontal="center"/>
    </xf>
  </cellXfs>
  <cellStyles count="9">
    <cellStyle name="Comma" xfId="1" builtinId="3"/>
    <cellStyle name="Comma 2" xfId="3"/>
    <cellStyle name="Comma 3" xfId="4"/>
    <cellStyle name="Comma 4" xfId="5"/>
    <cellStyle name="Normal" xfId="0" builtinId="0"/>
    <cellStyle name="Normal 2" xfId="2"/>
    <cellStyle name="Normal 2 2" xfId="6"/>
    <cellStyle name="Normal 4" xfId="7"/>
    <cellStyle name="Style 1" xfId="8"/>
  </cellStyles>
  <dxfs count="5"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9933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ajiv%20Dawn/Bill%20Format/Bill%20-%20Primarc%20Realty%20&amp;%20Pec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R%20Payroll%20Data/Payroll/Salary%20Sheets/FY%20-%202015%20-%2016/November,%202015/Salary%20Sheet%20-November,%202015/Chandresh%20Badar/Salary%20Sheet%20September,%202015%20-%20Southwinds%20Project%20LL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vijit/Payroll/Salary%20Sheets/FY%20-%202016%20-%2017/January,%202017/Salary%20Sheet%20-%20January,%202017/Chandresh%20Badar/Salary%20Sheet%20January,%202017%20-%20Primarc%20Projects%20Pvt%20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l final (2)"/>
      <sheetName val="Bill final"/>
      <sheetName val="Rate"/>
      <sheetName val="CODE"/>
      <sheetName val="Hed Count"/>
      <sheetName val="Sheet3"/>
    </sheetNames>
    <sheetDataSet>
      <sheetData sheetId="0" refreshError="1"/>
      <sheetData sheetId="1" refreshError="1"/>
      <sheetData sheetId="2">
        <row r="4">
          <cell r="A4" t="str">
            <v>Housekeeping</v>
          </cell>
        </row>
        <row r="5">
          <cell r="A5" t="str">
            <v xml:space="preserve">Housekeeping Semi Skilled </v>
          </cell>
        </row>
        <row r="6">
          <cell r="A6" t="str">
            <v xml:space="preserve">Receptionist </v>
          </cell>
        </row>
        <row r="7">
          <cell r="A7" t="str">
            <v xml:space="preserve">Security Guard </v>
          </cell>
        </row>
        <row r="8">
          <cell r="A8" t="str">
            <v xml:space="preserve">Security Officer </v>
          </cell>
        </row>
        <row r="9">
          <cell r="A9" t="str">
            <v>Electrician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Attendance - Trainee"/>
      <sheetName val="Salary Sheet - Trainee"/>
      <sheetName val="Compan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Primarc Projects Pvt. Ltd.</v>
          </cell>
        </row>
        <row r="4">
          <cell r="B4" t="str">
            <v>Southwinds Project LLP</v>
          </cell>
        </row>
        <row r="5">
          <cell r="B5" t="str">
            <v>Wellside Resort Pvt. Ltd.</v>
          </cell>
        </row>
        <row r="6">
          <cell r="B6" t="str">
            <v>MCK PGE Projects LLP</v>
          </cell>
        </row>
        <row r="7">
          <cell r="B7" t="str">
            <v>PGE Homes LLP</v>
          </cell>
        </row>
        <row r="8">
          <cell r="B8" t="str">
            <v>Primarc Riya Projects LLP</v>
          </cell>
        </row>
        <row r="9">
          <cell r="B9" t="str">
            <v>Primarc Pecan Retail Pvt Ltd</v>
          </cell>
        </row>
        <row r="10">
          <cell r="B10" t="str">
            <v>Parvati Resources Pvt. Ltd.</v>
          </cell>
        </row>
        <row r="11">
          <cell r="B11" t="str">
            <v>Mangrove Buildcon LLP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Sodexo"/>
      <sheetName val="Company List"/>
      <sheetName val="Leave Calculation"/>
    </sheetNames>
    <sheetDataSet>
      <sheetData sheetId="0">
        <row r="5">
          <cell r="B5" t="str">
            <v>Employee Code</v>
          </cell>
        </row>
      </sheetData>
      <sheetData sheetId="1">
        <row r="4">
          <cell r="B4" t="str">
            <v>Employee Code</v>
          </cell>
        </row>
      </sheetData>
      <sheetData sheetId="2"/>
      <sheetData sheetId="3"/>
      <sheetData sheetId="4"/>
      <sheetData sheetId="5">
        <row r="3">
          <cell r="B3" t="str">
            <v>Primarc Projects Pvt. Ltd.</v>
          </cell>
        </row>
        <row r="4">
          <cell r="B4" t="str">
            <v>Wellside Resort Pvt. Ltd.</v>
          </cell>
        </row>
        <row r="5">
          <cell r="B5" t="str">
            <v>Primarc Shrachi Projects LLP</v>
          </cell>
        </row>
        <row r="6">
          <cell r="B6" t="str">
            <v>PGE Homes LLP</v>
          </cell>
        </row>
        <row r="7">
          <cell r="B7" t="str">
            <v>Primarc Riya Projects LLP</v>
          </cell>
        </row>
        <row r="8">
          <cell r="B8" t="str">
            <v>Mangrove Buildcon LLP</v>
          </cell>
        </row>
        <row r="9">
          <cell r="B9" t="str">
            <v>Southwinds Project LLP</v>
          </cell>
        </row>
        <row r="10">
          <cell r="B10" t="str">
            <v>MCK PGE Projects LLP</v>
          </cell>
        </row>
        <row r="11">
          <cell r="B11" t="str">
            <v>Parvati Resources Pvt. Ltd.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J90"/>
  <sheetViews>
    <sheetView zoomScaleNormal="100" zoomScaleSheetLayoutView="100" workbookViewId="0">
      <pane xSplit="2" ySplit="3" topLeftCell="C68" activePane="bottomRight" state="frozen"/>
      <selection pane="topRight" activeCell="F1" sqref="F1"/>
      <selection pane="bottomLeft" activeCell="A3" sqref="A3"/>
      <selection pane="bottomRight" activeCell="B4" sqref="B4:C88"/>
    </sheetView>
  </sheetViews>
  <sheetFormatPr defaultRowHeight="14.25" x14ac:dyDescent="0.25"/>
  <cols>
    <col min="1" max="1" width="4.5703125" style="14" customWidth="1"/>
    <col min="2" max="2" width="19.42578125" style="14" bestFit="1" customWidth="1"/>
    <col min="3" max="3" width="15.7109375" style="20" bestFit="1" customWidth="1"/>
    <col min="4" max="7" width="9.28515625" style="14" bestFit="1" customWidth="1"/>
    <col min="8" max="9" width="10.140625" style="14" bestFit="1" customWidth="1"/>
    <col min="10" max="10" width="10.7109375" style="14" bestFit="1" customWidth="1"/>
    <col min="11" max="11" width="9.140625" style="14"/>
    <col min="12" max="12" width="8.5703125" style="14" bestFit="1" customWidth="1"/>
    <col min="13" max="13" width="8.7109375" style="14" bestFit="1" customWidth="1"/>
    <col min="14" max="14" width="8.85546875" style="14" bestFit="1" customWidth="1"/>
    <col min="15" max="15" width="15" style="14" bestFit="1" customWidth="1"/>
    <col min="16" max="16" width="15.140625" style="14" bestFit="1" customWidth="1"/>
    <col min="17" max="17" width="16.42578125" style="14" bestFit="1" customWidth="1"/>
    <col min="18" max="18" width="7.7109375" style="14" bestFit="1" customWidth="1"/>
    <col min="19" max="16384" width="9.140625" style="14"/>
  </cols>
  <sheetData>
    <row r="1" spans="1:10" ht="30.75" x14ac:dyDescent="0.55000000000000004">
      <c r="A1" s="35" t="s">
        <v>103</v>
      </c>
      <c r="B1" s="35"/>
      <c r="C1" s="35"/>
      <c r="D1" s="35"/>
      <c r="E1" s="35"/>
      <c r="F1" s="35"/>
      <c r="G1" s="35"/>
      <c r="H1" s="35"/>
      <c r="I1" s="35"/>
      <c r="J1" s="35"/>
    </row>
    <row r="3" spans="1:10" s="2" customFormat="1" ht="24" x14ac:dyDescent="0.25">
      <c r="A3" s="1" t="s">
        <v>0</v>
      </c>
      <c r="B3" s="1" t="s">
        <v>1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10</v>
      </c>
      <c r="J3" s="1" t="s">
        <v>11</v>
      </c>
    </row>
    <row r="4" spans="1:10" x14ac:dyDescent="0.25">
      <c r="A4" s="15">
        <v>1</v>
      </c>
      <c r="B4" s="7" t="s">
        <v>17</v>
      </c>
      <c r="C4" s="16" t="s">
        <v>93</v>
      </c>
      <c r="D4" s="3">
        <v>7567</v>
      </c>
      <c r="E4" s="4">
        <v>5297</v>
      </c>
      <c r="F4" s="4">
        <v>5297</v>
      </c>
      <c r="G4" s="4">
        <v>5297</v>
      </c>
      <c r="H4" s="5">
        <f>E4*12%</f>
        <v>635.64</v>
      </c>
      <c r="I4" s="5">
        <f t="shared" ref="I4:I35" si="0">F4*8.33%</f>
        <v>441.24009999999998</v>
      </c>
      <c r="J4" s="5">
        <f t="shared" ref="J4:J35" si="1">H4-I4</f>
        <v>194.3999</v>
      </c>
    </row>
    <row r="5" spans="1:10" x14ac:dyDescent="0.25">
      <c r="A5" s="17">
        <v>2</v>
      </c>
      <c r="B5" s="4" t="s">
        <v>18</v>
      </c>
      <c r="C5" s="10" t="s">
        <v>93</v>
      </c>
      <c r="D5" s="3">
        <v>7870</v>
      </c>
      <c r="E5" s="4">
        <v>5509</v>
      </c>
      <c r="F5" s="4">
        <v>5509</v>
      </c>
      <c r="G5" s="4">
        <v>5509</v>
      </c>
      <c r="H5" s="5">
        <f t="shared" ref="H5:H68" si="2">E5*12%</f>
        <v>661.07999999999993</v>
      </c>
      <c r="I5" s="5">
        <f t="shared" si="0"/>
        <v>458.8997</v>
      </c>
      <c r="J5" s="5">
        <f t="shared" si="1"/>
        <v>202.18029999999993</v>
      </c>
    </row>
    <row r="6" spans="1:10" x14ac:dyDescent="0.25">
      <c r="A6" s="15">
        <v>3</v>
      </c>
      <c r="B6" s="4" t="s">
        <v>19</v>
      </c>
      <c r="C6" s="10" t="s">
        <v>93</v>
      </c>
      <c r="D6" s="3">
        <v>7870</v>
      </c>
      <c r="E6" s="4">
        <v>5509</v>
      </c>
      <c r="F6" s="4">
        <v>5509</v>
      </c>
      <c r="G6" s="4">
        <v>5509</v>
      </c>
      <c r="H6" s="5">
        <f t="shared" si="2"/>
        <v>661.07999999999993</v>
      </c>
      <c r="I6" s="5">
        <f t="shared" si="0"/>
        <v>458.8997</v>
      </c>
      <c r="J6" s="5">
        <f t="shared" si="1"/>
        <v>202.18029999999993</v>
      </c>
    </row>
    <row r="7" spans="1:10" x14ac:dyDescent="0.25">
      <c r="A7" s="17">
        <v>4</v>
      </c>
      <c r="B7" s="4" t="s">
        <v>24</v>
      </c>
      <c r="C7" s="10" t="s">
        <v>93</v>
      </c>
      <c r="D7" s="3">
        <v>3633</v>
      </c>
      <c r="E7" s="4">
        <v>2543</v>
      </c>
      <c r="F7" s="4">
        <v>2543</v>
      </c>
      <c r="G7" s="4">
        <v>2543</v>
      </c>
      <c r="H7" s="5">
        <f t="shared" si="2"/>
        <v>305.15999999999997</v>
      </c>
      <c r="I7" s="5">
        <f t="shared" si="0"/>
        <v>211.83189999999999</v>
      </c>
      <c r="J7" s="5">
        <f t="shared" si="1"/>
        <v>93.328099999999978</v>
      </c>
    </row>
    <row r="8" spans="1:10" x14ac:dyDescent="0.25">
      <c r="A8" s="15">
        <v>5</v>
      </c>
      <c r="B8" s="4" t="s">
        <v>21</v>
      </c>
      <c r="C8" s="10" t="s">
        <v>93</v>
      </c>
      <c r="D8" s="3">
        <v>7567</v>
      </c>
      <c r="E8" s="4">
        <v>5297</v>
      </c>
      <c r="F8" s="4">
        <v>5297</v>
      </c>
      <c r="G8" s="4">
        <v>5297</v>
      </c>
      <c r="H8" s="5">
        <f t="shared" si="2"/>
        <v>635.64</v>
      </c>
      <c r="I8" s="5">
        <f t="shared" si="0"/>
        <v>441.24009999999998</v>
      </c>
      <c r="J8" s="5">
        <f t="shared" si="1"/>
        <v>194.3999</v>
      </c>
    </row>
    <row r="9" spans="1:10" x14ac:dyDescent="0.25">
      <c r="A9" s="17">
        <v>6</v>
      </c>
      <c r="B9" s="4" t="s">
        <v>22</v>
      </c>
      <c r="C9" s="10" t="s">
        <v>93</v>
      </c>
      <c r="D9" s="3">
        <v>7264</v>
      </c>
      <c r="E9" s="4">
        <v>5085</v>
      </c>
      <c r="F9" s="4">
        <v>5085</v>
      </c>
      <c r="G9" s="4">
        <v>5085</v>
      </c>
      <c r="H9" s="5">
        <f t="shared" si="2"/>
        <v>610.19999999999993</v>
      </c>
      <c r="I9" s="5">
        <f t="shared" si="0"/>
        <v>423.58049999999997</v>
      </c>
      <c r="J9" s="5">
        <f t="shared" si="1"/>
        <v>186.61949999999996</v>
      </c>
    </row>
    <row r="10" spans="1:10" x14ac:dyDescent="0.25">
      <c r="A10" s="15">
        <v>7</v>
      </c>
      <c r="B10" s="4" t="s">
        <v>23</v>
      </c>
      <c r="C10" s="10" t="s">
        <v>93</v>
      </c>
      <c r="D10" s="3">
        <v>7567</v>
      </c>
      <c r="E10" s="4">
        <v>5297</v>
      </c>
      <c r="F10" s="4">
        <v>5297</v>
      </c>
      <c r="G10" s="4">
        <v>5297</v>
      </c>
      <c r="H10" s="5">
        <f t="shared" si="2"/>
        <v>635.64</v>
      </c>
      <c r="I10" s="5">
        <f t="shared" si="0"/>
        <v>441.24009999999998</v>
      </c>
      <c r="J10" s="5">
        <f t="shared" si="1"/>
        <v>194.3999</v>
      </c>
    </row>
    <row r="11" spans="1:10" x14ac:dyDescent="0.25">
      <c r="A11" s="17">
        <v>8</v>
      </c>
      <c r="B11" s="4" t="s">
        <v>25</v>
      </c>
      <c r="C11" s="10" t="s">
        <v>93</v>
      </c>
      <c r="D11" s="3">
        <v>6659</v>
      </c>
      <c r="E11" s="4">
        <v>4661</v>
      </c>
      <c r="F11" s="4">
        <v>4661</v>
      </c>
      <c r="G11" s="4">
        <v>4661</v>
      </c>
      <c r="H11" s="5">
        <f t="shared" si="2"/>
        <v>559.31999999999994</v>
      </c>
      <c r="I11" s="5">
        <f t="shared" si="0"/>
        <v>388.26130000000001</v>
      </c>
      <c r="J11" s="5">
        <f t="shared" si="1"/>
        <v>171.05869999999993</v>
      </c>
    </row>
    <row r="12" spans="1:10" x14ac:dyDescent="0.25">
      <c r="A12" s="15">
        <v>9</v>
      </c>
      <c r="B12" s="4" t="s">
        <v>26</v>
      </c>
      <c r="C12" s="18" t="s">
        <v>93</v>
      </c>
      <c r="D12" s="3">
        <v>7870</v>
      </c>
      <c r="E12" s="4">
        <v>5509</v>
      </c>
      <c r="F12" s="4">
        <v>5509</v>
      </c>
      <c r="G12" s="4">
        <v>5509</v>
      </c>
      <c r="H12" s="5">
        <f t="shared" si="2"/>
        <v>661.07999999999993</v>
      </c>
      <c r="I12" s="5">
        <f t="shared" si="0"/>
        <v>458.8997</v>
      </c>
      <c r="J12" s="5">
        <f t="shared" si="1"/>
        <v>202.18029999999993</v>
      </c>
    </row>
    <row r="13" spans="1:10" x14ac:dyDescent="0.25">
      <c r="A13" s="17">
        <v>10</v>
      </c>
      <c r="B13" s="4" t="s">
        <v>27</v>
      </c>
      <c r="C13" s="18" t="s">
        <v>94</v>
      </c>
      <c r="D13" s="3">
        <v>7870</v>
      </c>
      <c r="E13" s="4">
        <v>5509</v>
      </c>
      <c r="F13" s="4">
        <v>5509</v>
      </c>
      <c r="G13" s="4">
        <v>5509</v>
      </c>
      <c r="H13" s="5">
        <f t="shared" si="2"/>
        <v>661.07999999999993</v>
      </c>
      <c r="I13" s="5">
        <f t="shared" si="0"/>
        <v>458.8997</v>
      </c>
      <c r="J13" s="5">
        <f t="shared" si="1"/>
        <v>202.18029999999993</v>
      </c>
    </row>
    <row r="14" spans="1:10" x14ac:dyDescent="0.25">
      <c r="A14" s="15">
        <v>11</v>
      </c>
      <c r="B14" s="4" t="s">
        <v>99</v>
      </c>
      <c r="C14" s="10" t="s">
        <v>93</v>
      </c>
      <c r="D14" s="3">
        <v>7870</v>
      </c>
      <c r="E14" s="4">
        <v>5509</v>
      </c>
      <c r="F14" s="4">
        <v>5509</v>
      </c>
      <c r="G14" s="4">
        <v>5509</v>
      </c>
      <c r="H14" s="5">
        <f t="shared" si="2"/>
        <v>661.07999999999993</v>
      </c>
      <c r="I14" s="5">
        <f t="shared" si="0"/>
        <v>458.8997</v>
      </c>
      <c r="J14" s="5">
        <f t="shared" si="1"/>
        <v>202.18029999999993</v>
      </c>
    </row>
    <row r="15" spans="1:10" x14ac:dyDescent="0.25">
      <c r="A15" s="17">
        <v>12</v>
      </c>
      <c r="B15" s="4" t="s">
        <v>28</v>
      </c>
      <c r="C15" s="10" t="s">
        <v>93</v>
      </c>
      <c r="D15" s="3">
        <v>8476</v>
      </c>
      <c r="E15" s="4">
        <v>5933</v>
      </c>
      <c r="F15" s="4">
        <v>5933</v>
      </c>
      <c r="G15" s="4">
        <v>5933</v>
      </c>
      <c r="H15" s="5">
        <f t="shared" si="2"/>
        <v>711.95999999999992</v>
      </c>
      <c r="I15" s="5">
        <f t="shared" si="0"/>
        <v>494.21890000000002</v>
      </c>
      <c r="J15" s="5">
        <f t="shared" si="1"/>
        <v>217.7410999999999</v>
      </c>
    </row>
    <row r="16" spans="1:10" x14ac:dyDescent="0.25">
      <c r="A16" s="15">
        <v>13</v>
      </c>
      <c r="B16" s="4" t="s">
        <v>29</v>
      </c>
      <c r="C16" s="10" t="s">
        <v>93</v>
      </c>
      <c r="D16" s="3">
        <v>8173</v>
      </c>
      <c r="E16" s="4">
        <v>5721</v>
      </c>
      <c r="F16" s="4">
        <v>5721</v>
      </c>
      <c r="G16" s="4">
        <v>5721</v>
      </c>
      <c r="H16" s="5">
        <f t="shared" si="2"/>
        <v>686.52</v>
      </c>
      <c r="I16" s="5">
        <f t="shared" si="0"/>
        <v>476.55930000000001</v>
      </c>
      <c r="J16" s="5">
        <f t="shared" si="1"/>
        <v>209.96069999999997</v>
      </c>
    </row>
    <row r="17" spans="1:10" x14ac:dyDescent="0.25">
      <c r="A17" s="17">
        <v>14</v>
      </c>
      <c r="B17" s="4" t="s">
        <v>31</v>
      </c>
      <c r="C17" s="10" t="s">
        <v>93</v>
      </c>
      <c r="D17" s="3">
        <v>7870</v>
      </c>
      <c r="E17" s="4">
        <v>5509</v>
      </c>
      <c r="F17" s="4">
        <v>5509</v>
      </c>
      <c r="G17" s="4">
        <v>5509</v>
      </c>
      <c r="H17" s="5">
        <f t="shared" si="2"/>
        <v>661.07999999999993</v>
      </c>
      <c r="I17" s="5">
        <f t="shared" si="0"/>
        <v>458.8997</v>
      </c>
      <c r="J17" s="5">
        <f t="shared" si="1"/>
        <v>202.18029999999993</v>
      </c>
    </row>
    <row r="18" spans="1:10" x14ac:dyDescent="0.25">
      <c r="A18" s="15">
        <v>15</v>
      </c>
      <c r="B18" s="4" t="s">
        <v>32</v>
      </c>
      <c r="C18" s="10" t="s">
        <v>93</v>
      </c>
      <c r="D18" s="3">
        <v>6659</v>
      </c>
      <c r="E18" s="4">
        <v>4661</v>
      </c>
      <c r="F18" s="4">
        <v>4661</v>
      </c>
      <c r="G18" s="4">
        <v>4661</v>
      </c>
      <c r="H18" s="5">
        <f t="shared" si="2"/>
        <v>559.31999999999994</v>
      </c>
      <c r="I18" s="5">
        <f t="shared" si="0"/>
        <v>388.26130000000001</v>
      </c>
      <c r="J18" s="5">
        <f t="shared" si="1"/>
        <v>171.05869999999993</v>
      </c>
    </row>
    <row r="19" spans="1:10" x14ac:dyDescent="0.25">
      <c r="A19" s="17">
        <v>16</v>
      </c>
      <c r="B19" s="4" t="s">
        <v>33</v>
      </c>
      <c r="C19" s="10" t="s">
        <v>93</v>
      </c>
      <c r="D19" s="3">
        <v>9081</v>
      </c>
      <c r="E19" s="4">
        <v>6357</v>
      </c>
      <c r="F19" s="4">
        <v>6357</v>
      </c>
      <c r="G19" s="4">
        <v>6357</v>
      </c>
      <c r="H19" s="5">
        <f t="shared" si="2"/>
        <v>762.83999999999992</v>
      </c>
      <c r="I19" s="5">
        <f t="shared" si="0"/>
        <v>529.53809999999999</v>
      </c>
      <c r="J19" s="5">
        <f t="shared" si="1"/>
        <v>233.30189999999993</v>
      </c>
    </row>
    <row r="20" spans="1:10" x14ac:dyDescent="0.25">
      <c r="A20" s="15">
        <v>17</v>
      </c>
      <c r="B20" s="4" t="s">
        <v>34</v>
      </c>
      <c r="C20" s="10" t="s">
        <v>94</v>
      </c>
      <c r="D20" s="3">
        <v>9081</v>
      </c>
      <c r="E20" s="4">
        <v>6357</v>
      </c>
      <c r="F20" s="4">
        <v>6357</v>
      </c>
      <c r="G20" s="4">
        <v>6357</v>
      </c>
      <c r="H20" s="5">
        <f t="shared" si="2"/>
        <v>762.83999999999992</v>
      </c>
      <c r="I20" s="5">
        <f t="shared" si="0"/>
        <v>529.53809999999999</v>
      </c>
      <c r="J20" s="5">
        <f t="shared" si="1"/>
        <v>233.30189999999993</v>
      </c>
    </row>
    <row r="21" spans="1:10" x14ac:dyDescent="0.25">
      <c r="A21" s="17">
        <v>18</v>
      </c>
      <c r="B21" s="4" t="s">
        <v>100</v>
      </c>
      <c r="C21" s="18" t="s">
        <v>93</v>
      </c>
      <c r="D21" s="3">
        <v>7567</v>
      </c>
      <c r="E21" s="4">
        <v>5297</v>
      </c>
      <c r="F21" s="4">
        <v>5297</v>
      </c>
      <c r="G21" s="4">
        <v>5297</v>
      </c>
      <c r="H21" s="5">
        <f t="shared" si="2"/>
        <v>635.64</v>
      </c>
      <c r="I21" s="5">
        <f t="shared" si="0"/>
        <v>441.24009999999998</v>
      </c>
      <c r="J21" s="5">
        <f t="shared" si="1"/>
        <v>194.3999</v>
      </c>
    </row>
    <row r="22" spans="1:10" x14ac:dyDescent="0.25">
      <c r="A22" s="15">
        <v>19</v>
      </c>
      <c r="B22" s="4" t="s">
        <v>35</v>
      </c>
      <c r="C22" s="10" t="s">
        <v>93</v>
      </c>
      <c r="D22" s="3">
        <v>8476</v>
      </c>
      <c r="E22" s="4">
        <v>5933</v>
      </c>
      <c r="F22" s="4">
        <v>5933</v>
      </c>
      <c r="G22" s="4">
        <v>5933</v>
      </c>
      <c r="H22" s="5">
        <f t="shared" si="2"/>
        <v>711.95999999999992</v>
      </c>
      <c r="I22" s="5">
        <f t="shared" si="0"/>
        <v>494.21890000000002</v>
      </c>
      <c r="J22" s="5">
        <f t="shared" si="1"/>
        <v>217.7410999999999</v>
      </c>
    </row>
    <row r="23" spans="1:10" x14ac:dyDescent="0.25">
      <c r="A23" s="17">
        <v>20</v>
      </c>
      <c r="B23" s="4" t="s">
        <v>36</v>
      </c>
      <c r="C23" s="10" t="s">
        <v>93</v>
      </c>
      <c r="D23" s="3">
        <v>8173</v>
      </c>
      <c r="E23" s="4">
        <v>5721</v>
      </c>
      <c r="F23" s="4">
        <v>5721</v>
      </c>
      <c r="G23" s="4">
        <v>5721</v>
      </c>
      <c r="H23" s="5">
        <f t="shared" si="2"/>
        <v>686.52</v>
      </c>
      <c r="I23" s="5">
        <f t="shared" si="0"/>
        <v>476.55930000000001</v>
      </c>
      <c r="J23" s="5">
        <f t="shared" si="1"/>
        <v>209.96069999999997</v>
      </c>
    </row>
    <row r="24" spans="1:10" x14ac:dyDescent="0.25">
      <c r="A24" s="15">
        <v>21</v>
      </c>
      <c r="B24" s="4" t="s">
        <v>37</v>
      </c>
      <c r="C24" s="10" t="s">
        <v>94</v>
      </c>
      <c r="D24" s="3">
        <v>7182</v>
      </c>
      <c r="E24" s="4">
        <v>5027</v>
      </c>
      <c r="F24" s="4">
        <v>5027</v>
      </c>
      <c r="G24" s="4">
        <v>5027</v>
      </c>
      <c r="H24" s="5">
        <f t="shared" si="2"/>
        <v>603.24</v>
      </c>
      <c r="I24" s="5">
        <f t="shared" si="0"/>
        <v>418.7491</v>
      </c>
      <c r="J24" s="5">
        <f t="shared" si="1"/>
        <v>184.49090000000001</v>
      </c>
    </row>
    <row r="25" spans="1:10" x14ac:dyDescent="0.25">
      <c r="A25" s="17">
        <v>22</v>
      </c>
      <c r="B25" s="19" t="s">
        <v>38</v>
      </c>
      <c r="C25" s="10" t="s">
        <v>93</v>
      </c>
      <c r="D25" s="3">
        <v>5288</v>
      </c>
      <c r="E25" s="4">
        <v>2908</v>
      </c>
      <c r="F25" s="4">
        <v>2908</v>
      </c>
      <c r="G25" s="4">
        <v>2908</v>
      </c>
      <c r="H25" s="5">
        <f t="shared" si="2"/>
        <v>348.96</v>
      </c>
      <c r="I25" s="5">
        <f t="shared" si="0"/>
        <v>242.2364</v>
      </c>
      <c r="J25" s="5">
        <f t="shared" si="1"/>
        <v>106.72359999999998</v>
      </c>
    </row>
    <row r="26" spans="1:10" x14ac:dyDescent="0.25">
      <c r="A26" s="15">
        <v>23</v>
      </c>
      <c r="B26" s="4" t="s">
        <v>39</v>
      </c>
      <c r="C26" s="10" t="s">
        <v>94</v>
      </c>
      <c r="D26" s="3">
        <v>7182</v>
      </c>
      <c r="E26" s="4">
        <v>5027</v>
      </c>
      <c r="F26" s="4">
        <v>5027</v>
      </c>
      <c r="G26" s="4">
        <v>5027</v>
      </c>
      <c r="H26" s="5">
        <f t="shared" si="2"/>
        <v>603.24</v>
      </c>
      <c r="I26" s="5">
        <f t="shared" si="0"/>
        <v>418.7491</v>
      </c>
      <c r="J26" s="5">
        <f t="shared" si="1"/>
        <v>184.49090000000001</v>
      </c>
    </row>
    <row r="27" spans="1:10" x14ac:dyDescent="0.25">
      <c r="A27" s="17">
        <v>24</v>
      </c>
      <c r="B27" s="4" t="s">
        <v>40</v>
      </c>
      <c r="C27" s="10" t="s">
        <v>94</v>
      </c>
      <c r="D27" s="3">
        <v>8304</v>
      </c>
      <c r="E27" s="4">
        <v>4983</v>
      </c>
      <c r="F27" s="4">
        <v>4983</v>
      </c>
      <c r="G27" s="4">
        <v>4983</v>
      </c>
      <c r="H27" s="5">
        <f t="shared" si="2"/>
        <v>597.95999999999992</v>
      </c>
      <c r="I27" s="5">
        <f t="shared" si="0"/>
        <v>415.08389999999997</v>
      </c>
      <c r="J27" s="5">
        <f t="shared" si="1"/>
        <v>182.87609999999995</v>
      </c>
    </row>
    <row r="28" spans="1:10" x14ac:dyDescent="0.25">
      <c r="A28" s="15">
        <v>25</v>
      </c>
      <c r="B28" s="4" t="s">
        <v>41</v>
      </c>
      <c r="C28" s="10" t="s">
        <v>93</v>
      </c>
      <c r="D28" s="3">
        <v>7711</v>
      </c>
      <c r="E28" s="4">
        <v>4627</v>
      </c>
      <c r="F28" s="4">
        <v>4627</v>
      </c>
      <c r="G28" s="4">
        <v>4627</v>
      </c>
      <c r="H28" s="5">
        <f t="shared" si="2"/>
        <v>555.24</v>
      </c>
      <c r="I28" s="5">
        <f t="shared" si="0"/>
        <v>385.42910000000001</v>
      </c>
      <c r="J28" s="5">
        <f t="shared" si="1"/>
        <v>169.8109</v>
      </c>
    </row>
    <row r="29" spans="1:10" x14ac:dyDescent="0.25">
      <c r="A29" s="17">
        <v>26</v>
      </c>
      <c r="B29" s="7" t="s">
        <v>42</v>
      </c>
      <c r="C29" s="16" t="s">
        <v>93</v>
      </c>
      <c r="D29" s="3">
        <v>8450</v>
      </c>
      <c r="E29" s="4">
        <v>8254</v>
      </c>
      <c r="F29" s="4">
        <v>8254</v>
      </c>
      <c r="G29" s="4">
        <v>8254</v>
      </c>
      <c r="H29" s="5">
        <f t="shared" si="2"/>
        <v>990.48</v>
      </c>
      <c r="I29" s="5">
        <f t="shared" si="0"/>
        <v>687.55819999999994</v>
      </c>
      <c r="J29" s="5">
        <f t="shared" si="1"/>
        <v>302.92180000000008</v>
      </c>
    </row>
    <row r="30" spans="1:10" x14ac:dyDescent="0.25">
      <c r="A30" s="15">
        <v>27</v>
      </c>
      <c r="B30" s="4" t="s">
        <v>43</v>
      </c>
      <c r="C30" s="10" t="s">
        <v>93</v>
      </c>
      <c r="D30" s="3">
        <v>8450</v>
      </c>
      <c r="E30" s="4">
        <v>8254</v>
      </c>
      <c r="F30" s="4">
        <v>8254</v>
      </c>
      <c r="G30" s="4">
        <v>8254</v>
      </c>
      <c r="H30" s="5">
        <f t="shared" si="2"/>
        <v>990.48</v>
      </c>
      <c r="I30" s="5">
        <f t="shared" si="0"/>
        <v>687.55819999999994</v>
      </c>
      <c r="J30" s="5">
        <f t="shared" si="1"/>
        <v>302.92180000000008</v>
      </c>
    </row>
    <row r="31" spans="1:10" x14ac:dyDescent="0.25">
      <c r="A31" s="17">
        <v>28</v>
      </c>
      <c r="B31" s="4" t="s">
        <v>44</v>
      </c>
      <c r="C31" s="10" t="s">
        <v>93</v>
      </c>
      <c r="D31" s="3">
        <v>7576</v>
      </c>
      <c r="E31" s="4">
        <v>7400</v>
      </c>
      <c r="F31" s="4">
        <v>7400</v>
      </c>
      <c r="G31" s="4">
        <v>7400</v>
      </c>
      <c r="H31" s="5">
        <f t="shared" si="2"/>
        <v>888</v>
      </c>
      <c r="I31" s="5">
        <f t="shared" si="0"/>
        <v>616.41999999999996</v>
      </c>
      <c r="J31" s="5">
        <f t="shared" si="1"/>
        <v>271.58000000000004</v>
      </c>
    </row>
    <row r="32" spans="1:10" x14ac:dyDescent="0.25">
      <c r="A32" s="15">
        <v>29</v>
      </c>
      <c r="B32" s="4" t="s">
        <v>45</v>
      </c>
      <c r="C32" s="10" t="s">
        <v>93</v>
      </c>
      <c r="D32" s="3">
        <v>7284</v>
      </c>
      <c r="E32" s="4">
        <v>7115</v>
      </c>
      <c r="F32" s="4">
        <v>7115</v>
      </c>
      <c r="G32" s="4">
        <v>7115</v>
      </c>
      <c r="H32" s="5">
        <f t="shared" si="2"/>
        <v>853.8</v>
      </c>
      <c r="I32" s="5">
        <f t="shared" si="0"/>
        <v>592.67949999999996</v>
      </c>
      <c r="J32" s="5">
        <f t="shared" si="1"/>
        <v>261.12049999999999</v>
      </c>
    </row>
    <row r="33" spans="1:10" x14ac:dyDescent="0.25">
      <c r="A33" s="17">
        <v>30</v>
      </c>
      <c r="B33" s="4" t="s">
        <v>46</v>
      </c>
      <c r="C33" s="10" t="s">
        <v>94</v>
      </c>
      <c r="D33" s="3">
        <v>7631</v>
      </c>
      <c r="E33" s="4">
        <v>7115</v>
      </c>
      <c r="F33" s="4">
        <v>7115</v>
      </c>
      <c r="G33" s="4">
        <v>7115</v>
      </c>
      <c r="H33" s="5">
        <f t="shared" si="2"/>
        <v>853.8</v>
      </c>
      <c r="I33" s="5">
        <f t="shared" si="0"/>
        <v>592.67949999999996</v>
      </c>
      <c r="J33" s="5">
        <f t="shared" si="1"/>
        <v>261.12049999999999</v>
      </c>
    </row>
    <row r="34" spans="1:10" x14ac:dyDescent="0.25">
      <c r="A34" s="15">
        <v>31</v>
      </c>
      <c r="B34" s="4" t="s">
        <v>47</v>
      </c>
      <c r="C34" s="10" t="s">
        <v>95</v>
      </c>
      <c r="D34" s="3">
        <v>7327</v>
      </c>
      <c r="E34" s="4">
        <v>6831</v>
      </c>
      <c r="F34" s="4">
        <v>6831</v>
      </c>
      <c r="G34" s="4">
        <v>6831</v>
      </c>
      <c r="H34" s="5">
        <f t="shared" si="2"/>
        <v>819.71999999999991</v>
      </c>
      <c r="I34" s="5">
        <f t="shared" si="0"/>
        <v>569.02229999999997</v>
      </c>
      <c r="J34" s="5">
        <f t="shared" si="1"/>
        <v>250.69769999999994</v>
      </c>
    </row>
    <row r="35" spans="1:10" x14ac:dyDescent="0.25">
      <c r="A35" s="17">
        <v>32</v>
      </c>
      <c r="B35" s="4" t="s">
        <v>48</v>
      </c>
      <c r="C35" s="10" t="s">
        <v>93</v>
      </c>
      <c r="D35" s="3">
        <v>6993</v>
      </c>
      <c r="E35" s="4">
        <v>6831</v>
      </c>
      <c r="F35" s="4">
        <v>6831</v>
      </c>
      <c r="G35" s="4">
        <v>6831</v>
      </c>
      <c r="H35" s="5">
        <f t="shared" si="2"/>
        <v>819.71999999999991</v>
      </c>
      <c r="I35" s="5">
        <f t="shared" si="0"/>
        <v>569.02229999999997</v>
      </c>
      <c r="J35" s="5">
        <f t="shared" si="1"/>
        <v>250.69769999999994</v>
      </c>
    </row>
    <row r="36" spans="1:10" x14ac:dyDescent="0.25">
      <c r="A36" s="15">
        <v>33</v>
      </c>
      <c r="B36" s="4" t="s">
        <v>49</v>
      </c>
      <c r="C36" s="10" t="s">
        <v>93</v>
      </c>
      <c r="D36" s="3">
        <v>8159</v>
      </c>
      <c r="E36" s="4">
        <v>7969</v>
      </c>
      <c r="F36" s="4">
        <v>7969</v>
      </c>
      <c r="G36" s="4">
        <v>7969</v>
      </c>
      <c r="H36" s="5">
        <f t="shared" si="2"/>
        <v>956.28</v>
      </c>
      <c r="I36" s="5">
        <f t="shared" ref="I36:I67" si="3">F36*8.33%</f>
        <v>663.81769999999995</v>
      </c>
      <c r="J36" s="5">
        <f t="shared" ref="J36:J67" si="4">H36-I36</f>
        <v>292.46230000000003</v>
      </c>
    </row>
    <row r="37" spans="1:10" x14ac:dyDescent="0.25">
      <c r="A37" s="17">
        <v>34</v>
      </c>
      <c r="B37" s="4" t="s">
        <v>50</v>
      </c>
      <c r="C37" s="10" t="s">
        <v>93</v>
      </c>
      <c r="D37" s="3">
        <v>5600</v>
      </c>
      <c r="E37" s="4">
        <v>4760</v>
      </c>
      <c r="F37" s="4">
        <v>4760</v>
      </c>
      <c r="G37" s="4">
        <v>4760</v>
      </c>
      <c r="H37" s="5">
        <f t="shared" si="2"/>
        <v>571.19999999999993</v>
      </c>
      <c r="I37" s="5">
        <f t="shared" si="3"/>
        <v>396.50799999999998</v>
      </c>
      <c r="J37" s="5">
        <f t="shared" si="4"/>
        <v>174.69199999999995</v>
      </c>
    </row>
    <row r="38" spans="1:10" x14ac:dyDescent="0.25">
      <c r="A38" s="15">
        <v>35</v>
      </c>
      <c r="B38" s="4" t="s">
        <v>51</v>
      </c>
      <c r="C38" s="10" t="s">
        <v>94</v>
      </c>
      <c r="D38" s="3">
        <v>6100</v>
      </c>
      <c r="E38" s="4">
        <v>4420</v>
      </c>
      <c r="F38" s="4">
        <v>4420</v>
      </c>
      <c r="G38" s="4">
        <v>4420</v>
      </c>
      <c r="H38" s="5">
        <f t="shared" si="2"/>
        <v>530.4</v>
      </c>
      <c r="I38" s="5">
        <f t="shared" si="3"/>
        <v>368.18599999999998</v>
      </c>
      <c r="J38" s="5">
        <f t="shared" si="4"/>
        <v>162.214</v>
      </c>
    </row>
    <row r="39" spans="1:10" x14ac:dyDescent="0.25">
      <c r="A39" s="17">
        <v>36</v>
      </c>
      <c r="B39" s="4" t="s">
        <v>52</v>
      </c>
      <c r="C39" s="10" t="s">
        <v>93</v>
      </c>
      <c r="D39" s="3">
        <v>7259</v>
      </c>
      <c r="E39" s="4">
        <v>5081</v>
      </c>
      <c r="F39" s="4">
        <v>5081</v>
      </c>
      <c r="G39" s="4">
        <v>5081</v>
      </c>
      <c r="H39" s="5">
        <f t="shared" si="2"/>
        <v>609.72</v>
      </c>
      <c r="I39" s="5">
        <f t="shared" si="3"/>
        <v>423.2473</v>
      </c>
      <c r="J39" s="5">
        <f t="shared" si="4"/>
        <v>186.47270000000003</v>
      </c>
    </row>
    <row r="40" spans="1:10" x14ac:dyDescent="0.25">
      <c r="A40" s="15">
        <v>37</v>
      </c>
      <c r="B40" s="4" t="s">
        <v>53</v>
      </c>
      <c r="C40" s="10" t="s">
        <v>94</v>
      </c>
      <c r="D40" s="3">
        <v>7259</v>
      </c>
      <c r="E40" s="4">
        <v>5081</v>
      </c>
      <c r="F40" s="4">
        <v>5081</v>
      </c>
      <c r="G40" s="4">
        <v>5081</v>
      </c>
      <c r="H40" s="5">
        <f t="shared" si="2"/>
        <v>609.72</v>
      </c>
      <c r="I40" s="5">
        <f t="shared" si="3"/>
        <v>423.2473</v>
      </c>
      <c r="J40" s="5">
        <f t="shared" si="4"/>
        <v>186.47270000000003</v>
      </c>
    </row>
    <row r="41" spans="1:10" x14ac:dyDescent="0.25">
      <c r="A41" s="17">
        <v>38</v>
      </c>
      <c r="B41" s="4" t="s">
        <v>104</v>
      </c>
      <c r="C41" s="10" t="s">
        <v>93</v>
      </c>
      <c r="D41" s="3">
        <v>7259</v>
      </c>
      <c r="E41" s="4">
        <v>5081</v>
      </c>
      <c r="F41" s="4">
        <v>5081</v>
      </c>
      <c r="G41" s="4">
        <v>5081</v>
      </c>
      <c r="H41" s="5">
        <f t="shared" si="2"/>
        <v>609.72</v>
      </c>
      <c r="I41" s="5">
        <f t="shared" si="3"/>
        <v>423.2473</v>
      </c>
      <c r="J41" s="5">
        <f t="shared" si="4"/>
        <v>186.47270000000003</v>
      </c>
    </row>
    <row r="42" spans="1:10" x14ac:dyDescent="0.25">
      <c r="A42" s="15">
        <v>39</v>
      </c>
      <c r="B42" s="4" t="s">
        <v>54</v>
      </c>
      <c r="C42" s="10" t="s">
        <v>93</v>
      </c>
      <c r="D42" s="3">
        <v>5491</v>
      </c>
      <c r="E42" s="4">
        <v>3295</v>
      </c>
      <c r="F42" s="4">
        <v>3295</v>
      </c>
      <c r="G42" s="4">
        <v>3295</v>
      </c>
      <c r="H42" s="5">
        <f t="shared" si="2"/>
        <v>395.4</v>
      </c>
      <c r="I42" s="5">
        <f t="shared" si="3"/>
        <v>274.4735</v>
      </c>
      <c r="J42" s="5">
        <f t="shared" si="4"/>
        <v>120.92649999999998</v>
      </c>
    </row>
    <row r="43" spans="1:10" x14ac:dyDescent="0.25">
      <c r="A43" s="17">
        <v>40</v>
      </c>
      <c r="B43" s="4" t="s">
        <v>55</v>
      </c>
      <c r="C43" s="10" t="s">
        <v>93</v>
      </c>
      <c r="D43" s="3">
        <v>3958</v>
      </c>
      <c r="E43" s="4">
        <v>1979</v>
      </c>
      <c r="F43" s="4">
        <v>1979</v>
      </c>
      <c r="G43" s="4">
        <v>1979</v>
      </c>
      <c r="H43" s="5">
        <f t="shared" si="2"/>
        <v>237.48</v>
      </c>
      <c r="I43" s="5">
        <f t="shared" si="3"/>
        <v>164.85069999999999</v>
      </c>
      <c r="J43" s="5">
        <f t="shared" si="4"/>
        <v>72.629300000000001</v>
      </c>
    </row>
    <row r="44" spans="1:10" x14ac:dyDescent="0.25">
      <c r="A44" s="15">
        <v>41</v>
      </c>
      <c r="B44" s="4" t="s">
        <v>56</v>
      </c>
      <c r="C44" s="10" t="s">
        <v>94</v>
      </c>
      <c r="D44" s="3">
        <v>5785</v>
      </c>
      <c r="E44" s="4">
        <v>3471</v>
      </c>
      <c r="F44" s="4">
        <v>3471</v>
      </c>
      <c r="G44" s="4">
        <v>3471</v>
      </c>
      <c r="H44" s="5">
        <f t="shared" si="2"/>
        <v>416.52</v>
      </c>
      <c r="I44" s="5">
        <f t="shared" si="3"/>
        <v>289.1343</v>
      </c>
      <c r="J44" s="5">
        <f t="shared" si="4"/>
        <v>127.38569999999999</v>
      </c>
    </row>
    <row r="45" spans="1:10" x14ac:dyDescent="0.25">
      <c r="A45" s="17">
        <v>42</v>
      </c>
      <c r="B45" s="4" t="s">
        <v>57</v>
      </c>
      <c r="C45" s="10" t="s">
        <v>94</v>
      </c>
      <c r="D45" s="3">
        <v>6036</v>
      </c>
      <c r="E45" s="4">
        <v>3622</v>
      </c>
      <c r="F45" s="4">
        <v>3622</v>
      </c>
      <c r="G45" s="4">
        <v>3622</v>
      </c>
      <c r="H45" s="5">
        <f t="shared" si="2"/>
        <v>434.64</v>
      </c>
      <c r="I45" s="5">
        <f t="shared" si="3"/>
        <v>301.71260000000001</v>
      </c>
      <c r="J45" s="5">
        <f t="shared" si="4"/>
        <v>132.92739999999998</v>
      </c>
    </row>
    <row r="46" spans="1:10" x14ac:dyDescent="0.25">
      <c r="A46" s="15">
        <v>43</v>
      </c>
      <c r="B46" s="4" t="s">
        <v>58</v>
      </c>
      <c r="C46" s="10" t="s">
        <v>93</v>
      </c>
      <c r="D46" s="3">
        <v>7256</v>
      </c>
      <c r="E46" s="4">
        <v>7256</v>
      </c>
      <c r="F46" s="4">
        <v>7256</v>
      </c>
      <c r="G46" s="4">
        <v>7256</v>
      </c>
      <c r="H46" s="5">
        <f t="shared" si="2"/>
        <v>870.71999999999991</v>
      </c>
      <c r="I46" s="5">
        <f t="shared" si="3"/>
        <v>604.4248</v>
      </c>
      <c r="J46" s="5">
        <f t="shared" si="4"/>
        <v>266.29519999999991</v>
      </c>
    </row>
    <row r="47" spans="1:10" x14ac:dyDescent="0.25">
      <c r="A47" s="17">
        <v>44</v>
      </c>
      <c r="B47" s="4" t="s">
        <v>59</v>
      </c>
      <c r="C47" s="18" t="s">
        <v>93</v>
      </c>
      <c r="D47" s="3">
        <v>7256</v>
      </c>
      <c r="E47" s="4">
        <v>7256</v>
      </c>
      <c r="F47" s="4">
        <v>7256</v>
      </c>
      <c r="G47" s="4">
        <v>7256</v>
      </c>
      <c r="H47" s="5">
        <f t="shared" si="2"/>
        <v>870.71999999999991</v>
      </c>
      <c r="I47" s="5">
        <f t="shared" si="3"/>
        <v>604.4248</v>
      </c>
      <c r="J47" s="5">
        <f t="shared" si="4"/>
        <v>266.29519999999991</v>
      </c>
    </row>
    <row r="48" spans="1:10" x14ac:dyDescent="0.25">
      <c r="A48" s="15">
        <v>45</v>
      </c>
      <c r="B48" s="4" t="s">
        <v>60</v>
      </c>
      <c r="C48" s="10" t="s">
        <v>93</v>
      </c>
      <c r="D48" s="6">
        <v>7256</v>
      </c>
      <c r="E48" s="7">
        <v>7256</v>
      </c>
      <c r="F48" s="7">
        <v>7256</v>
      </c>
      <c r="G48" s="7">
        <v>7256</v>
      </c>
      <c r="H48" s="5">
        <f t="shared" si="2"/>
        <v>870.71999999999991</v>
      </c>
      <c r="I48" s="5">
        <f t="shared" si="3"/>
        <v>604.4248</v>
      </c>
      <c r="J48" s="5">
        <f t="shared" si="4"/>
        <v>266.29519999999991</v>
      </c>
    </row>
    <row r="49" spans="1:10" x14ac:dyDescent="0.25">
      <c r="A49" s="17">
        <v>46</v>
      </c>
      <c r="B49" s="4" t="s">
        <v>61</v>
      </c>
      <c r="C49" s="10" t="s">
        <v>93</v>
      </c>
      <c r="D49" s="6">
        <v>7256</v>
      </c>
      <c r="E49" s="7">
        <v>7256</v>
      </c>
      <c r="F49" s="7">
        <v>7256</v>
      </c>
      <c r="G49" s="7">
        <v>7256</v>
      </c>
      <c r="H49" s="5">
        <f t="shared" si="2"/>
        <v>870.71999999999991</v>
      </c>
      <c r="I49" s="5">
        <f t="shared" si="3"/>
        <v>604.4248</v>
      </c>
      <c r="J49" s="5">
        <f t="shared" si="4"/>
        <v>266.29519999999991</v>
      </c>
    </row>
    <row r="50" spans="1:10" x14ac:dyDescent="0.25">
      <c r="A50" s="15">
        <v>47</v>
      </c>
      <c r="B50" s="4" t="s">
        <v>62</v>
      </c>
      <c r="C50" s="10" t="s">
        <v>93</v>
      </c>
      <c r="D50" s="6">
        <v>7546</v>
      </c>
      <c r="E50" s="7">
        <v>7546</v>
      </c>
      <c r="F50" s="7">
        <v>7546</v>
      </c>
      <c r="G50" s="7">
        <v>7546</v>
      </c>
      <c r="H50" s="5">
        <f t="shared" si="2"/>
        <v>905.52</v>
      </c>
      <c r="I50" s="5">
        <f t="shared" si="3"/>
        <v>628.58180000000004</v>
      </c>
      <c r="J50" s="5">
        <f t="shared" si="4"/>
        <v>276.93819999999994</v>
      </c>
    </row>
    <row r="51" spans="1:10" x14ac:dyDescent="0.25">
      <c r="A51" s="17">
        <v>48</v>
      </c>
      <c r="B51" s="4" t="s">
        <v>63</v>
      </c>
      <c r="C51" s="10" t="s">
        <v>93</v>
      </c>
      <c r="D51" s="6">
        <v>6385</v>
      </c>
      <c r="E51" s="7">
        <v>6385</v>
      </c>
      <c r="F51" s="7">
        <v>6385</v>
      </c>
      <c r="G51" s="7">
        <v>6385</v>
      </c>
      <c r="H51" s="5">
        <f t="shared" si="2"/>
        <v>766.19999999999993</v>
      </c>
      <c r="I51" s="5">
        <f t="shared" si="3"/>
        <v>531.87049999999999</v>
      </c>
      <c r="J51" s="5">
        <f t="shared" si="4"/>
        <v>234.32949999999994</v>
      </c>
    </row>
    <row r="52" spans="1:10" x14ac:dyDescent="0.25">
      <c r="A52" s="15">
        <v>49</v>
      </c>
      <c r="B52" s="4" t="s">
        <v>64</v>
      </c>
      <c r="C52" s="10" t="s">
        <v>93</v>
      </c>
      <c r="D52" s="6">
        <v>7546</v>
      </c>
      <c r="E52" s="7">
        <v>7546</v>
      </c>
      <c r="F52" s="7">
        <v>7546</v>
      </c>
      <c r="G52" s="7">
        <v>7546</v>
      </c>
      <c r="H52" s="5">
        <f t="shared" si="2"/>
        <v>905.52</v>
      </c>
      <c r="I52" s="5">
        <f t="shared" si="3"/>
        <v>628.58180000000004</v>
      </c>
      <c r="J52" s="5">
        <f t="shared" si="4"/>
        <v>276.93819999999994</v>
      </c>
    </row>
    <row r="53" spans="1:10" x14ac:dyDescent="0.25">
      <c r="A53" s="17">
        <v>50</v>
      </c>
      <c r="B53" s="4" t="s">
        <v>65</v>
      </c>
      <c r="C53" s="10" t="s">
        <v>93</v>
      </c>
      <c r="D53" s="6">
        <v>7546</v>
      </c>
      <c r="E53" s="7">
        <v>7546</v>
      </c>
      <c r="F53" s="7">
        <v>7546</v>
      </c>
      <c r="G53" s="7">
        <v>7546</v>
      </c>
      <c r="H53" s="5">
        <f t="shared" si="2"/>
        <v>905.52</v>
      </c>
      <c r="I53" s="5">
        <f t="shared" si="3"/>
        <v>628.58180000000004</v>
      </c>
      <c r="J53" s="5">
        <f t="shared" si="4"/>
        <v>276.93819999999994</v>
      </c>
    </row>
    <row r="54" spans="1:10" x14ac:dyDescent="0.25">
      <c r="A54" s="15">
        <v>51</v>
      </c>
      <c r="B54" s="4" t="s">
        <v>66</v>
      </c>
      <c r="C54" s="10" t="s">
        <v>93</v>
      </c>
      <c r="D54" s="6">
        <v>6385</v>
      </c>
      <c r="E54" s="7">
        <v>6385</v>
      </c>
      <c r="F54" s="7">
        <v>6385</v>
      </c>
      <c r="G54" s="7">
        <v>6385</v>
      </c>
      <c r="H54" s="5">
        <f t="shared" si="2"/>
        <v>766.19999999999993</v>
      </c>
      <c r="I54" s="5">
        <f t="shared" si="3"/>
        <v>531.87049999999999</v>
      </c>
      <c r="J54" s="5">
        <f t="shared" si="4"/>
        <v>234.32949999999994</v>
      </c>
    </row>
    <row r="55" spans="1:10" x14ac:dyDescent="0.25">
      <c r="A55" s="17">
        <v>52</v>
      </c>
      <c r="B55" s="4" t="s">
        <v>67</v>
      </c>
      <c r="C55" s="18" t="s">
        <v>93</v>
      </c>
      <c r="D55" s="6">
        <v>6966</v>
      </c>
      <c r="E55" s="7">
        <v>6966</v>
      </c>
      <c r="F55" s="7">
        <v>6966</v>
      </c>
      <c r="G55" s="7">
        <v>6966</v>
      </c>
      <c r="H55" s="5">
        <f t="shared" si="2"/>
        <v>835.92</v>
      </c>
      <c r="I55" s="5">
        <f t="shared" si="3"/>
        <v>580.26779999999997</v>
      </c>
      <c r="J55" s="5">
        <f t="shared" si="4"/>
        <v>255.65219999999999</v>
      </c>
    </row>
    <row r="56" spans="1:10" x14ac:dyDescent="0.25">
      <c r="A56" s="15">
        <v>53</v>
      </c>
      <c r="B56" s="4" t="s">
        <v>101</v>
      </c>
      <c r="C56" s="10" t="s">
        <v>93</v>
      </c>
      <c r="D56" s="6">
        <v>5224</v>
      </c>
      <c r="E56" s="7">
        <v>5224</v>
      </c>
      <c r="F56" s="7">
        <v>5224</v>
      </c>
      <c r="G56" s="7">
        <v>5224</v>
      </c>
      <c r="H56" s="5">
        <f t="shared" si="2"/>
        <v>626.88</v>
      </c>
      <c r="I56" s="5">
        <f t="shared" si="3"/>
        <v>435.1592</v>
      </c>
      <c r="J56" s="5">
        <f t="shared" si="4"/>
        <v>191.7208</v>
      </c>
    </row>
    <row r="57" spans="1:10" x14ac:dyDescent="0.25">
      <c r="A57" s="17">
        <v>54</v>
      </c>
      <c r="B57" s="4" t="s">
        <v>102</v>
      </c>
      <c r="C57" s="10" t="s">
        <v>93</v>
      </c>
      <c r="D57" s="6">
        <v>7836</v>
      </c>
      <c r="E57" s="7">
        <v>7546</v>
      </c>
      <c r="F57" s="7">
        <v>7546</v>
      </c>
      <c r="G57" s="7">
        <v>7546</v>
      </c>
      <c r="H57" s="5">
        <f t="shared" si="2"/>
        <v>905.52</v>
      </c>
      <c r="I57" s="5">
        <f t="shared" si="3"/>
        <v>628.58180000000004</v>
      </c>
      <c r="J57" s="5">
        <f t="shared" si="4"/>
        <v>276.93819999999994</v>
      </c>
    </row>
    <row r="58" spans="1:10" x14ac:dyDescent="0.25">
      <c r="A58" s="15">
        <v>55</v>
      </c>
      <c r="B58" s="4" t="s">
        <v>30</v>
      </c>
      <c r="C58" s="10" t="s">
        <v>93</v>
      </c>
      <c r="D58" s="6">
        <v>7256</v>
      </c>
      <c r="E58" s="7">
        <v>7256</v>
      </c>
      <c r="F58" s="7">
        <v>7256</v>
      </c>
      <c r="G58" s="7">
        <v>7256</v>
      </c>
      <c r="H58" s="5">
        <f t="shared" si="2"/>
        <v>870.71999999999991</v>
      </c>
      <c r="I58" s="5">
        <f t="shared" si="3"/>
        <v>604.4248</v>
      </c>
      <c r="J58" s="5">
        <f t="shared" si="4"/>
        <v>266.29519999999991</v>
      </c>
    </row>
    <row r="59" spans="1:10" x14ac:dyDescent="0.25">
      <c r="A59" s="17">
        <v>56</v>
      </c>
      <c r="B59" s="4" t="s">
        <v>105</v>
      </c>
      <c r="C59" s="10" t="s">
        <v>93</v>
      </c>
      <c r="D59" s="6">
        <v>6966</v>
      </c>
      <c r="E59" s="7">
        <v>6966</v>
      </c>
      <c r="F59" s="7">
        <v>6966</v>
      </c>
      <c r="G59" s="7">
        <v>6966</v>
      </c>
      <c r="H59" s="5">
        <f t="shared" si="2"/>
        <v>835.92</v>
      </c>
      <c r="I59" s="5">
        <f t="shared" si="3"/>
        <v>580.26779999999997</v>
      </c>
      <c r="J59" s="5">
        <f t="shared" si="4"/>
        <v>255.65219999999999</v>
      </c>
    </row>
    <row r="60" spans="1:10" ht="28.5" x14ac:dyDescent="0.25">
      <c r="A60" s="15">
        <v>57</v>
      </c>
      <c r="B60" s="4" t="s">
        <v>69</v>
      </c>
      <c r="C60" s="10" t="s">
        <v>96</v>
      </c>
      <c r="D60" s="6">
        <v>7343</v>
      </c>
      <c r="E60" s="7">
        <v>7343</v>
      </c>
      <c r="F60" s="7">
        <v>7343</v>
      </c>
      <c r="G60" s="7">
        <v>7343</v>
      </c>
      <c r="H60" s="5">
        <f t="shared" si="2"/>
        <v>881.16</v>
      </c>
      <c r="I60" s="5">
        <f t="shared" si="3"/>
        <v>611.67189999999994</v>
      </c>
      <c r="J60" s="5">
        <f t="shared" si="4"/>
        <v>269.48810000000003</v>
      </c>
    </row>
    <row r="61" spans="1:10" x14ac:dyDescent="0.25">
      <c r="A61" s="17">
        <v>58</v>
      </c>
      <c r="B61" s="4" t="s">
        <v>70</v>
      </c>
      <c r="C61" s="18" t="s">
        <v>97</v>
      </c>
      <c r="D61" s="6">
        <v>9682</v>
      </c>
      <c r="E61" s="7">
        <v>9132</v>
      </c>
      <c r="F61" s="7">
        <v>9132</v>
      </c>
      <c r="G61" s="7">
        <v>9132</v>
      </c>
      <c r="H61" s="5">
        <f t="shared" si="2"/>
        <v>1095.8399999999999</v>
      </c>
      <c r="I61" s="5">
        <f t="shared" si="3"/>
        <v>760.69560000000001</v>
      </c>
      <c r="J61" s="5">
        <f t="shared" si="4"/>
        <v>335.14439999999991</v>
      </c>
    </row>
    <row r="62" spans="1:10" x14ac:dyDescent="0.25">
      <c r="A62" s="15">
        <v>59</v>
      </c>
      <c r="B62" s="4" t="s">
        <v>71</v>
      </c>
      <c r="C62" s="10" t="s">
        <v>98</v>
      </c>
      <c r="D62" s="6">
        <v>15751</v>
      </c>
      <c r="E62" s="7">
        <v>7546</v>
      </c>
      <c r="F62" s="7">
        <v>7546</v>
      </c>
      <c r="G62" s="7">
        <v>7546</v>
      </c>
      <c r="H62" s="5">
        <f t="shared" si="2"/>
        <v>905.52</v>
      </c>
      <c r="I62" s="5">
        <f t="shared" si="3"/>
        <v>628.58180000000004</v>
      </c>
      <c r="J62" s="5">
        <f t="shared" si="4"/>
        <v>276.93819999999994</v>
      </c>
    </row>
    <row r="63" spans="1:10" x14ac:dyDescent="0.25">
      <c r="A63" s="17">
        <v>60</v>
      </c>
      <c r="B63" s="4" t="s">
        <v>72</v>
      </c>
      <c r="C63" s="10" t="s">
        <v>94</v>
      </c>
      <c r="D63" s="6">
        <v>9361</v>
      </c>
      <c r="E63" s="7">
        <v>7489</v>
      </c>
      <c r="F63" s="7">
        <v>7489</v>
      </c>
      <c r="G63" s="7">
        <v>7489</v>
      </c>
      <c r="H63" s="5">
        <f t="shared" si="2"/>
        <v>898.68</v>
      </c>
      <c r="I63" s="5">
        <f t="shared" si="3"/>
        <v>623.83370000000002</v>
      </c>
      <c r="J63" s="5">
        <f t="shared" si="4"/>
        <v>274.84629999999993</v>
      </c>
    </row>
    <row r="64" spans="1:10" x14ac:dyDescent="0.25">
      <c r="A64" s="15">
        <v>61</v>
      </c>
      <c r="B64" s="4" t="s">
        <v>73</v>
      </c>
      <c r="C64" s="10" t="s">
        <v>94</v>
      </c>
      <c r="D64" s="6">
        <v>9001</v>
      </c>
      <c r="E64" s="7">
        <v>7201</v>
      </c>
      <c r="F64" s="7">
        <v>7201</v>
      </c>
      <c r="G64" s="7">
        <v>7201</v>
      </c>
      <c r="H64" s="5">
        <f t="shared" si="2"/>
        <v>864.12</v>
      </c>
      <c r="I64" s="5">
        <f t="shared" si="3"/>
        <v>599.8433</v>
      </c>
      <c r="J64" s="5">
        <f t="shared" si="4"/>
        <v>264.27670000000001</v>
      </c>
    </row>
    <row r="65" spans="1:10" x14ac:dyDescent="0.25">
      <c r="A65" s="17">
        <v>62</v>
      </c>
      <c r="B65" s="4" t="s">
        <v>74</v>
      </c>
      <c r="C65" s="10" t="s">
        <v>94</v>
      </c>
      <c r="D65" s="6">
        <v>9361</v>
      </c>
      <c r="E65" s="7">
        <v>7489</v>
      </c>
      <c r="F65" s="7">
        <v>7489</v>
      </c>
      <c r="G65" s="7">
        <v>7489</v>
      </c>
      <c r="H65" s="5">
        <f t="shared" si="2"/>
        <v>898.68</v>
      </c>
      <c r="I65" s="5">
        <f t="shared" si="3"/>
        <v>623.83370000000002</v>
      </c>
      <c r="J65" s="5">
        <f t="shared" si="4"/>
        <v>274.84629999999993</v>
      </c>
    </row>
    <row r="66" spans="1:10" x14ac:dyDescent="0.25">
      <c r="A66" s="15">
        <v>63</v>
      </c>
      <c r="B66" s="4" t="s">
        <v>75</v>
      </c>
      <c r="C66" s="10" t="s">
        <v>94</v>
      </c>
      <c r="D66" s="6">
        <v>9001</v>
      </c>
      <c r="E66" s="7">
        <v>7201</v>
      </c>
      <c r="F66" s="7">
        <v>7201</v>
      </c>
      <c r="G66" s="7">
        <v>7201</v>
      </c>
      <c r="H66" s="5">
        <f t="shared" si="2"/>
        <v>864.12</v>
      </c>
      <c r="I66" s="5">
        <f t="shared" si="3"/>
        <v>599.8433</v>
      </c>
      <c r="J66" s="5">
        <f t="shared" si="4"/>
        <v>264.27670000000001</v>
      </c>
    </row>
    <row r="67" spans="1:10" x14ac:dyDescent="0.25">
      <c r="A67" s="17">
        <v>64</v>
      </c>
      <c r="B67" s="4" t="s">
        <v>76</v>
      </c>
      <c r="C67" s="10" t="s">
        <v>94</v>
      </c>
      <c r="D67" s="6">
        <v>8641</v>
      </c>
      <c r="E67" s="7">
        <v>6913</v>
      </c>
      <c r="F67" s="7">
        <v>6913</v>
      </c>
      <c r="G67" s="7">
        <v>6913</v>
      </c>
      <c r="H67" s="5">
        <f t="shared" si="2"/>
        <v>829.56</v>
      </c>
      <c r="I67" s="5">
        <f t="shared" si="3"/>
        <v>575.85289999999998</v>
      </c>
      <c r="J67" s="5">
        <f t="shared" si="4"/>
        <v>253.70709999999997</v>
      </c>
    </row>
    <row r="68" spans="1:10" x14ac:dyDescent="0.25">
      <c r="A68" s="15">
        <v>65</v>
      </c>
      <c r="B68" s="4" t="s">
        <v>77</v>
      </c>
      <c r="C68" s="10" t="s">
        <v>94</v>
      </c>
      <c r="D68" s="6">
        <v>6121</v>
      </c>
      <c r="E68" s="7">
        <v>4897</v>
      </c>
      <c r="F68" s="7">
        <v>4897</v>
      </c>
      <c r="G68" s="7">
        <v>4897</v>
      </c>
      <c r="H68" s="5">
        <f t="shared" si="2"/>
        <v>587.64</v>
      </c>
      <c r="I68" s="5">
        <f t="shared" ref="I68:I87" si="5">F68*8.33%</f>
        <v>407.92009999999999</v>
      </c>
      <c r="J68" s="5">
        <f t="shared" ref="J68:J87" si="6">H68-I68</f>
        <v>179.7199</v>
      </c>
    </row>
    <row r="69" spans="1:10" x14ac:dyDescent="0.25">
      <c r="A69" s="17">
        <v>66</v>
      </c>
      <c r="B69" s="4" t="s">
        <v>106</v>
      </c>
      <c r="C69" s="10" t="s">
        <v>94</v>
      </c>
      <c r="D69" s="8">
        <v>4681</v>
      </c>
      <c r="E69" s="9">
        <v>3745</v>
      </c>
      <c r="F69" s="9">
        <v>3745</v>
      </c>
      <c r="G69" s="9">
        <v>3745</v>
      </c>
      <c r="H69" s="5">
        <f t="shared" ref="H69:H84" si="7">E69*12%</f>
        <v>449.4</v>
      </c>
      <c r="I69" s="5">
        <f t="shared" si="5"/>
        <v>311.95850000000002</v>
      </c>
      <c r="J69" s="5">
        <f t="shared" si="6"/>
        <v>137.44149999999996</v>
      </c>
    </row>
    <row r="70" spans="1:10" x14ac:dyDescent="0.25">
      <c r="A70" s="15">
        <v>67</v>
      </c>
      <c r="B70" s="4" t="s">
        <v>78</v>
      </c>
      <c r="C70" s="10" t="s">
        <v>94</v>
      </c>
      <c r="D70" s="3">
        <v>8641</v>
      </c>
      <c r="E70" s="4">
        <v>6913</v>
      </c>
      <c r="F70" s="4">
        <v>6913</v>
      </c>
      <c r="G70" s="4">
        <v>6913</v>
      </c>
      <c r="H70" s="5">
        <f t="shared" si="7"/>
        <v>829.56</v>
      </c>
      <c r="I70" s="5">
        <f t="shared" si="5"/>
        <v>575.85289999999998</v>
      </c>
      <c r="J70" s="5">
        <f t="shared" si="6"/>
        <v>253.70709999999997</v>
      </c>
    </row>
    <row r="71" spans="1:10" x14ac:dyDescent="0.25">
      <c r="A71" s="17">
        <v>68</v>
      </c>
      <c r="B71" s="4" t="s">
        <v>79</v>
      </c>
      <c r="C71" s="10" t="s">
        <v>93</v>
      </c>
      <c r="D71" s="6">
        <v>7201</v>
      </c>
      <c r="E71" s="7">
        <v>7201</v>
      </c>
      <c r="F71" s="7">
        <v>7201</v>
      </c>
      <c r="G71" s="7">
        <v>7201</v>
      </c>
      <c r="H71" s="5">
        <f t="shared" si="7"/>
        <v>864.12</v>
      </c>
      <c r="I71" s="5">
        <f t="shared" si="5"/>
        <v>599.8433</v>
      </c>
      <c r="J71" s="5">
        <f t="shared" si="6"/>
        <v>264.27670000000001</v>
      </c>
    </row>
    <row r="72" spans="1:10" x14ac:dyDescent="0.25">
      <c r="A72" s="15">
        <v>69</v>
      </c>
      <c r="B72" s="4" t="s">
        <v>80</v>
      </c>
      <c r="C72" s="10" t="s">
        <v>94</v>
      </c>
      <c r="D72" s="6">
        <v>9361</v>
      </c>
      <c r="E72" s="7">
        <v>7489</v>
      </c>
      <c r="F72" s="7">
        <v>7489</v>
      </c>
      <c r="G72" s="7">
        <v>7489</v>
      </c>
      <c r="H72" s="5">
        <f t="shared" si="7"/>
        <v>898.68</v>
      </c>
      <c r="I72" s="5">
        <f t="shared" si="5"/>
        <v>623.83370000000002</v>
      </c>
      <c r="J72" s="5">
        <f t="shared" si="6"/>
        <v>274.84629999999993</v>
      </c>
    </row>
    <row r="73" spans="1:10" x14ac:dyDescent="0.25">
      <c r="A73" s="17">
        <v>70</v>
      </c>
      <c r="B73" s="4" t="s">
        <v>81</v>
      </c>
      <c r="C73" s="10" t="s">
        <v>94</v>
      </c>
      <c r="D73" s="6">
        <v>9361</v>
      </c>
      <c r="E73" s="7">
        <v>7489</v>
      </c>
      <c r="F73" s="7">
        <v>7489</v>
      </c>
      <c r="G73" s="7">
        <v>7489</v>
      </c>
      <c r="H73" s="5">
        <f t="shared" si="7"/>
        <v>898.68</v>
      </c>
      <c r="I73" s="5">
        <f t="shared" si="5"/>
        <v>623.83370000000002</v>
      </c>
      <c r="J73" s="5">
        <f t="shared" si="6"/>
        <v>274.84629999999993</v>
      </c>
    </row>
    <row r="74" spans="1:10" x14ac:dyDescent="0.25">
      <c r="A74" s="15">
        <v>71</v>
      </c>
      <c r="B74" s="4" t="s">
        <v>82</v>
      </c>
      <c r="C74" s="10" t="s">
        <v>94</v>
      </c>
      <c r="D74" s="6">
        <v>9001</v>
      </c>
      <c r="E74" s="7">
        <v>7201</v>
      </c>
      <c r="F74" s="7">
        <v>7201</v>
      </c>
      <c r="G74" s="7">
        <v>7201</v>
      </c>
      <c r="H74" s="5">
        <f t="shared" si="7"/>
        <v>864.12</v>
      </c>
      <c r="I74" s="5">
        <f t="shared" si="5"/>
        <v>599.8433</v>
      </c>
      <c r="J74" s="5">
        <f t="shared" si="6"/>
        <v>264.27670000000001</v>
      </c>
    </row>
    <row r="75" spans="1:10" x14ac:dyDescent="0.25">
      <c r="A75" s="17">
        <v>72</v>
      </c>
      <c r="B75" s="4" t="s">
        <v>83</v>
      </c>
      <c r="C75" s="10" t="s">
        <v>94</v>
      </c>
      <c r="D75" s="6">
        <v>9001</v>
      </c>
      <c r="E75" s="7">
        <v>7201</v>
      </c>
      <c r="F75" s="7">
        <v>7201</v>
      </c>
      <c r="G75" s="7">
        <v>7201</v>
      </c>
      <c r="H75" s="5">
        <f t="shared" si="7"/>
        <v>864.12</v>
      </c>
      <c r="I75" s="5">
        <f t="shared" si="5"/>
        <v>599.8433</v>
      </c>
      <c r="J75" s="5">
        <f t="shared" si="6"/>
        <v>264.27670000000001</v>
      </c>
    </row>
    <row r="76" spans="1:10" x14ac:dyDescent="0.25">
      <c r="A76" s="15">
        <v>73</v>
      </c>
      <c r="B76" s="4" t="s">
        <v>84</v>
      </c>
      <c r="C76" s="10" t="s">
        <v>94</v>
      </c>
      <c r="D76" s="6">
        <v>8641</v>
      </c>
      <c r="E76" s="7">
        <v>6913</v>
      </c>
      <c r="F76" s="7">
        <v>6913</v>
      </c>
      <c r="G76" s="7">
        <v>6913</v>
      </c>
      <c r="H76" s="5">
        <f t="shared" si="7"/>
        <v>829.56</v>
      </c>
      <c r="I76" s="5">
        <f t="shared" si="5"/>
        <v>575.85289999999998</v>
      </c>
      <c r="J76" s="5">
        <f t="shared" si="6"/>
        <v>253.70709999999997</v>
      </c>
    </row>
    <row r="77" spans="1:10" x14ac:dyDescent="0.25">
      <c r="A77" s="17">
        <v>74</v>
      </c>
      <c r="B77" s="4" t="s">
        <v>85</v>
      </c>
      <c r="C77" s="10" t="s">
        <v>93</v>
      </c>
      <c r="D77" s="6">
        <v>7201</v>
      </c>
      <c r="E77" s="7">
        <v>7201</v>
      </c>
      <c r="F77" s="7">
        <v>7201</v>
      </c>
      <c r="G77" s="7">
        <v>7201</v>
      </c>
      <c r="H77" s="5">
        <f t="shared" si="7"/>
        <v>864.12</v>
      </c>
      <c r="I77" s="5">
        <f t="shared" si="5"/>
        <v>599.8433</v>
      </c>
      <c r="J77" s="5">
        <f t="shared" si="6"/>
        <v>264.27670000000001</v>
      </c>
    </row>
    <row r="78" spans="1:10" x14ac:dyDescent="0.25">
      <c r="A78" s="15">
        <v>75</v>
      </c>
      <c r="B78" s="4" t="s">
        <v>86</v>
      </c>
      <c r="C78" s="10" t="s">
        <v>93</v>
      </c>
      <c r="D78" s="6">
        <v>7489</v>
      </c>
      <c r="E78" s="7">
        <v>7489</v>
      </c>
      <c r="F78" s="7">
        <v>7489</v>
      </c>
      <c r="G78" s="7">
        <v>7489</v>
      </c>
      <c r="H78" s="5">
        <f t="shared" si="7"/>
        <v>898.68</v>
      </c>
      <c r="I78" s="5">
        <f t="shared" si="5"/>
        <v>623.83370000000002</v>
      </c>
      <c r="J78" s="5">
        <f t="shared" si="6"/>
        <v>274.84629999999993</v>
      </c>
    </row>
    <row r="79" spans="1:10" x14ac:dyDescent="0.25">
      <c r="A79" s="17">
        <v>76</v>
      </c>
      <c r="B79" s="4" t="s">
        <v>87</v>
      </c>
      <c r="C79" s="10" t="s">
        <v>94</v>
      </c>
      <c r="D79" s="6">
        <v>9721</v>
      </c>
      <c r="E79" s="7">
        <v>7777</v>
      </c>
      <c r="F79" s="7">
        <v>7777</v>
      </c>
      <c r="G79" s="7">
        <v>7777</v>
      </c>
      <c r="H79" s="5">
        <f t="shared" si="7"/>
        <v>933.24</v>
      </c>
      <c r="I79" s="5">
        <f t="shared" si="5"/>
        <v>647.82410000000004</v>
      </c>
      <c r="J79" s="5">
        <f t="shared" si="6"/>
        <v>285.41589999999997</v>
      </c>
    </row>
    <row r="80" spans="1:10" x14ac:dyDescent="0.25">
      <c r="A80" s="15">
        <v>77</v>
      </c>
      <c r="B80" s="4" t="s">
        <v>20</v>
      </c>
      <c r="C80" s="10" t="s">
        <v>94</v>
      </c>
      <c r="D80" s="6">
        <v>9361</v>
      </c>
      <c r="E80" s="7">
        <v>7489</v>
      </c>
      <c r="F80" s="7">
        <v>7489</v>
      </c>
      <c r="G80" s="7">
        <v>7489</v>
      </c>
      <c r="H80" s="5">
        <f t="shared" si="7"/>
        <v>898.68</v>
      </c>
      <c r="I80" s="5">
        <f t="shared" si="5"/>
        <v>623.83370000000002</v>
      </c>
      <c r="J80" s="5">
        <f t="shared" si="6"/>
        <v>274.84629999999993</v>
      </c>
    </row>
    <row r="81" spans="1:10" x14ac:dyDescent="0.25">
      <c r="A81" s="17">
        <v>78</v>
      </c>
      <c r="B81" s="4" t="s">
        <v>107</v>
      </c>
      <c r="C81" s="10" t="s">
        <v>94</v>
      </c>
      <c r="D81" s="6">
        <v>9361</v>
      </c>
      <c r="E81" s="7">
        <v>7489</v>
      </c>
      <c r="F81" s="7">
        <v>7489</v>
      </c>
      <c r="G81" s="7">
        <v>7489</v>
      </c>
      <c r="H81" s="5">
        <f t="shared" si="7"/>
        <v>898.68</v>
      </c>
      <c r="I81" s="5">
        <f t="shared" si="5"/>
        <v>623.83370000000002</v>
      </c>
      <c r="J81" s="5">
        <f t="shared" si="6"/>
        <v>274.84629999999993</v>
      </c>
    </row>
    <row r="82" spans="1:10" x14ac:dyDescent="0.25">
      <c r="A82" s="15">
        <v>79</v>
      </c>
      <c r="B82" s="4" t="s">
        <v>88</v>
      </c>
      <c r="C82" s="10" t="s">
        <v>94</v>
      </c>
      <c r="D82" s="6">
        <v>9433</v>
      </c>
      <c r="E82" s="7">
        <v>7546</v>
      </c>
      <c r="F82" s="7">
        <v>7546</v>
      </c>
      <c r="G82" s="7">
        <v>7546</v>
      </c>
      <c r="H82" s="5">
        <f t="shared" si="7"/>
        <v>905.52</v>
      </c>
      <c r="I82" s="5">
        <f t="shared" si="5"/>
        <v>628.58180000000004</v>
      </c>
      <c r="J82" s="5">
        <f t="shared" si="6"/>
        <v>276.93819999999994</v>
      </c>
    </row>
    <row r="83" spans="1:10" x14ac:dyDescent="0.25">
      <c r="A83" s="17">
        <v>80</v>
      </c>
      <c r="B83" s="4" t="s">
        <v>89</v>
      </c>
      <c r="C83" s="10" t="s">
        <v>93</v>
      </c>
      <c r="D83" s="6">
        <v>4353</v>
      </c>
      <c r="E83" s="7">
        <v>4353</v>
      </c>
      <c r="F83" s="7">
        <v>4353</v>
      </c>
      <c r="G83" s="7">
        <v>4353</v>
      </c>
      <c r="H83" s="5">
        <f t="shared" si="7"/>
        <v>522.36</v>
      </c>
      <c r="I83" s="5">
        <f t="shared" si="5"/>
        <v>362.60489999999999</v>
      </c>
      <c r="J83" s="5">
        <f t="shared" si="6"/>
        <v>159.75510000000003</v>
      </c>
    </row>
    <row r="84" spans="1:10" x14ac:dyDescent="0.25">
      <c r="A84" s="15">
        <v>81</v>
      </c>
      <c r="B84" s="4" t="s">
        <v>90</v>
      </c>
      <c r="C84" s="10" t="s">
        <v>93</v>
      </c>
      <c r="D84" s="6">
        <v>6095</v>
      </c>
      <c r="E84" s="7">
        <v>6095</v>
      </c>
      <c r="F84" s="7">
        <v>6095</v>
      </c>
      <c r="G84" s="7">
        <v>6095</v>
      </c>
      <c r="H84" s="5">
        <f t="shared" si="7"/>
        <v>731.4</v>
      </c>
      <c r="I84" s="5">
        <f t="shared" si="5"/>
        <v>507.71350000000001</v>
      </c>
      <c r="J84" s="5">
        <f t="shared" si="6"/>
        <v>223.68649999999997</v>
      </c>
    </row>
    <row r="85" spans="1:10" x14ac:dyDescent="0.25">
      <c r="A85" s="17">
        <v>82</v>
      </c>
      <c r="B85" s="4" t="s">
        <v>91</v>
      </c>
      <c r="C85" s="10" t="s">
        <v>93</v>
      </c>
      <c r="D85" s="6">
        <v>6675</v>
      </c>
      <c r="E85" s="7">
        <v>6675</v>
      </c>
      <c r="F85" s="7">
        <v>6675</v>
      </c>
      <c r="G85" s="7">
        <v>6675</v>
      </c>
      <c r="H85" s="5">
        <f t="shared" ref="H85" si="8">E85*12%</f>
        <v>801</v>
      </c>
      <c r="I85" s="5">
        <f t="shared" si="5"/>
        <v>556.02750000000003</v>
      </c>
      <c r="J85" s="5">
        <f t="shared" si="6"/>
        <v>244.97249999999997</v>
      </c>
    </row>
    <row r="86" spans="1:10" x14ac:dyDescent="0.25">
      <c r="A86" s="15">
        <v>83</v>
      </c>
      <c r="B86" s="4" t="s">
        <v>92</v>
      </c>
      <c r="C86" s="10" t="s">
        <v>93</v>
      </c>
      <c r="D86" s="6">
        <v>3773</v>
      </c>
      <c r="E86" s="7">
        <v>3773</v>
      </c>
      <c r="F86" s="7">
        <v>3773</v>
      </c>
      <c r="G86" s="7">
        <v>3773</v>
      </c>
      <c r="H86" s="5">
        <f t="shared" ref="H86:H87" si="9">E86*12%</f>
        <v>452.76</v>
      </c>
      <c r="I86" s="5">
        <f t="shared" si="5"/>
        <v>314.29090000000002</v>
      </c>
      <c r="J86" s="5">
        <f t="shared" si="6"/>
        <v>138.46909999999997</v>
      </c>
    </row>
    <row r="87" spans="1:10" x14ac:dyDescent="0.25">
      <c r="A87" s="17">
        <v>84</v>
      </c>
      <c r="B87" s="4" t="s">
        <v>68</v>
      </c>
      <c r="C87" s="10" t="s">
        <v>93</v>
      </c>
      <c r="D87" s="6">
        <v>2322</v>
      </c>
      <c r="E87" s="7">
        <v>2322</v>
      </c>
      <c r="F87" s="7">
        <v>2322</v>
      </c>
      <c r="G87" s="7">
        <v>2322</v>
      </c>
      <c r="H87" s="5">
        <f t="shared" si="9"/>
        <v>278.64</v>
      </c>
      <c r="I87" s="5">
        <f t="shared" si="5"/>
        <v>193.42259999999999</v>
      </c>
      <c r="J87" s="5">
        <f t="shared" si="6"/>
        <v>85.217399999999998</v>
      </c>
    </row>
    <row r="88" spans="1:10" x14ac:dyDescent="0.25">
      <c r="A88" s="17">
        <v>85</v>
      </c>
      <c r="B88" s="4" t="s">
        <v>108</v>
      </c>
      <c r="C88" s="10" t="s">
        <v>93</v>
      </c>
      <c r="D88" s="6">
        <v>2612</v>
      </c>
      <c r="E88" s="7">
        <v>2612</v>
      </c>
      <c r="F88" s="7">
        <v>2612</v>
      </c>
      <c r="G88" s="7">
        <v>2612</v>
      </c>
      <c r="H88" s="5">
        <f t="shared" ref="H88" si="10">E88*12%</f>
        <v>313.44</v>
      </c>
      <c r="I88" s="5">
        <f t="shared" ref="I88" si="11">F88*8.33%</f>
        <v>217.5796</v>
      </c>
      <c r="J88" s="5">
        <f t="shared" ref="J88" si="12">H88-I88</f>
        <v>95.860399999999998</v>
      </c>
    </row>
    <row r="89" spans="1:10" x14ac:dyDescent="0.25">
      <c r="A89" s="4"/>
      <c r="B89" s="4"/>
      <c r="C89" s="10"/>
      <c r="D89" s="3"/>
      <c r="E89" s="4"/>
      <c r="F89" s="3"/>
      <c r="G89" s="3"/>
      <c r="H89" s="3"/>
      <c r="I89" s="3"/>
      <c r="J89" s="3"/>
    </row>
    <row r="90" spans="1:10" x14ac:dyDescent="0.25">
      <c r="A90" s="11"/>
      <c r="B90" s="11"/>
      <c r="C90" s="12"/>
      <c r="D90" s="13">
        <f>SUBTOTAL(109,D4:D89)</f>
        <v>632673</v>
      </c>
      <c r="E90" s="13">
        <f>SUBTOTAL(109,E4:E89)</f>
        <v>514919</v>
      </c>
      <c r="F90" s="13">
        <f t="shared" ref="F90:J90" si="13">SUBTOTAL(109,F4:F89)</f>
        <v>514919</v>
      </c>
      <c r="G90" s="13">
        <f t="shared" si="13"/>
        <v>514919</v>
      </c>
      <c r="H90" s="13">
        <f>SUBTOTAL(109,H4:H89)</f>
        <v>61790.28</v>
      </c>
      <c r="I90" s="13">
        <f t="shared" si="13"/>
        <v>42892.752699999997</v>
      </c>
      <c r="J90" s="13">
        <f t="shared" si="13"/>
        <v>18897.527300000005</v>
      </c>
    </row>
  </sheetData>
  <mergeCells count="1">
    <mergeCell ref="A1:J1"/>
  </mergeCells>
  <conditionalFormatting sqref="B89">
    <cfRule type="duplicateValues" dxfId="4" priority="7"/>
    <cfRule type="duplicateValues" priority="8"/>
  </conditionalFormatting>
  <conditionalFormatting sqref="B4:B88">
    <cfRule type="duplicateValues" dxfId="3" priority="11"/>
  </conditionalFormatting>
  <printOptions horizontalCentered="1"/>
  <pageMargins left="0" right="0" top="0.25" bottom="0" header="0" footer="0"/>
  <pageSetup paperSize="9"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J90"/>
  <sheetViews>
    <sheetView tabSelected="1" zoomScaleNormal="100" zoomScaleSheetLayoutView="100" workbookViewId="0">
      <pane xSplit="2" ySplit="3" topLeftCell="C4" activePane="bottomRight" state="frozen"/>
      <selection pane="topRight" activeCell="F1" sqref="F1"/>
      <selection pane="bottomLeft" activeCell="A3" sqref="A3"/>
      <selection pane="bottomRight" activeCell="L9" sqref="L9"/>
    </sheetView>
  </sheetViews>
  <sheetFormatPr defaultRowHeight="14.25" x14ac:dyDescent="0.25"/>
  <cols>
    <col min="1" max="1" width="4.5703125" style="33" customWidth="1"/>
    <col min="2" max="2" width="20.42578125" style="14" customWidth="1"/>
    <col min="3" max="3" width="16" style="20" customWidth="1"/>
    <col min="4" max="4" width="9.28515625" style="34" bestFit="1" customWidth="1"/>
    <col min="5" max="5" width="8" style="14" customWidth="1"/>
    <col min="6" max="6" width="9" style="14" customWidth="1"/>
    <col min="7" max="7" width="9.28515625" style="14" bestFit="1" customWidth="1"/>
    <col min="8" max="8" width="14.7109375" style="14" customWidth="1"/>
    <col min="9" max="9" width="13.7109375" style="14" customWidth="1"/>
    <col min="10" max="10" width="13.85546875" style="14" customWidth="1"/>
    <col min="11" max="16384" width="9.140625" style="14"/>
  </cols>
  <sheetData>
    <row r="1" spans="1:10" ht="30.75" x14ac:dyDescent="0.55000000000000004">
      <c r="A1" s="35" t="s">
        <v>109</v>
      </c>
      <c r="B1" s="35"/>
      <c r="C1" s="35"/>
      <c r="D1" s="35"/>
      <c r="E1" s="35"/>
      <c r="F1" s="35"/>
      <c r="G1" s="35"/>
      <c r="H1" s="35"/>
      <c r="I1" s="35"/>
      <c r="J1" s="35"/>
    </row>
    <row r="3" spans="1:10" s="2" customFormat="1" ht="36" x14ac:dyDescent="0.25">
      <c r="A3" s="1" t="s">
        <v>0</v>
      </c>
      <c r="B3" s="1" t="s">
        <v>1</v>
      </c>
      <c r="C3" s="1" t="s">
        <v>4</v>
      </c>
      <c r="D3" s="21" t="s">
        <v>15</v>
      </c>
      <c r="E3" s="1" t="s">
        <v>2</v>
      </c>
      <c r="F3" s="22" t="s">
        <v>14</v>
      </c>
      <c r="G3" s="21" t="s">
        <v>16</v>
      </c>
      <c r="H3" s="1" t="s">
        <v>3</v>
      </c>
      <c r="I3" s="21" t="s">
        <v>12</v>
      </c>
      <c r="J3" s="21" t="s">
        <v>13</v>
      </c>
    </row>
    <row r="4" spans="1:10" x14ac:dyDescent="0.25">
      <c r="A4" s="17">
        <v>1</v>
      </c>
      <c r="B4" s="4" t="s">
        <v>17</v>
      </c>
      <c r="C4" s="18" t="s">
        <v>93</v>
      </c>
      <c r="D4" s="23">
        <v>7870</v>
      </c>
      <c r="E4" s="24">
        <v>26</v>
      </c>
      <c r="F4" s="25">
        <v>25</v>
      </c>
      <c r="G4" s="26">
        <v>7567</v>
      </c>
      <c r="H4" s="27">
        <f>ROUNDUP($G4*4.75%,0)</f>
        <v>360</v>
      </c>
      <c r="I4" s="27">
        <f>ROUNDUP($G4*1.75%,0)</f>
        <v>133</v>
      </c>
      <c r="J4" s="26">
        <f>H4+I4</f>
        <v>493</v>
      </c>
    </row>
    <row r="5" spans="1:10" x14ac:dyDescent="0.25">
      <c r="A5" s="17">
        <v>2</v>
      </c>
      <c r="B5" s="4" t="s">
        <v>18</v>
      </c>
      <c r="C5" s="18" t="s">
        <v>93</v>
      </c>
      <c r="D5" s="23">
        <v>7870</v>
      </c>
      <c r="E5" s="24">
        <v>26</v>
      </c>
      <c r="F5" s="25">
        <v>26</v>
      </c>
      <c r="G5" s="26">
        <v>7870</v>
      </c>
      <c r="H5" s="27">
        <f t="shared" ref="H5:H68" si="0">ROUNDUP($G5*4.75%,0)</f>
        <v>374</v>
      </c>
      <c r="I5" s="27">
        <f t="shared" ref="I5:I68" si="1">ROUNDUP($G5*1.75%,0)</f>
        <v>138</v>
      </c>
      <c r="J5" s="26">
        <f t="shared" ref="J5:J68" si="2">H5+I5</f>
        <v>512</v>
      </c>
    </row>
    <row r="6" spans="1:10" x14ac:dyDescent="0.25">
      <c r="A6" s="17">
        <v>3</v>
      </c>
      <c r="B6" s="4" t="s">
        <v>19</v>
      </c>
      <c r="C6" s="18" t="s">
        <v>93</v>
      </c>
      <c r="D6" s="23">
        <v>7870</v>
      </c>
      <c r="E6" s="24">
        <v>26</v>
      </c>
      <c r="F6" s="25">
        <v>26</v>
      </c>
      <c r="G6" s="26">
        <v>7870</v>
      </c>
      <c r="H6" s="27">
        <f t="shared" si="0"/>
        <v>374</v>
      </c>
      <c r="I6" s="27">
        <f t="shared" si="1"/>
        <v>138</v>
      </c>
      <c r="J6" s="26">
        <f t="shared" si="2"/>
        <v>512</v>
      </c>
    </row>
    <row r="7" spans="1:10" x14ac:dyDescent="0.25">
      <c r="A7" s="17">
        <v>4</v>
      </c>
      <c r="B7" s="4" t="s">
        <v>24</v>
      </c>
      <c r="C7" s="18" t="s">
        <v>93</v>
      </c>
      <c r="D7" s="23">
        <v>7870</v>
      </c>
      <c r="E7" s="24">
        <v>26</v>
      </c>
      <c r="F7" s="25">
        <v>12</v>
      </c>
      <c r="G7" s="26">
        <v>3633</v>
      </c>
      <c r="H7" s="27">
        <f t="shared" si="0"/>
        <v>173</v>
      </c>
      <c r="I7" s="27">
        <f t="shared" si="1"/>
        <v>64</v>
      </c>
      <c r="J7" s="26">
        <f t="shared" si="2"/>
        <v>237</v>
      </c>
    </row>
    <row r="8" spans="1:10" x14ac:dyDescent="0.25">
      <c r="A8" s="17">
        <v>5</v>
      </c>
      <c r="B8" s="4" t="s">
        <v>21</v>
      </c>
      <c r="C8" s="10" t="s">
        <v>93</v>
      </c>
      <c r="D8" s="23">
        <v>7870</v>
      </c>
      <c r="E8" s="24">
        <v>26</v>
      </c>
      <c r="F8" s="25">
        <v>25</v>
      </c>
      <c r="G8" s="26">
        <v>7567</v>
      </c>
      <c r="H8" s="27">
        <f t="shared" si="0"/>
        <v>360</v>
      </c>
      <c r="I8" s="27">
        <f t="shared" si="1"/>
        <v>133</v>
      </c>
      <c r="J8" s="26">
        <f t="shared" si="2"/>
        <v>493</v>
      </c>
    </row>
    <row r="9" spans="1:10" x14ac:dyDescent="0.25">
      <c r="A9" s="17">
        <v>6</v>
      </c>
      <c r="B9" s="4" t="s">
        <v>22</v>
      </c>
      <c r="C9" s="10" t="s">
        <v>93</v>
      </c>
      <c r="D9" s="23">
        <v>7870</v>
      </c>
      <c r="E9" s="24">
        <v>26</v>
      </c>
      <c r="F9" s="25">
        <v>24</v>
      </c>
      <c r="G9" s="26">
        <v>7264</v>
      </c>
      <c r="H9" s="27">
        <f t="shared" si="0"/>
        <v>346</v>
      </c>
      <c r="I9" s="27">
        <f t="shared" si="1"/>
        <v>128</v>
      </c>
      <c r="J9" s="26">
        <f t="shared" si="2"/>
        <v>474</v>
      </c>
    </row>
    <row r="10" spans="1:10" x14ac:dyDescent="0.25">
      <c r="A10" s="17">
        <v>7</v>
      </c>
      <c r="B10" s="4" t="s">
        <v>23</v>
      </c>
      <c r="C10" s="10" t="s">
        <v>93</v>
      </c>
      <c r="D10" s="23">
        <v>7870</v>
      </c>
      <c r="E10" s="24">
        <v>26</v>
      </c>
      <c r="F10" s="25">
        <v>25</v>
      </c>
      <c r="G10" s="26">
        <v>7567</v>
      </c>
      <c r="H10" s="27">
        <f t="shared" si="0"/>
        <v>360</v>
      </c>
      <c r="I10" s="27">
        <f t="shared" si="1"/>
        <v>133</v>
      </c>
      <c r="J10" s="26">
        <f t="shared" si="2"/>
        <v>493</v>
      </c>
    </row>
    <row r="11" spans="1:10" x14ac:dyDescent="0.25">
      <c r="A11" s="17">
        <v>8</v>
      </c>
      <c r="B11" s="4" t="s">
        <v>25</v>
      </c>
      <c r="C11" s="10" t="s">
        <v>93</v>
      </c>
      <c r="D11" s="23">
        <v>7870</v>
      </c>
      <c r="E11" s="24">
        <v>26</v>
      </c>
      <c r="F11" s="25">
        <v>22</v>
      </c>
      <c r="G11" s="26">
        <v>6659</v>
      </c>
      <c r="H11" s="27">
        <f t="shared" si="0"/>
        <v>317</v>
      </c>
      <c r="I11" s="27">
        <f t="shared" si="1"/>
        <v>117</v>
      </c>
      <c r="J11" s="26">
        <f t="shared" si="2"/>
        <v>434</v>
      </c>
    </row>
    <row r="12" spans="1:10" x14ac:dyDescent="0.25">
      <c r="A12" s="17">
        <v>9</v>
      </c>
      <c r="B12" s="4" t="s">
        <v>26</v>
      </c>
      <c r="C12" s="10" t="s">
        <v>93</v>
      </c>
      <c r="D12" s="23">
        <v>7870</v>
      </c>
      <c r="E12" s="24">
        <v>26</v>
      </c>
      <c r="F12" s="25">
        <v>26</v>
      </c>
      <c r="G12" s="26">
        <v>7870</v>
      </c>
      <c r="H12" s="27">
        <f t="shared" si="0"/>
        <v>374</v>
      </c>
      <c r="I12" s="27">
        <f t="shared" si="1"/>
        <v>138</v>
      </c>
      <c r="J12" s="26">
        <f t="shared" si="2"/>
        <v>512</v>
      </c>
    </row>
    <row r="13" spans="1:10" x14ac:dyDescent="0.25">
      <c r="A13" s="17">
        <v>10</v>
      </c>
      <c r="B13" s="4" t="s">
        <v>27</v>
      </c>
      <c r="C13" s="10" t="s">
        <v>94</v>
      </c>
      <c r="D13" s="23">
        <v>7870</v>
      </c>
      <c r="E13" s="24">
        <v>26</v>
      </c>
      <c r="F13" s="25">
        <v>26</v>
      </c>
      <c r="G13" s="26">
        <v>7870</v>
      </c>
      <c r="H13" s="27">
        <f t="shared" si="0"/>
        <v>374</v>
      </c>
      <c r="I13" s="27">
        <f t="shared" si="1"/>
        <v>138</v>
      </c>
      <c r="J13" s="26">
        <f t="shared" si="2"/>
        <v>512</v>
      </c>
    </row>
    <row r="14" spans="1:10" x14ac:dyDescent="0.25">
      <c r="A14" s="17">
        <v>11</v>
      </c>
      <c r="B14" s="4" t="s">
        <v>99</v>
      </c>
      <c r="C14" s="10" t="s">
        <v>93</v>
      </c>
      <c r="D14" s="23">
        <v>7870</v>
      </c>
      <c r="E14" s="24">
        <v>26</v>
      </c>
      <c r="F14" s="25">
        <v>26</v>
      </c>
      <c r="G14" s="26">
        <v>7870</v>
      </c>
      <c r="H14" s="27">
        <f t="shared" si="0"/>
        <v>374</v>
      </c>
      <c r="I14" s="27">
        <f t="shared" si="1"/>
        <v>138</v>
      </c>
      <c r="J14" s="26">
        <f t="shared" si="2"/>
        <v>512</v>
      </c>
    </row>
    <row r="15" spans="1:10" x14ac:dyDescent="0.25">
      <c r="A15" s="17">
        <v>12</v>
      </c>
      <c r="B15" s="4" t="s">
        <v>28</v>
      </c>
      <c r="C15" s="10" t="s">
        <v>93</v>
      </c>
      <c r="D15" s="23">
        <v>7870</v>
      </c>
      <c r="E15" s="24">
        <v>26</v>
      </c>
      <c r="F15" s="25">
        <v>28</v>
      </c>
      <c r="G15" s="26">
        <v>8476</v>
      </c>
      <c r="H15" s="27">
        <f t="shared" si="0"/>
        <v>403</v>
      </c>
      <c r="I15" s="27">
        <f t="shared" si="1"/>
        <v>149</v>
      </c>
      <c r="J15" s="26">
        <f t="shared" si="2"/>
        <v>552</v>
      </c>
    </row>
    <row r="16" spans="1:10" x14ac:dyDescent="0.25">
      <c r="A16" s="17">
        <v>13</v>
      </c>
      <c r="B16" s="4" t="s">
        <v>29</v>
      </c>
      <c r="C16" s="10" t="s">
        <v>93</v>
      </c>
      <c r="D16" s="23">
        <v>7870</v>
      </c>
      <c r="E16" s="24">
        <v>26</v>
      </c>
      <c r="F16" s="25">
        <v>27</v>
      </c>
      <c r="G16" s="26">
        <v>8173</v>
      </c>
      <c r="H16" s="27">
        <f t="shared" si="0"/>
        <v>389</v>
      </c>
      <c r="I16" s="27">
        <f t="shared" si="1"/>
        <v>144</v>
      </c>
      <c r="J16" s="26">
        <f t="shared" si="2"/>
        <v>533</v>
      </c>
    </row>
    <row r="17" spans="1:10" x14ac:dyDescent="0.25">
      <c r="A17" s="17">
        <v>14</v>
      </c>
      <c r="B17" s="4" t="s">
        <v>31</v>
      </c>
      <c r="C17" s="10" t="s">
        <v>93</v>
      </c>
      <c r="D17" s="23">
        <v>7870</v>
      </c>
      <c r="E17" s="24">
        <v>26</v>
      </c>
      <c r="F17" s="25">
        <v>26</v>
      </c>
      <c r="G17" s="26">
        <v>7870</v>
      </c>
      <c r="H17" s="27">
        <f t="shared" si="0"/>
        <v>374</v>
      </c>
      <c r="I17" s="27">
        <f t="shared" si="1"/>
        <v>138</v>
      </c>
      <c r="J17" s="26">
        <f t="shared" si="2"/>
        <v>512</v>
      </c>
    </row>
    <row r="18" spans="1:10" x14ac:dyDescent="0.25">
      <c r="A18" s="17">
        <v>15</v>
      </c>
      <c r="B18" s="4" t="s">
        <v>32</v>
      </c>
      <c r="C18" s="10" t="s">
        <v>93</v>
      </c>
      <c r="D18" s="23">
        <v>7870</v>
      </c>
      <c r="E18" s="24">
        <v>26</v>
      </c>
      <c r="F18" s="25">
        <v>22</v>
      </c>
      <c r="G18" s="26">
        <v>6659</v>
      </c>
      <c r="H18" s="27">
        <f t="shared" si="0"/>
        <v>317</v>
      </c>
      <c r="I18" s="27">
        <f t="shared" si="1"/>
        <v>117</v>
      </c>
      <c r="J18" s="26">
        <f t="shared" si="2"/>
        <v>434</v>
      </c>
    </row>
    <row r="19" spans="1:10" x14ac:dyDescent="0.25">
      <c r="A19" s="17">
        <v>16</v>
      </c>
      <c r="B19" s="4" t="s">
        <v>33</v>
      </c>
      <c r="C19" s="10" t="s">
        <v>93</v>
      </c>
      <c r="D19" s="23">
        <v>7870</v>
      </c>
      <c r="E19" s="24">
        <v>26</v>
      </c>
      <c r="F19" s="25">
        <v>30</v>
      </c>
      <c r="G19" s="26">
        <v>9081</v>
      </c>
      <c r="H19" s="27">
        <f t="shared" si="0"/>
        <v>432</v>
      </c>
      <c r="I19" s="27">
        <f t="shared" si="1"/>
        <v>159</v>
      </c>
      <c r="J19" s="26">
        <f t="shared" si="2"/>
        <v>591</v>
      </c>
    </row>
    <row r="20" spans="1:10" x14ac:dyDescent="0.25">
      <c r="A20" s="17">
        <v>17</v>
      </c>
      <c r="B20" s="4" t="s">
        <v>34</v>
      </c>
      <c r="C20" s="10" t="s">
        <v>94</v>
      </c>
      <c r="D20" s="23">
        <v>7870</v>
      </c>
      <c r="E20" s="24">
        <v>26</v>
      </c>
      <c r="F20" s="25">
        <v>30</v>
      </c>
      <c r="G20" s="26">
        <v>9081</v>
      </c>
      <c r="H20" s="27">
        <f t="shared" si="0"/>
        <v>432</v>
      </c>
      <c r="I20" s="27">
        <f t="shared" si="1"/>
        <v>159</v>
      </c>
      <c r="J20" s="26">
        <f t="shared" si="2"/>
        <v>591</v>
      </c>
    </row>
    <row r="21" spans="1:10" x14ac:dyDescent="0.25">
      <c r="A21" s="17">
        <v>18</v>
      </c>
      <c r="B21" s="4" t="s">
        <v>100</v>
      </c>
      <c r="C21" s="10" t="s">
        <v>93</v>
      </c>
      <c r="D21" s="23">
        <v>7870</v>
      </c>
      <c r="E21" s="24">
        <v>26</v>
      </c>
      <c r="F21" s="25">
        <v>25</v>
      </c>
      <c r="G21" s="26">
        <v>7567</v>
      </c>
      <c r="H21" s="27">
        <f t="shared" si="0"/>
        <v>360</v>
      </c>
      <c r="I21" s="27">
        <f t="shared" si="1"/>
        <v>133</v>
      </c>
      <c r="J21" s="26">
        <f t="shared" si="2"/>
        <v>493</v>
      </c>
    </row>
    <row r="22" spans="1:10" x14ac:dyDescent="0.25">
      <c r="A22" s="17">
        <v>19</v>
      </c>
      <c r="B22" s="4" t="s">
        <v>35</v>
      </c>
      <c r="C22" s="10" t="s">
        <v>93</v>
      </c>
      <c r="D22" s="23">
        <v>7870</v>
      </c>
      <c r="E22" s="24">
        <v>26</v>
      </c>
      <c r="F22" s="25">
        <v>28</v>
      </c>
      <c r="G22" s="26">
        <v>8476</v>
      </c>
      <c r="H22" s="27">
        <f t="shared" si="0"/>
        <v>403</v>
      </c>
      <c r="I22" s="27">
        <f t="shared" si="1"/>
        <v>149</v>
      </c>
      <c r="J22" s="26">
        <f t="shared" si="2"/>
        <v>552</v>
      </c>
    </row>
    <row r="23" spans="1:10" x14ac:dyDescent="0.25">
      <c r="A23" s="17">
        <v>20</v>
      </c>
      <c r="B23" s="4" t="s">
        <v>36</v>
      </c>
      <c r="C23" s="10" t="s">
        <v>93</v>
      </c>
      <c r="D23" s="23">
        <v>7870</v>
      </c>
      <c r="E23" s="24">
        <v>26</v>
      </c>
      <c r="F23" s="25">
        <v>27</v>
      </c>
      <c r="G23" s="26">
        <v>8173</v>
      </c>
      <c r="H23" s="27">
        <f t="shared" si="0"/>
        <v>389</v>
      </c>
      <c r="I23" s="27">
        <f t="shared" si="1"/>
        <v>144</v>
      </c>
      <c r="J23" s="26">
        <f t="shared" si="2"/>
        <v>533</v>
      </c>
    </row>
    <row r="24" spans="1:10" x14ac:dyDescent="0.25">
      <c r="A24" s="17">
        <v>21</v>
      </c>
      <c r="B24" s="4" t="s">
        <v>37</v>
      </c>
      <c r="C24" s="10" t="s">
        <v>94</v>
      </c>
      <c r="D24" s="23">
        <v>6669</v>
      </c>
      <c r="E24" s="24">
        <v>26</v>
      </c>
      <c r="F24" s="25">
        <v>28</v>
      </c>
      <c r="G24" s="26">
        <v>7182</v>
      </c>
      <c r="H24" s="27">
        <f t="shared" si="0"/>
        <v>342</v>
      </c>
      <c r="I24" s="27">
        <f t="shared" si="1"/>
        <v>126</v>
      </c>
      <c r="J24" s="26">
        <f t="shared" si="2"/>
        <v>468</v>
      </c>
    </row>
    <row r="25" spans="1:10" x14ac:dyDescent="0.25">
      <c r="A25" s="17">
        <v>22</v>
      </c>
      <c r="B25" s="4" t="s">
        <v>38</v>
      </c>
      <c r="C25" s="10" t="s">
        <v>93</v>
      </c>
      <c r="D25" s="23">
        <v>4910</v>
      </c>
      <c r="E25" s="24">
        <v>26</v>
      </c>
      <c r="F25" s="25">
        <v>28</v>
      </c>
      <c r="G25" s="26">
        <v>5288</v>
      </c>
      <c r="H25" s="27">
        <f t="shared" si="0"/>
        <v>252</v>
      </c>
      <c r="I25" s="27">
        <f t="shared" si="1"/>
        <v>93</v>
      </c>
      <c r="J25" s="26">
        <f t="shared" si="2"/>
        <v>345</v>
      </c>
    </row>
    <row r="26" spans="1:10" x14ac:dyDescent="0.25">
      <c r="A26" s="17">
        <v>23</v>
      </c>
      <c r="B26" s="4" t="s">
        <v>39</v>
      </c>
      <c r="C26" s="10" t="s">
        <v>94</v>
      </c>
      <c r="D26" s="23">
        <v>6669</v>
      </c>
      <c r="E26" s="24">
        <v>26</v>
      </c>
      <c r="F26" s="25">
        <v>28</v>
      </c>
      <c r="G26" s="26">
        <v>7182</v>
      </c>
      <c r="H26" s="27">
        <f t="shared" si="0"/>
        <v>342</v>
      </c>
      <c r="I26" s="27">
        <f t="shared" si="1"/>
        <v>126</v>
      </c>
      <c r="J26" s="26">
        <f t="shared" si="2"/>
        <v>468</v>
      </c>
    </row>
    <row r="27" spans="1:10" x14ac:dyDescent="0.25">
      <c r="A27" s="17">
        <v>24</v>
      </c>
      <c r="B27" s="4" t="s">
        <v>40</v>
      </c>
      <c r="C27" s="10" t="s">
        <v>94</v>
      </c>
      <c r="D27" s="23">
        <v>7711</v>
      </c>
      <c r="E27" s="24">
        <v>26</v>
      </c>
      <c r="F27" s="25">
        <v>28</v>
      </c>
      <c r="G27" s="26">
        <v>8304</v>
      </c>
      <c r="H27" s="27">
        <f t="shared" si="0"/>
        <v>395</v>
      </c>
      <c r="I27" s="27">
        <f t="shared" si="1"/>
        <v>146</v>
      </c>
      <c r="J27" s="26">
        <f t="shared" si="2"/>
        <v>541</v>
      </c>
    </row>
    <row r="28" spans="1:10" x14ac:dyDescent="0.25">
      <c r="A28" s="17">
        <v>25</v>
      </c>
      <c r="B28" s="4" t="s">
        <v>41</v>
      </c>
      <c r="C28" s="10" t="s">
        <v>93</v>
      </c>
      <c r="D28" s="23">
        <v>7711</v>
      </c>
      <c r="E28" s="24">
        <v>26</v>
      </c>
      <c r="F28" s="25">
        <v>26</v>
      </c>
      <c r="G28" s="26">
        <v>7711</v>
      </c>
      <c r="H28" s="27">
        <f t="shared" si="0"/>
        <v>367</v>
      </c>
      <c r="I28" s="27">
        <f t="shared" si="1"/>
        <v>135</v>
      </c>
      <c r="J28" s="26">
        <f t="shared" si="2"/>
        <v>502</v>
      </c>
    </row>
    <row r="29" spans="1:10" x14ac:dyDescent="0.25">
      <c r="A29" s="17">
        <v>26</v>
      </c>
      <c r="B29" s="4" t="s">
        <v>42</v>
      </c>
      <c r="C29" s="10" t="s">
        <v>93</v>
      </c>
      <c r="D29" s="23">
        <v>7576</v>
      </c>
      <c r="E29" s="24">
        <v>26</v>
      </c>
      <c r="F29" s="25">
        <v>29</v>
      </c>
      <c r="G29" s="26">
        <v>8450</v>
      </c>
      <c r="H29" s="27">
        <f t="shared" si="0"/>
        <v>402</v>
      </c>
      <c r="I29" s="27">
        <f t="shared" si="1"/>
        <v>148</v>
      </c>
      <c r="J29" s="26">
        <f t="shared" si="2"/>
        <v>550</v>
      </c>
    </row>
    <row r="30" spans="1:10" x14ac:dyDescent="0.25">
      <c r="A30" s="17">
        <v>27</v>
      </c>
      <c r="B30" s="4" t="s">
        <v>43</v>
      </c>
      <c r="C30" s="10" t="s">
        <v>93</v>
      </c>
      <c r="D30" s="23">
        <v>7576</v>
      </c>
      <c r="E30" s="24">
        <v>26</v>
      </c>
      <c r="F30" s="25">
        <v>29</v>
      </c>
      <c r="G30" s="26">
        <v>8450</v>
      </c>
      <c r="H30" s="27">
        <f t="shared" si="0"/>
        <v>402</v>
      </c>
      <c r="I30" s="27">
        <f t="shared" si="1"/>
        <v>148</v>
      </c>
      <c r="J30" s="26">
        <f t="shared" si="2"/>
        <v>550</v>
      </c>
    </row>
    <row r="31" spans="1:10" x14ac:dyDescent="0.25">
      <c r="A31" s="17">
        <v>28</v>
      </c>
      <c r="B31" s="4" t="s">
        <v>44</v>
      </c>
      <c r="C31" s="10" t="s">
        <v>93</v>
      </c>
      <c r="D31" s="23">
        <v>7576</v>
      </c>
      <c r="E31" s="24">
        <v>26</v>
      </c>
      <c r="F31" s="25">
        <v>26</v>
      </c>
      <c r="G31" s="26">
        <v>7576</v>
      </c>
      <c r="H31" s="27">
        <f t="shared" si="0"/>
        <v>360</v>
      </c>
      <c r="I31" s="27">
        <f t="shared" si="1"/>
        <v>133</v>
      </c>
      <c r="J31" s="26">
        <f t="shared" si="2"/>
        <v>493</v>
      </c>
    </row>
    <row r="32" spans="1:10" x14ac:dyDescent="0.25">
      <c r="A32" s="17">
        <v>29</v>
      </c>
      <c r="B32" s="4" t="s">
        <v>45</v>
      </c>
      <c r="C32" s="10" t="s">
        <v>93</v>
      </c>
      <c r="D32" s="23">
        <v>7576</v>
      </c>
      <c r="E32" s="24">
        <v>26</v>
      </c>
      <c r="F32" s="25">
        <v>25</v>
      </c>
      <c r="G32" s="26">
        <v>7284</v>
      </c>
      <c r="H32" s="27">
        <f t="shared" si="0"/>
        <v>346</v>
      </c>
      <c r="I32" s="27">
        <f t="shared" si="1"/>
        <v>128</v>
      </c>
      <c r="J32" s="26">
        <f t="shared" si="2"/>
        <v>474</v>
      </c>
    </row>
    <row r="33" spans="1:10" x14ac:dyDescent="0.25">
      <c r="A33" s="17">
        <v>30</v>
      </c>
      <c r="B33" s="4" t="s">
        <v>46</v>
      </c>
      <c r="C33" s="10" t="s">
        <v>94</v>
      </c>
      <c r="D33" s="23">
        <v>7937</v>
      </c>
      <c r="E33" s="24">
        <v>26</v>
      </c>
      <c r="F33" s="25">
        <v>25</v>
      </c>
      <c r="G33" s="26">
        <v>7631</v>
      </c>
      <c r="H33" s="27">
        <f t="shared" si="0"/>
        <v>363</v>
      </c>
      <c r="I33" s="27">
        <f t="shared" si="1"/>
        <v>134</v>
      </c>
      <c r="J33" s="26">
        <f t="shared" si="2"/>
        <v>497</v>
      </c>
    </row>
    <row r="34" spans="1:10" x14ac:dyDescent="0.25">
      <c r="A34" s="17">
        <v>31</v>
      </c>
      <c r="B34" s="4" t="s">
        <v>47</v>
      </c>
      <c r="C34" s="10" t="s">
        <v>95</v>
      </c>
      <c r="D34" s="23">
        <v>7937</v>
      </c>
      <c r="E34" s="24">
        <v>26</v>
      </c>
      <c r="F34" s="25">
        <v>24</v>
      </c>
      <c r="G34" s="26">
        <v>7327</v>
      </c>
      <c r="H34" s="27">
        <f t="shared" si="0"/>
        <v>349</v>
      </c>
      <c r="I34" s="27">
        <f t="shared" si="1"/>
        <v>129</v>
      </c>
      <c r="J34" s="26">
        <f t="shared" si="2"/>
        <v>478</v>
      </c>
    </row>
    <row r="35" spans="1:10" x14ac:dyDescent="0.25">
      <c r="A35" s="17">
        <v>32</v>
      </c>
      <c r="B35" s="4" t="s">
        <v>48</v>
      </c>
      <c r="C35" s="10" t="s">
        <v>93</v>
      </c>
      <c r="D35" s="23">
        <v>7576</v>
      </c>
      <c r="E35" s="24">
        <v>26</v>
      </c>
      <c r="F35" s="25">
        <v>24</v>
      </c>
      <c r="G35" s="26">
        <v>6993</v>
      </c>
      <c r="H35" s="27">
        <f t="shared" si="0"/>
        <v>333</v>
      </c>
      <c r="I35" s="27">
        <f t="shared" si="1"/>
        <v>123</v>
      </c>
      <c r="J35" s="26">
        <f t="shared" si="2"/>
        <v>456</v>
      </c>
    </row>
    <row r="36" spans="1:10" x14ac:dyDescent="0.25">
      <c r="A36" s="17">
        <v>33</v>
      </c>
      <c r="B36" s="4" t="s">
        <v>49</v>
      </c>
      <c r="C36" s="10" t="s">
        <v>93</v>
      </c>
      <c r="D36" s="23">
        <v>7576</v>
      </c>
      <c r="E36" s="24">
        <v>26</v>
      </c>
      <c r="F36" s="25">
        <v>28</v>
      </c>
      <c r="G36" s="26">
        <v>8159</v>
      </c>
      <c r="H36" s="27">
        <f t="shared" si="0"/>
        <v>388</v>
      </c>
      <c r="I36" s="27">
        <f t="shared" si="1"/>
        <v>143</v>
      </c>
      <c r="J36" s="26">
        <f t="shared" si="2"/>
        <v>531</v>
      </c>
    </row>
    <row r="37" spans="1:10" x14ac:dyDescent="0.25">
      <c r="A37" s="17">
        <v>34</v>
      </c>
      <c r="B37" s="4" t="s">
        <v>50</v>
      </c>
      <c r="C37" s="10" t="s">
        <v>93</v>
      </c>
      <c r="D37" s="23">
        <v>5200</v>
      </c>
      <c r="E37" s="24">
        <v>26</v>
      </c>
      <c r="F37" s="25">
        <v>28</v>
      </c>
      <c r="G37" s="26">
        <v>5600</v>
      </c>
      <c r="H37" s="27">
        <f t="shared" si="0"/>
        <v>266</v>
      </c>
      <c r="I37" s="27">
        <f t="shared" si="1"/>
        <v>98</v>
      </c>
      <c r="J37" s="26">
        <f t="shared" si="2"/>
        <v>364</v>
      </c>
    </row>
    <row r="38" spans="1:10" x14ac:dyDescent="0.25">
      <c r="A38" s="17">
        <v>35</v>
      </c>
      <c r="B38" s="4" t="s">
        <v>51</v>
      </c>
      <c r="C38" s="10" t="s">
        <v>94</v>
      </c>
      <c r="D38" s="23">
        <v>6100</v>
      </c>
      <c r="E38" s="24">
        <v>26</v>
      </c>
      <c r="F38" s="25">
        <v>26</v>
      </c>
      <c r="G38" s="26">
        <v>6100</v>
      </c>
      <c r="H38" s="27">
        <f t="shared" si="0"/>
        <v>290</v>
      </c>
      <c r="I38" s="27">
        <f t="shared" si="1"/>
        <v>107</v>
      </c>
      <c r="J38" s="26">
        <f t="shared" si="2"/>
        <v>397</v>
      </c>
    </row>
    <row r="39" spans="1:10" x14ac:dyDescent="0.25">
      <c r="A39" s="17">
        <v>36</v>
      </c>
      <c r="B39" s="4" t="s">
        <v>52</v>
      </c>
      <c r="C39" s="10" t="s">
        <v>93</v>
      </c>
      <c r="D39" s="23">
        <v>7259</v>
      </c>
      <c r="E39" s="24">
        <v>30</v>
      </c>
      <c r="F39" s="25">
        <v>30</v>
      </c>
      <c r="G39" s="26">
        <v>7259</v>
      </c>
      <c r="H39" s="27">
        <f t="shared" si="0"/>
        <v>345</v>
      </c>
      <c r="I39" s="27">
        <f t="shared" si="1"/>
        <v>128</v>
      </c>
      <c r="J39" s="26">
        <f t="shared" si="2"/>
        <v>473</v>
      </c>
    </row>
    <row r="40" spans="1:10" x14ac:dyDescent="0.25">
      <c r="A40" s="17">
        <v>37</v>
      </c>
      <c r="B40" s="4" t="s">
        <v>53</v>
      </c>
      <c r="C40" s="10" t="s">
        <v>94</v>
      </c>
      <c r="D40" s="23">
        <v>7259</v>
      </c>
      <c r="E40" s="24">
        <v>30</v>
      </c>
      <c r="F40" s="25">
        <v>30</v>
      </c>
      <c r="G40" s="26">
        <v>7259</v>
      </c>
      <c r="H40" s="27">
        <f t="shared" si="0"/>
        <v>345</v>
      </c>
      <c r="I40" s="27">
        <f t="shared" si="1"/>
        <v>128</v>
      </c>
      <c r="J40" s="26">
        <f t="shared" si="2"/>
        <v>473</v>
      </c>
    </row>
    <row r="41" spans="1:10" x14ac:dyDescent="0.25">
      <c r="A41" s="17">
        <v>38</v>
      </c>
      <c r="B41" s="4" t="s">
        <v>104</v>
      </c>
      <c r="C41" s="10" t="s">
        <v>93</v>
      </c>
      <c r="D41" s="23">
        <v>7259</v>
      </c>
      <c r="E41" s="24">
        <v>30</v>
      </c>
      <c r="F41" s="25">
        <v>30</v>
      </c>
      <c r="G41" s="26">
        <v>7259</v>
      </c>
      <c r="H41" s="27">
        <f t="shared" si="0"/>
        <v>345</v>
      </c>
      <c r="I41" s="27">
        <f t="shared" si="1"/>
        <v>128</v>
      </c>
      <c r="J41" s="26">
        <f t="shared" si="2"/>
        <v>473</v>
      </c>
    </row>
    <row r="42" spans="1:10" x14ac:dyDescent="0.25">
      <c r="A42" s="17">
        <v>39</v>
      </c>
      <c r="B42" s="4" t="s">
        <v>54</v>
      </c>
      <c r="C42" s="10" t="s">
        <v>93</v>
      </c>
      <c r="D42" s="23">
        <v>5491</v>
      </c>
      <c r="E42" s="24">
        <v>30</v>
      </c>
      <c r="F42" s="25">
        <v>30</v>
      </c>
      <c r="G42" s="26">
        <v>5491</v>
      </c>
      <c r="H42" s="27">
        <f t="shared" si="0"/>
        <v>261</v>
      </c>
      <c r="I42" s="27">
        <f t="shared" si="1"/>
        <v>97</v>
      </c>
      <c r="J42" s="26">
        <f t="shared" si="2"/>
        <v>358</v>
      </c>
    </row>
    <row r="43" spans="1:10" x14ac:dyDescent="0.25">
      <c r="A43" s="17">
        <v>40</v>
      </c>
      <c r="B43" s="4" t="s">
        <v>55</v>
      </c>
      <c r="C43" s="10" t="s">
        <v>93</v>
      </c>
      <c r="D43" s="23">
        <v>4900</v>
      </c>
      <c r="E43" s="24">
        <v>26</v>
      </c>
      <c r="F43" s="25">
        <v>21</v>
      </c>
      <c r="G43" s="26">
        <v>3958</v>
      </c>
      <c r="H43" s="27">
        <f t="shared" si="0"/>
        <v>189</v>
      </c>
      <c r="I43" s="27">
        <f t="shared" si="1"/>
        <v>70</v>
      </c>
      <c r="J43" s="26">
        <f t="shared" si="2"/>
        <v>259</v>
      </c>
    </row>
    <row r="44" spans="1:10" x14ac:dyDescent="0.25">
      <c r="A44" s="17">
        <v>41</v>
      </c>
      <c r="B44" s="4" t="s">
        <v>56</v>
      </c>
      <c r="C44" s="10" t="s">
        <v>94</v>
      </c>
      <c r="D44" s="23">
        <v>7546</v>
      </c>
      <c r="E44" s="24">
        <v>30</v>
      </c>
      <c r="F44" s="25">
        <v>23</v>
      </c>
      <c r="G44" s="26">
        <v>5785</v>
      </c>
      <c r="H44" s="27">
        <f t="shared" si="0"/>
        <v>275</v>
      </c>
      <c r="I44" s="27">
        <f t="shared" si="1"/>
        <v>102</v>
      </c>
      <c r="J44" s="26">
        <f t="shared" si="2"/>
        <v>377</v>
      </c>
    </row>
    <row r="45" spans="1:10" x14ac:dyDescent="0.25">
      <c r="A45" s="17">
        <v>42</v>
      </c>
      <c r="B45" s="4" t="s">
        <v>57</v>
      </c>
      <c r="C45" s="10" t="s">
        <v>94</v>
      </c>
      <c r="D45" s="23">
        <v>7546</v>
      </c>
      <c r="E45" s="24">
        <v>30</v>
      </c>
      <c r="F45" s="25">
        <v>24</v>
      </c>
      <c r="G45" s="26">
        <v>6036</v>
      </c>
      <c r="H45" s="27">
        <f t="shared" si="0"/>
        <v>287</v>
      </c>
      <c r="I45" s="27">
        <f t="shared" si="1"/>
        <v>106</v>
      </c>
      <c r="J45" s="26">
        <f t="shared" si="2"/>
        <v>393</v>
      </c>
    </row>
    <row r="46" spans="1:10" x14ac:dyDescent="0.25">
      <c r="A46" s="17">
        <v>43</v>
      </c>
      <c r="B46" s="4" t="s">
        <v>58</v>
      </c>
      <c r="C46" s="10" t="s">
        <v>93</v>
      </c>
      <c r="D46" s="23">
        <v>7546</v>
      </c>
      <c r="E46" s="24">
        <v>26</v>
      </c>
      <c r="F46" s="25">
        <v>25</v>
      </c>
      <c r="G46" s="26">
        <v>7256</v>
      </c>
      <c r="H46" s="27">
        <f t="shared" si="0"/>
        <v>345</v>
      </c>
      <c r="I46" s="27">
        <f t="shared" si="1"/>
        <v>127</v>
      </c>
      <c r="J46" s="26">
        <f t="shared" si="2"/>
        <v>472</v>
      </c>
    </row>
    <row r="47" spans="1:10" x14ac:dyDescent="0.25">
      <c r="A47" s="17">
        <v>44</v>
      </c>
      <c r="B47" s="4" t="s">
        <v>59</v>
      </c>
      <c r="C47" s="10" t="s">
        <v>93</v>
      </c>
      <c r="D47" s="23">
        <v>7546</v>
      </c>
      <c r="E47" s="24">
        <v>26</v>
      </c>
      <c r="F47" s="25">
        <v>25</v>
      </c>
      <c r="G47" s="26">
        <v>7256</v>
      </c>
      <c r="H47" s="27">
        <f t="shared" si="0"/>
        <v>345</v>
      </c>
      <c r="I47" s="27">
        <f t="shared" si="1"/>
        <v>127</v>
      </c>
      <c r="J47" s="26">
        <f t="shared" si="2"/>
        <v>472</v>
      </c>
    </row>
    <row r="48" spans="1:10" x14ac:dyDescent="0.25">
      <c r="A48" s="17">
        <v>45</v>
      </c>
      <c r="B48" s="4" t="s">
        <v>60</v>
      </c>
      <c r="C48" s="29" t="s">
        <v>93</v>
      </c>
      <c r="D48" s="23">
        <v>7546</v>
      </c>
      <c r="E48" s="24">
        <v>26</v>
      </c>
      <c r="F48" s="25">
        <v>25</v>
      </c>
      <c r="G48" s="26">
        <v>7256</v>
      </c>
      <c r="H48" s="27">
        <f t="shared" si="0"/>
        <v>345</v>
      </c>
      <c r="I48" s="27">
        <f t="shared" si="1"/>
        <v>127</v>
      </c>
      <c r="J48" s="26">
        <f t="shared" si="2"/>
        <v>472</v>
      </c>
    </row>
    <row r="49" spans="1:10" x14ac:dyDescent="0.25">
      <c r="A49" s="17">
        <v>46</v>
      </c>
      <c r="B49" s="4" t="s">
        <v>61</v>
      </c>
      <c r="C49" s="18" t="s">
        <v>93</v>
      </c>
      <c r="D49" s="23">
        <v>7546</v>
      </c>
      <c r="E49" s="24">
        <v>26</v>
      </c>
      <c r="F49" s="25">
        <v>25</v>
      </c>
      <c r="G49" s="26">
        <v>7256</v>
      </c>
      <c r="H49" s="27">
        <f t="shared" si="0"/>
        <v>345</v>
      </c>
      <c r="I49" s="27">
        <f t="shared" si="1"/>
        <v>127</v>
      </c>
      <c r="J49" s="26">
        <f t="shared" si="2"/>
        <v>472</v>
      </c>
    </row>
    <row r="50" spans="1:10" x14ac:dyDescent="0.25">
      <c r="A50" s="17">
        <v>47</v>
      </c>
      <c r="B50" s="4" t="s">
        <v>62</v>
      </c>
      <c r="C50" s="18" t="s">
        <v>93</v>
      </c>
      <c r="D50" s="23">
        <v>7546</v>
      </c>
      <c r="E50" s="24">
        <v>26</v>
      </c>
      <c r="F50" s="25">
        <v>26</v>
      </c>
      <c r="G50" s="26">
        <v>7546</v>
      </c>
      <c r="H50" s="27">
        <f t="shared" si="0"/>
        <v>359</v>
      </c>
      <c r="I50" s="27">
        <f t="shared" si="1"/>
        <v>133</v>
      </c>
      <c r="J50" s="26">
        <f t="shared" si="2"/>
        <v>492</v>
      </c>
    </row>
    <row r="51" spans="1:10" x14ac:dyDescent="0.25">
      <c r="A51" s="17">
        <v>48</v>
      </c>
      <c r="B51" s="4" t="s">
        <v>63</v>
      </c>
      <c r="C51" s="18" t="s">
        <v>93</v>
      </c>
      <c r="D51" s="23">
        <v>7546</v>
      </c>
      <c r="E51" s="24">
        <v>26</v>
      </c>
      <c r="F51" s="25">
        <v>22</v>
      </c>
      <c r="G51" s="26">
        <v>6385</v>
      </c>
      <c r="H51" s="27">
        <f t="shared" si="0"/>
        <v>304</v>
      </c>
      <c r="I51" s="27">
        <f t="shared" si="1"/>
        <v>112</v>
      </c>
      <c r="J51" s="26">
        <f t="shared" si="2"/>
        <v>416</v>
      </c>
    </row>
    <row r="52" spans="1:10" x14ac:dyDescent="0.25">
      <c r="A52" s="17">
        <v>49</v>
      </c>
      <c r="B52" s="4" t="s">
        <v>64</v>
      </c>
      <c r="C52" s="10" t="s">
        <v>93</v>
      </c>
      <c r="D52" s="23">
        <v>7546</v>
      </c>
      <c r="E52" s="24">
        <v>26</v>
      </c>
      <c r="F52" s="25">
        <v>26</v>
      </c>
      <c r="G52" s="26">
        <v>7546</v>
      </c>
      <c r="H52" s="27">
        <f t="shared" si="0"/>
        <v>359</v>
      </c>
      <c r="I52" s="27">
        <f t="shared" si="1"/>
        <v>133</v>
      </c>
      <c r="J52" s="26">
        <f t="shared" si="2"/>
        <v>492</v>
      </c>
    </row>
    <row r="53" spans="1:10" x14ac:dyDescent="0.25">
      <c r="A53" s="17">
        <v>50</v>
      </c>
      <c r="B53" s="4" t="s">
        <v>65</v>
      </c>
      <c r="C53" s="10" t="s">
        <v>93</v>
      </c>
      <c r="D53" s="23">
        <v>7546</v>
      </c>
      <c r="E53" s="24">
        <v>26</v>
      </c>
      <c r="F53" s="25">
        <v>26</v>
      </c>
      <c r="G53" s="26">
        <v>7546</v>
      </c>
      <c r="H53" s="27">
        <f t="shared" si="0"/>
        <v>359</v>
      </c>
      <c r="I53" s="27">
        <f t="shared" si="1"/>
        <v>133</v>
      </c>
      <c r="J53" s="26">
        <f t="shared" si="2"/>
        <v>492</v>
      </c>
    </row>
    <row r="54" spans="1:10" x14ac:dyDescent="0.25">
      <c r="A54" s="17">
        <v>51</v>
      </c>
      <c r="B54" s="4" t="s">
        <v>66</v>
      </c>
      <c r="C54" s="10" t="s">
        <v>93</v>
      </c>
      <c r="D54" s="23">
        <v>7546</v>
      </c>
      <c r="E54" s="24">
        <v>26</v>
      </c>
      <c r="F54" s="25">
        <v>22</v>
      </c>
      <c r="G54" s="26">
        <v>6385</v>
      </c>
      <c r="H54" s="27">
        <f t="shared" si="0"/>
        <v>304</v>
      </c>
      <c r="I54" s="27">
        <f t="shared" si="1"/>
        <v>112</v>
      </c>
      <c r="J54" s="26">
        <f t="shared" si="2"/>
        <v>416</v>
      </c>
    </row>
    <row r="55" spans="1:10" x14ac:dyDescent="0.25">
      <c r="A55" s="17">
        <v>52</v>
      </c>
      <c r="B55" s="4" t="s">
        <v>67</v>
      </c>
      <c r="C55" s="10" t="s">
        <v>93</v>
      </c>
      <c r="D55" s="23">
        <v>7546</v>
      </c>
      <c r="E55" s="24">
        <v>26</v>
      </c>
      <c r="F55" s="25">
        <v>24</v>
      </c>
      <c r="G55" s="26">
        <v>6966</v>
      </c>
      <c r="H55" s="27">
        <f t="shared" si="0"/>
        <v>331</v>
      </c>
      <c r="I55" s="27">
        <f t="shared" si="1"/>
        <v>122</v>
      </c>
      <c r="J55" s="26">
        <f t="shared" si="2"/>
        <v>453</v>
      </c>
    </row>
    <row r="56" spans="1:10" x14ac:dyDescent="0.25">
      <c r="A56" s="17">
        <v>53</v>
      </c>
      <c r="B56" s="4" t="s">
        <v>101</v>
      </c>
      <c r="C56" s="10" t="s">
        <v>93</v>
      </c>
      <c r="D56" s="23">
        <v>7546</v>
      </c>
      <c r="E56" s="24">
        <v>26</v>
      </c>
      <c r="F56" s="25">
        <v>18</v>
      </c>
      <c r="G56" s="26">
        <v>5224</v>
      </c>
      <c r="H56" s="27">
        <f t="shared" si="0"/>
        <v>249</v>
      </c>
      <c r="I56" s="27">
        <f t="shared" si="1"/>
        <v>92</v>
      </c>
      <c r="J56" s="26">
        <f t="shared" si="2"/>
        <v>341</v>
      </c>
    </row>
    <row r="57" spans="1:10" x14ac:dyDescent="0.25">
      <c r="A57" s="17">
        <v>54</v>
      </c>
      <c r="B57" s="4" t="s">
        <v>102</v>
      </c>
      <c r="C57" s="10" t="s">
        <v>93</v>
      </c>
      <c r="D57" s="23">
        <v>7546</v>
      </c>
      <c r="E57" s="24">
        <v>26</v>
      </c>
      <c r="F57" s="25">
        <v>27</v>
      </c>
      <c r="G57" s="26">
        <v>7836</v>
      </c>
      <c r="H57" s="27">
        <f t="shared" si="0"/>
        <v>373</v>
      </c>
      <c r="I57" s="27">
        <f t="shared" si="1"/>
        <v>138</v>
      </c>
      <c r="J57" s="26">
        <f t="shared" si="2"/>
        <v>511</v>
      </c>
    </row>
    <row r="58" spans="1:10" x14ac:dyDescent="0.25">
      <c r="A58" s="17">
        <v>55</v>
      </c>
      <c r="B58" s="4" t="s">
        <v>30</v>
      </c>
      <c r="C58" s="10" t="s">
        <v>93</v>
      </c>
      <c r="D58" s="23">
        <v>7546</v>
      </c>
      <c r="E58" s="24">
        <v>26</v>
      </c>
      <c r="F58" s="25">
        <v>25</v>
      </c>
      <c r="G58" s="26">
        <v>7256</v>
      </c>
      <c r="H58" s="27">
        <f t="shared" si="0"/>
        <v>345</v>
      </c>
      <c r="I58" s="27">
        <f t="shared" si="1"/>
        <v>127</v>
      </c>
      <c r="J58" s="26">
        <f t="shared" si="2"/>
        <v>472</v>
      </c>
    </row>
    <row r="59" spans="1:10" x14ac:dyDescent="0.25">
      <c r="A59" s="17">
        <v>56</v>
      </c>
      <c r="B59" s="4" t="s">
        <v>105</v>
      </c>
      <c r="C59" s="10" t="s">
        <v>93</v>
      </c>
      <c r="D59" s="23">
        <v>7546</v>
      </c>
      <c r="E59" s="24">
        <v>26</v>
      </c>
      <c r="F59" s="25">
        <v>24</v>
      </c>
      <c r="G59" s="26">
        <v>6966</v>
      </c>
      <c r="H59" s="27">
        <f t="shared" si="0"/>
        <v>331</v>
      </c>
      <c r="I59" s="27">
        <f t="shared" si="1"/>
        <v>122</v>
      </c>
      <c r="J59" s="26">
        <f t="shared" si="2"/>
        <v>453</v>
      </c>
    </row>
    <row r="60" spans="1:10" ht="28.5" x14ac:dyDescent="0.25">
      <c r="A60" s="17">
        <v>57</v>
      </c>
      <c r="B60" s="4" t="s">
        <v>69</v>
      </c>
      <c r="C60" s="10" t="s">
        <v>96</v>
      </c>
      <c r="D60" s="23">
        <v>8301</v>
      </c>
      <c r="E60" s="24">
        <v>26</v>
      </c>
      <c r="F60" s="25">
        <v>23</v>
      </c>
      <c r="G60" s="26">
        <v>7343</v>
      </c>
      <c r="H60" s="27">
        <f t="shared" si="0"/>
        <v>349</v>
      </c>
      <c r="I60" s="27">
        <f t="shared" si="1"/>
        <v>129</v>
      </c>
      <c r="J60" s="26">
        <f t="shared" si="2"/>
        <v>478</v>
      </c>
    </row>
    <row r="61" spans="1:10" x14ac:dyDescent="0.25">
      <c r="A61" s="17">
        <v>58</v>
      </c>
      <c r="B61" s="4" t="s">
        <v>70</v>
      </c>
      <c r="C61" s="30" t="s">
        <v>97</v>
      </c>
      <c r="D61" s="23">
        <v>9682</v>
      </c>
      <c r="E61" s="24">
        <v>26</v>
      </c>
      <c r="F61" s="25">
        <v>26</v>
      </c>
      <c r="G61" s="26">
        <v>9682</v>
      </c>
      <c r="H61" s="27">
        <f t="shared" si="0"/>
        <v>460</v>
      </c>
      <c r="I61" s="27">
        <f t="shared" si="1"/>
        <v>170</v>
      </c>
      <c r="J61" s="26">
        <f t="shared" si="2"/>
        <v>630</v>
      </c>
    </row>
    <row r="62" spans="1:10" x14ac:dyDescent="0.25">
      <c r="A62" s="17">
        <v>59</v>
      </c>
      <c r="B62" s="4" t="s">
        <v>71</v>
      </c>
      <c r="C62" s="10" t="s">
        <v>98</v>
      </c>
      <c r="D62" s="23">
        <v>14626</v>
      </c>
      <c r="E62" s="24">
        <v>26</v>
      </c>
      <c r="F62" s="25">
        <v>28</v>
      </c>
      <c r="G62" s="26">
        <v>15751</v>
      </c>
      <c r="H62" s="27">
        <f t="shared" si="0"/>
        <v>749</v>
      </c>
      <c r="I62" s="27">
        <f t="shared" si="1"/>
        <v>276</v>
      </c>
      <c r="J62" s="26">
        <f t="shared" si="2"/>
        <v>1025</v>
      </c>
    </row>
    <row r="63" spans="1:10" x14ac:dyDescent="0.25">
      <c r="A63" s="17">
        <v>60</v>
      </c>
      <c r="B63" s="4" t="s">
        <v>72</v>
      </c>
      <c r="C63" s="10" t="s">
        <v>94</v>
      </c>
      <c r="D63" s="23">
        <v>9361</v>
      </c>
      <c r="E63" s="24">
        <v>26</v>
      </c>
      <c r="F63" s="25">
        <v>26</v>
      </c>
      <c r="G63" s="26">
        <v>9361</v>
      </c>
      <c r="H63" s="27">
        <f t="shared" si="0"/>
        <v>445</v>
      </c>
      <c r="I63" s="27">
        <f t="shared" si="1"/>
        <v>164</v>
      </c>
      <c r="J63" s="26">
        <f t="shared" si="2"/>
        <v>609</v>
      </c>
    </row>
    <row r="64" spans="1:10" x14ac:dyDescent="0.25">
      <c r="A64" s="17">
        <v>61</v>
      </c>
      <c r="B64" s="4" t="s">
        <v>73</v>
      </c>
      <c r="C64" s="10" t="s">
        <v>94</v>
      </c>
      <c r="D64" s="23">
        <v>9361</v>
      </c>
      <c r="E64" s="24">
        <v>26</v>
      </c>
      <c r="F64" s="25">
        <v>25</v>
      </c>
      <c r="G64" s="26">
        <v>9001</v>
      </c>
      <c r="H64" s="27">
        <f t="shared" si="0"/>
        <v>428</v>
      </c>
      <c r="I64" s="27">
        <f t="shared" si="1"/>
        <v>158</v>
      </c>
      <c r="J64" s="26">
        <f t="shared" si="2"/>
        <v>586</v>
      </c>
    </row>
    <row r="65" spans="1:10" x14ac:dyDescent="0.25">
      <c r="A65" s="17">
        <v>62</v>
      </c>
      <c r="B65" s="4" t="s">
        <v>74</v>
      </c>
      <c r="C65" s="10" t="s">
        <v>94</v>
      </c>
      <c r="D65" s="23">
        <v>9361</v>
      </c>
      <c r="E65" s="24">
        <v>26</v>
      </c>
      <c r="F65" s="25">
        <v>26</v>
      </c>
      <c r="G65" s="26">
        <v>9361</v>
      </c>
      <c r="H65" s="27">
        <f t="shared" si="0"/>
        <v>445</v>
      </c>
      <c r="I65" s="27">
        <f t="shared" si="1"/>
        <v>164</v>
      </c>
      <c r="J65" s="26">
        <f t="shared" si="2"/>
        <v>609</v>
      </c>
    </row>
    <row r="66" spans="1:10" x14ac:dyDescent="0.25">
      <c r="A66" s="17">
        <v>63</v>
      </c>
      <c r="B66" s="4" t="s">
        <v>75</v>
      </c>
      <c r="C66" s="10" t="s">
        <v>94</v>
      </c>
      <c r="D66" s="23">
        <v>9361</v>
      </c>
      <c r="E66" s="24">
        <v>26</v>
      </c>
      <c r="F66" s="25">
        <v>25</v>
      </c>
      <c r="G66" s="26">
        <v>9001</v>
      </c>
      <c r="H66" s="27">
        <f t="shared" si="0"/>
        <v>428</v>
      </c>
      <c r="I66" s="27">
        <f t="shared" si="1"/>
        <v>158</v>
      </c>
      <c r="J66" s="26">
        <f t="shared" si="2"/>
        <v>586</v>
      </c>
    </row>
    <row r="67" spans="1:10" x14ac:dyDescent="0.25">
      <c r="A67" s="17">
        <v>64</v>
      </c>
      <c r="B67" s="4" t="s">
        <v>76</v>
      </c>
      <c r="C67" s="10" t="s">
        <v>94</v>
      </c>
      <c r="D67" s="23">
        <v>9361</v>
      </c>
      <c r="E67" s="24">
        <v>26</v>
      </c>
      <c r="F67" s="25">
        <v>24</v>
      </c>
      <c r="G67" s="26">
        <v>8641</v>
      </c>
      <c r="H67" s="27">
        <f t="shared" si="0"/>
        <v>411</v>
      </c>
      <c r="I67" s="27">
        <f t="shared" si="1"/>
        <v>152</v>
      </c>
      <c r="J67" s="26">
        <f t="shared" si="2"/>
        <v>563</v>
      </c>
    </row>
    <row r="68" spans="1:10" x14ac:dyDescent="0.25">
      <c r="A68" s="17">
        <v>65</v>
      </c>
      <c r="B68" s="19" t="s">
        <v>77</v>
      </c>
      <c r="C68" s="10" t="s">
        <v>94</v>
      </c>
      <c r="D68" s="23">
        <v>9361</v>
      </c>
      <c r="E68" s="24">
        <v>26</v>
      </c>
      <c r="F68" s="25">
        <v>17</v>
      </c>
      <c r="G68" s="26">
        <v>6121</v>
      </c>
      <c r="H68" s="27">
        <f t="shared" si="0"/>
        <v>291</v>
      </c>
      <c r="I68" s="27">
        <f t="shared" si="1"/>
        <v>108</v>
      </c>
      <c r="J68" s="26">
        <f t="shared" si="2"/>
        <v>399</v>
      </c>
    </row>
    <row r="69" spans="1:10" x14ac:dyDescent="0.25">
      <c r="A69" s="17">
        <v>66</v>
      </c>
      <c r="B69" s="19" t="s">
        <v>106</v>
      </c>
      <c r="C69" s="31" t="s">
        <v>94</v>
      </c>
      <c r="D69" s="23">
        <v>9361</v>
      </c>
      <c r="E69" s="24">
        <v>26</v>
      </c>
      <c r="F69" s="25">
        <v>13</v>
      </c>
      <c r="G69" s="26">
        <v>4681</v>
      </c>
      <c r="H69" s="27">
        <f t="shared" ref="H69:H88" si="3">ROUNDUP($G69*4.75%,0)</f>
        <v>223</v>
      </c>
      <c r="I69" s="27">
        <f t="shared" ref="I69:I88" si="4">ROUNDUP($G69*1.75%,0)</f>
        <v>82</v>
      </c>
      <c r="J69" s="26">
        <f t="shared" ref="J69:J85" si="5">H69+I69</f>
        <v>305</v>
      </c>
    </row>
    <row r="70" spans="1:10" x14ac:dyDescent="0.25">
      <c r="A70" s="17">
        <v>67</v>
      </c>
      <c r="B70" s="4" t="s">
        <v>78</v>
      </c>
      <c r="C70" s="10" t="s">
        <v>94</v>
      </c>
      <c r="D70" s="23">
        <v>9361</v>
      </c>
      <c r="E70" s="24">
        <v>26</v>
      </c>
      <c r="F70" s="25">
        <v>24</v>
      </c>
      <c r="G70" s="26">
        <v>8641</v>
      </c>
      <c r="H70" s="27">
        <f t="shared" si="3"/>
        <v>411</v>
      </c>
      <c r="I70" s="27">
        <f t="shared" si="4"/>
        <v>152</v>
      </c>
      <c r="J70" s="26">
        <f t="shared" si="5"/>
        <v>563</v>
      </c>
    </row>
    <row r="71" spans="1:10" x14ac:dyDescent="0.25">
      <c r="A71" s="17">
        <v>68</v>
      </c>
      <c r="B71" s="7" t="s">
        <v>79</v>
      </c>
      <c r="C71" s="16" t="s">
        <v>93</v>
      </c>
      <c r="D71" s="23">
        <v>7489</v>
      </c>
      <c r="E71" s="24">
        <v>26</v>
      </c>
      <c r="F71" s="25">
        <v>25</v>
      </c>
      <c r="G71" s="26">
        <v>7201</v>
      </c>
      <c r="H71" s="27">
        <f t="shared" si="3"/>
        <v>343</v>
      </c>
      <c r="I71" s="27">
        <f t="shared" si="4"/>
        <v>127</v>
      </c>
      <c r="J71" s="26">
        <f t="shared" si="5"/>
        <v>470</v>
      </c>
    </row>
    <row r="72" spans="1:10" x14ac:dyDescent="0.25">
      <c r="A72" s="17">
        <v>69</v>
      </c>
      <c r="B72" s="4" t="s">
        <v>80</v>
      </c>
      <c r="C72" s="10" t="s">
        <v>94</v>
      </c>
      <c r="D72" s="23">
        <v>9361</v>
      </c>
      <c r="E72" s="24">
        <v>26</v>
      </c>
      <c r="F72" s="25">
        <v>26</v>
      </c>
      <c r="G72" s="26">
        <v>9361</v>
      </c>
      <c r="H72" s="27">
        <f t="shared" si="3"/>
        <v>445</v>
      </c>
      <c r="I72" s="27">
        <f t="shared" si="4"/>
        <v>164</v>
      </c>
      <c r="J72" s="26">
        <f t="shared" si="5"/>
        <v>609</v>
      </c>
    </row>
    <row r="73" spans="1:10" x14ac:dyDescent="0.25">
      <c r="A73" s="17">
        <v>70</v>
      </c>
      <c r="B73" s="4" t="s">
        <v>81</v>
      </c>
      <c r="C73" s="10" t="s">
        <v>94</v>
      </c>
      <c r="D73" s="23">
        <v>9361</v>
      </c>
      <c r="E73" s="24">
        <v>26</v>
      </c>
      <c r="F73" s="25">
        <v>26</v>
      </c>
      <c r="G73" s="26">
        <v>9361</v>
      </c>
      <c r="H73" s="27">
        <f t="shared" si="3"/>
        <v>445</v>
      </c>
      <c r="I73" s="27">
        <f t="shared" si="4"/>
        <v>164</v>
      </c>
      <c r="J73" s="26">
        <f t="shared" si="5"/>
        <v>609</v>
      </c>
    </row>
    <row r="74" spans="1:10" x14ac:dyDescent="0.25">
      <c r="A74" s="17">
        <v>71</v>
      </c>
      <c r="B74" s="4" t="s">
        <v>82</v>
      </c>
      <c r="C74" s="10" t="s">
        <v>94</v>
      </c>
      <c r="D74" s="23">
        <v>9361</v>
      </c>
      <c r="E74" s="24">
        <v>26</v>
      </c>
      <c r="F74" s="25">
        <v>25</v>
      </c>
      <c r="G74" s="26">
        <v>9001</v>
      </c>
      <c r="H74" s="27">
        <f t="shared" si="3"/>
        <v>428</v>
      </c>
      <c r="I74" s="27">
        <f t="shared" si="4"/>
        <v>158</v>
      </c>
      <c r="J74" s="26">
        <f t="shared" si="5"/>
        <v>586</v>
      </c>
    </row>
    <row r="75" spans="1:10" x14ac:dyDescent="0.25">
      <c r="A75" s="17">
        <v>72</v>
      </c>
      <c r="B75" s="4" t="s">
        <v>83</v>
      </c>
      <c r="C75" s="10" t="s">
        <v>94</v>
      </c>
      <c r="D75" s="23">
        <v>9361</v>
      </c>
      <c r="E75" s="24">
        <v>26</v>
      </c>
      <c r="F75" s="25">
        <v>25</v>
      </c>
      <c r="G75" s="26">
        <v>9001</v>
      </c>
      <c r="H75" s="27">
        <f t="shared" si="3"/>
        <v>428</v>
      </c>
      <c r="I75" s="27">
        <f t="shared" si="4"/>
        <v>158</v>
      </c>
      <c r="J75" s="26">
        <f t="shared" si="5"/>
        <v>586</v>
      </c>
    </row>
    <row r="76" spans="1:10" x14ac:dyDescent="0.25">
      <c r="A76" s="17">
        <v>73</v>
      </c>
      <c r="B76" s="4" t="s">
        <v>84</v>
      </c>
      <c r="C76" s="10" t="s">
        <v>94</v>
      </c>
      <c r="D76" s="23">
        <v>9361</v>
      </c>
      <c r="E76" s="24">
        <v>26</v>
      </c>
      <c r="F76" s="25">
        <v>24</v>
      </c>
      <c r="G76" s="26">
        <v>8641</v>
      </c>
      <c r="H76" s="27">
        <f t="shared" si="3"/>
        <v>411</v>
      </c>
      <c r="I76" s="27">
        <f t="shared" si="4"/>
        <v>152</v>
      </c>
      <c r="J76" s="26">
        <f t="shared" si="5"/>
        <v>563</v>
      </c>
    </row>
    <row r="77" spans="1:10" x14ac:dyDescent="0.25">
      <c r="A77" s="17">
        <v>74</v>
      </c>
      <c r="B77" s="4" t="s">
        <v>85</v>
      </c>
      <c r="C77" s="10" t="s">
        <v>93</v>
      </c>
      <c r="D77" s="23">
        <v>7489</v>
      </c>
      <c r="E77" s="24">
        <v>26</v>
      </c>
      <c r="F77" s="25">
        <v>25</v>
      </c>
      <c r="G77" s="26">
        <v>7201</v>
      </c>
      <c r="H77" s="27">
        <f t="shared" si="3"/>
        <v>343</v>
      </c>
      <c r="I77" s="27">
        <f t="shared" si="4"/>
        <v>127</v>
      </c>
      <c r="J77" s="26">
        <f t="shared" si="5"/>
        <v>470</v>
      </c>
    </row>
    <row r="78" spans="1:10" x14ac:dyDescent="0.25">
      <c r="A78" s="17">
        <v>75</v>
      </c>
      <c r="B78" s="4" t="s">
        <v>86</v>
      </c>
      <c r="C78" s="10" t="s">
        <v>93</v>
      </c>
      <c r="D78" s="23">
        <v>7489</v>
      </c>
      <c r="E78" s="24">
        <v>26</v>
      </c>
      <c r="F78" s="25">
        <v>26</v>
      </c>
      <c r="G78" s="26">
        <v>7489</v>
      </c>
      <c r="H78" s="27">
        <f t="shared" si="3"/>
        <v>356</v>
      </c>
      <c r="I78" s="27">
        <f t="shared" si="4"/>
        <v>132</v>
      </c>
      <c r="J78" s="26">
        <f t="shared" si="5"/>
        <v>488</v>
      </c>
    </row>
    <row r="79" spans="1:10" x14ac:dyDescent="0.25">
      <c r="A79" s="17">
        <v>76</v>
      </c>
      <c r="B79" s="4" t="s">
        <v>87</v>
      </c>
      <c r="C79" s="10" t="s">
        <v>94</v>
      </c>
      <c r="D79" s="23">
        <v>9361</v>
      </c>
      <c r="E79" s="24">
        <v>26</v>
      </c>
      <c r="F79" s="25">
        <v>27</v>
      </c>
      <c r="G79" s="26">
        <v>9721</v>
      </c>
      <c r="H79" s="27">
        <f t="shared" si="3"/>
        <v>462</v>
      </c>
      <c r="I79" s="27">
        <f t="shared" si="4"/>
        <v>171</v>
      </c>
      <c r="J79" s="26">
        <f t="shared" si="5"/>
        <v>633</v>
      </c>
    </row>
    <row r="80" spans="1:10" x14ac:dyDescent="0.25">
      <c r="A80" s="17">
        <v>77</v>
      </c>
      <c r="B80" s="4" t="s">
        <v>20</v>
      </c>
      <c r="C80" s="10" t="s">
        <v>94</v>
      </c>
      <c r="D80" s="23">
        <v>9361</v>
      </c>
      <c r="E80" s="24">
        <v>26</v>
      </c>
      <c r="F80" s="25">
        <v>26</v>
      </c>
      <c r="G80" s="26">
        <v>9361</v>
      </c>
      <c r="H80" s="27">
        <f t="shared" si="3"/>
        <v>445</v>
      </c>
      <c r="I80" s="27">
        <f t="shared" si="4"/>
        <v>164</v>
      </c>
      <c r="J80" s="26">
        <f t="shared" si="5"/>
        <v>609</v>
      </c>
    </row>
    <row r="81" spans="1:10" x14ac:dyDescent="0.25">
      <c r="A81" s="17">
        <v>78</v>
      </c>
      <c r="B81" s="4" t="s">
        <v>107</v>
      </c>
      <c r="C81" s="10" t="s">
        <v>94</v>
      </c>
      <c r="D81" s="23">
        <v>9361</v>
      </c>
      <c r="E81" s="24">
        <v>26</v>
      </c>
      <c r="F81" s="25">
        <v>26</v>
      </c>
      <c r="G81" s="26">
        <v>9361</v>
      </c>
      <c r="H81" s="27">
        <f t="shared" si="3"/>
        <v>445</v>
      </c>
      <c r="I81" s="27">
        <f t="shared" si="4"/>
        <v>164</v>
      </c>
      <c r="J81" s="26">
        <f t="shared" si="5"/>
        <v>609</v>
      </c>
    </row>
    <row r="82" spans="1:10" x14ac:dyDescent="0.25">
      <c r="A82" s="17">
        <v>79</v>
      </c>
      <c r="B82" s="4" t="s">
        <v>88</v>
      </c>
      <c r="C82" s="10" t="s">
        <v>94</v>
      </c>
      <c r="D82" s="23">
        <v>9433</v>
      </c>
      <c r="E82" s="24">
        <v>26</v>
      </c>
      <c r="F82" s="25">
        <v>26</v>
      </c>
      <c r="G82" s="26">
        <v>9433</v>
      </c>
      <c r="H82" s="27">
        <f t="shared" si="3"/>
        <v>449</v>
      </c>
      <c r="I82" s="27">
        <f t="shared" si="4"/>
        <v>166</v>
      </c>
      <c r="J82" s="26">
        <f t="shared" si="5"/>
        <v>615</v>
      </c>
    </row>
    <row r="83" spans="1:10" x14ac:dyDescent="0.25">
      <c r="A83" s="17">
        <v>80</v>
      </c>
      <c r="B83" s="4" t="s">
        <v>89</v>
      </c>
      <c r="C83" s="10" t="s">
        <v>93</v>
      </c>
      <c r="D83" s="23">
        <v>7546</v>
      </c>
      <c r="E83" s="24">
        <v>26</v>
      </c>
      <c r="F83" s="25">
        <v>15</v>
      </c>
      <c r="G83" s="26">
        <v>4353</v>
      </c>
      <c r="H83" s="27">
        <f t="shared" si="3"/>
        <v>207</v>
      </c>
      <c r="I83" s="27">
        <f t="shared" si="4"/>
        <v>77</v>
      </c>
      <c r="J83" s="26">
        <f t="shared" si="5"/>
        <v>284</v>
      </c>
    </row>
    <row r="84" spans="1:10" x14ac:dyDescent="0.25">
      <c r="A84" s="17">
        <v>81</v>
      </c>
      <c r="B84" s="4" t="s">
        <v>90</v>
      </c>
      <c r="C84" s="10" t="s">
        <v>93</v>
      </c>
      <c r="D84" s="23">
        <v>7546</v>
      </c>
      <c r="E84" s="24">
        <v>26</v>
      </c>
      <c r="F84" s="25">
        <v>21</v>
      </c>
      <c r="G84" s="26">
        <v>6095</v>
      </c>
      <c r="H84" s="27">
        <f t="shared" si="3"/>
        <v>290</v>
      </c>
      <c r="I84" s="27">
        <f t="shared" si="4"/>
        <v>107</v>
      </c>
      <c r="J84" s="26">
        <f t="shared" si="5"/>
        <v>397</v>
      </c>
    </row>
    <row r="85" spans="1:10" x14ac:dyDescent="0.25">
      <c r="A85" s="17">
        <v>82</v>
      </c>
      <c r="B85" s="4" t="s">
        <v>91</v>
      </c>
      <c r="C85" s="10" t="s">
        <v>93</v>
      </c>
      <c r="D85" s="23">
        <v>7546</v>
      </c>
      <c r="E85" s="24">
        <v>26</v>
      </c>
      <c r="F85" s="25">
        <v>23</v>
      </c>
      <c r="G85" s="26">
        <v>6675</v>
      </c>
      <c r="H85" s="27">
        <f t="shared" si="3"/>
        <v>318</v>
      </c>
      <c r="I85" s="27">
        <f t="shared" si="4"/>
        <v>117</v>
      </c>
      <c r="J85" s="26">
        <f t="shared" si="5"/>
        <v>435</v>
      </c>
    </row>
    <row r="86" spans="1:10" x14ac:dyDescent="0.25">
      <c r="A86" s="17">
        <v>83</v>
      </c>
      <c r="B86" s="4" t="s">
        <v>92</v>
      </c>
      <c r="C86" s="10" t="s">
        <v>93</v>
      </c>
      <c r="D86" s="23">
        <v>7546</v>
      </c>
      <c r="E86" s="24">
        <v>26</v>
      </c>
      <c r="F86" s="25">
        <v>13</v>
      </c>
      <c r="G86" s="26">
        <v>3773</v>
      </c>
      <c r="H86" s="27">
        <f t="shared" si="3"/>
        <v>180</v>
      </c>
      <c r="I86" s="27">
        <f t="shared" si="4"/>
        <v>67</v>
      </c>
      <c r="J86" s="26">
        <f t="shared" ref="J86:J88" si="6">H86+I86</f>
        <v>247</v>
      </c>
    </row>
    <row r="87" spans="1:10" x14ac:dyDescent="0.25">
      <c r="A87" s="17">
        <v>84</v>
      </c>
      <c r="B87" s="4" t="s">
        <v>68</v>
      </c>
      <c r="C87" s="10" t="s">
        <v>93</v>
      </c>
      <c r="D87" s="23">
        <v>7546</v>
      </c>
      <c r="E87" s="24">
        <v>26</v>
      </c>
      <c r="F87" s="25">
        <v>8</v>
      </c>
      <c r="G87" s="26">
        <v>2322</v>
      </c>
      <c r="H87" s="27">
        <f t="shared" si="3"/>
        <v>111</v>
      </c>
      <c r="I87" s="27">
        <f t="shared" si="4"/>
        <v>41</v>
      </c>
      <c r="J87" s="26">
        <f t="shared" si="6"/>
        <v>152</v>
      </c>
    </row>
    <row r="88" spans="1:10" x14ac:dyDescent="0.25">
      <c r="A88" s="17">
        <v>85</v>
      </c>
      <c r="B88" s="4" t="s">
        <v>108</v>
      </c>
      <c r="C88" s="10" t="s">
        <v>93</v>
      </c>
      <c r="D88" s="23">
        <v>7546</v>
      </c>
      <c r="E88" s="24">
        <v>26</v>
      </c>
      <c r="F88" s="25">
        <v>9</v>
      </c>
      <c r="G88" s="26">
        <v>2612</v>
      </c>
      <c r="H88" s="27">
        <f t="shared" si="3"/>
        <v>125</v>
      </c>
      <c r="I88" s="27">
        <f t="shared" si="4"/>
        <v>46</v>
      </c>
      <c r="J88" s="26">
        <f t="shared" si="6"/>
        <v>171</v>
      </c>
    </row>
    <row r="89" spans="1:10" x14ac:dyDescent="0.25">
      <c r="A89" s="17"/>
      <c r="B89" s="4"/>
      <c r="C89" s="10"/>
      <c r="D89" s="23"/>
      <c r="E89" s="28"/>
      <c r="F89" s="25"/>
      <c r="G89" s="26"/>
      <c r="H89" s="27"/>
      <c r="I89" s="27"/>
      <c r="J89" s="26"/>
    </row>
    <row r="90" spans="1:10" x14ac:dyDescent="0.25">
      <c r="A90" s="32"/>
      <c r="B90" s="11"/>
      <c r="C90" s="12"/>
      <c r="D90" s="13">
        <f>SUBTOTAL(109,D4:D89)</f>
        <v>676165</v>
      </c>
      <c r="E90" s="13"/>
      <c r="F90" s="13">
        <f>SUBTOTAL(109,F4:F89)</f>
        <v>2089</v>
      </c>
      <c r="G90" s="13">
        <f>SUBTOTAL(109,G4:G89)</f>
        <v>632673</v>
      </c>
      <c r="H90" s="13">
        <f>SUBTOTAL(109,H4:H89)</f>
        <v>30094</v>
      </c>
      <c r="I90" s="13">
        <f>SUBTOTAL(109,I4:I89)</f>
        <v>11113</v>
      </c>
      <c r="J90" s="13">
        <f>SUBTOTAL(109,J4:J89)</f>
        <v>41207</v>
      </c>
    </row>
  </sheetData>
  <mergeCells count="1">
    <mergeCell ref="A1:J1"/>
  </mergeCells>
  <conditionalFormatting sqref="B66">
    <cfRule type="duplicateValues" dxfId="2" priority="2"/>
  </conditionalFormatting>
  <conditionalFormatting sqref="B57">
    <cfRule type="duplicateValues" dxfId="1" priority="1"/>
  </conditionalFormatting>
  <conditionalFormatting sqref="B4:B88">
    <cfRule type="duplicateValues" dxfId="0" priority="12"/>
  </conditionalFormatting>
  <printOptions horizontalCentered="1"/>
  <pageMargins left="0" right="0" top="0.25" bottom="0" header="0" footer="0"/>
  <pageSetup paperSize="9" scale="6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PF </vt:lpstr>
      <vt:lpstr>ESI</vt:lpstr>
      <vt:lpstr>ESI!Print_Area</vt:lpstr>
      <vt:lpstr>'PF '!Print_Area</vt:lpstr>
      <vt:lpstr>ESI!Print_Titles</vt:lpstr>
      <vt:lpstr>'PF 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2017-12-20T18:13:40Z</dcterms:modified>
</cp:coreProperties>
</file>